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/Users/kenzalevsky/Library/Mobile Documents/com~apple~CloudDocs/C2A/Vigilant Ops Customer Renewals/"/>
    </mc:Choice>
  </mc:AlternateContent>
  <xr:revisionPtr revIDLastSave="0" documentId="8_{34FFD76F-981D-4B8F-B51E-D2FC9464FE3B}" xr6:coauthVersionLast="47" xr6:coauthVersionMax="47" xr10:uidLastSave="{00000000-0000-0000-0000-000000000000}"/>
  <bookViews>
    <workbookView xWindow="42200" yWindow="500" windowWidth="31960" windowHeight="18100" xr2:uid="{A1AAD2D0-11DE-EA44-A0BA-371D4549737D}"/>
  </bookViews>
  <sheets>
    <sheet name="Customers and Renewal Dates" sheetId="1" r:id="rId1"/>
  </sheets>
  <definedNames>
    <definedName name="_xlnm._FilterDatabase" localSheetId="0" hidden="1">'Customers and Renewal Dates'!$A$2:$E$2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5" i="1"/>
  <c r="D7" i="1" l="1"/>
  <c r="D14" i="1"/>
  <c r="D13" i="1"/>
  <c r="D11" i="1"/>
  <c r="D8" i="1"/>
  <c r="D3" i="1"/>
  <c r="D16" i="1"/>
  <c r="D9" i="1"/>
  <c r="D10" i="1"/>
  <c r="D4" i="1"/>
  <c r="D6" i="1"/>
  <c r="D12" i="1"/>
</calcChain>
</file>

<file path=xl/sharedStrings.xml><?xml version="1.0" encoding="utf-8"?>
<sst xmlns="http://schemas.openxmlformats.org/spreadsheetml/2006/main" count="20" uniqueCount="20">
  <si>
    <t>Vigilant Ops Inc</t>
  </si>
  <si>
    <t>Customer</t>
  </si>
  <si>
    <t>Subscription Date</t>
  </si>
  <si>
    <t>Contract Term (months)</t>
  </si>
  <si>
    <t>Renewal Date</t>
  </si>
  <si>
    <t>Annual Subscription $</t>
  </si>
  <si>
    <t>Elucent (&lt;$50M) medtech company</t>
  </si>
  <si>
    <t>Helen of Troy (~$2B) medtech brands include Braun, Honeywell</t>
  </si>
  <si>
    <t>US Gov - National Security Agency - National Information Assurance Partnership)</t>
  </si>
  <si>
    <t>Ascensia (Panasonic Holdings) (~$500M) medtech company</t>
  </si>
  <si>
    <t>Epredia (Panasonic Holdings) (~$500M) medtech company</t>
  </si>
  <si>
    <t>Kent Imaging (&lt;$5M) medtech company</t>
  </si>
  <si>
    <t>Compunetix (&lt;$50M) telecom company</t>
  </si>
  <si>
    <t>Nova Biomedical (~$750M) medtech company</t>
  </si>
  <si>
    <t>Active Protective (&lt;$20M) medtech company</t>
  </si>
  <si>
    <t>Bayer (~$50B) pharma and medtech company</t>
  </si>
  <si>
    <t>AdaptiveEndo (&lt;$20M) medtech company</t>
  </si>
  <si>
    <t>DaTrend (&lt; $5M) medtech company</t>
  </si>
  <si>
    <t>Micropos (&lt;$5M) metech company</t>
  </si>
  <si>
    <t>Zynex (~190M) medtech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</si>
</sst>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ED7D31"/>
      <name val="Aptos"/>
    </font>
    <font>
      <sz val="12"/>
      <color theme="1"/>
      <name val="Aptos"/>
    </font>
    <font>
      <b/>
      <sz val="11"/>
      <color rgb="FF000000"/>
      <name val="Aptos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2" fillId="0" borderId="0" xfId="1" applyNumberFormat="1" applyFont="1" applyAlignment="1">
      <alignment horizontal="right" vertical="center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41" fontId="4" fillId="0" borderId="1" xfId="0" applyNumberFormat="1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right" vertical="center" wrapText="1"/>
    </xf>
    <xf numFmtId="164" fontId="3" fillId="0" borderId="0" xfId="0" applyNumberFormat="1" applyFont="1"/>
    <xf numFmtId="165" fontId="3" fillId="0" borderId="0" xfId="1" applyNumberFormat="1" applyFont="1" applyFill="1"/>
    <xf numFmtId="0" fontId="5" fillId="0" borderId="0" xfId="0" applyFont="1" applyAlignment="1">
      <alignment horizontal="right"/>
    </xf>
    <xf numFmtId="165" fontId="3" fillId="0" borderId="0" xfId="1" applyNumberFormat="1" applyFont="1"/>
    <xf numFmtId="165" fontId="5" fillId="0" borderId="0" xfId="1" applyNumberFormat="1" applyFont="1" applyBorder="1"/>
    <xf numFmtId="164" fontId="5" fillId="0" borderId="0" xfId="0" applyNumberFormat="1" applyFont="1"/>
    <xf numFmtId="0" fontId="5" fillId="0" borderId="0" xfId="0" applyFont="1"/>
    <xf numFmtId="165" fontId="5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D303-8FA4-694D-A16E-8CB6C64A501F}">
  <dimension ref="A1:E24"/>
  <sheetViews>
    <sheetView tabSelected="1" workbookViewId="0">
      <selection activeCell="E17" sqref="E17"/>
    </sheetView>
  </sheetViews>
  <sheetFormatPr defaultColWidth="11" defaultRowHeight="15.95"/>
  <cols>
    <col min="1" max="1" width="66.875" style="5" bestFit="1" customWidth="1"/>
    <col min="2" max="2" width="12.125" style="11" customWidth="1"/>
    <col min="3" max="3" width="8.5" style="5" customWidth="1"/>
    <col min="4" max="4" width="12.375" style="5" customWidth="1"/>
    <col min="5" max="5" width="12.375" style="14" customWidth="1"/>
    <col min="6" max="16384" width="11" style="5"/>
  </cols>
  <sheetData>
    <row r="1" spans="1:5">
      <c r="A1" s="1" t="s">
        <v>0</v>
      </c>
      <c r="B1" s="2"/>
      <c r="C1" s="3"/>
      <c r="D1" s="1"/>
      <c r="E1" s="4"/>
    </row>
    <row r="2" spans="1:5" ht="48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</row>
    <row r="3" spans="1:5">
      <c r="A3" s="5" t="s">
        <v>6</v>
      </c>
      <c r="B3" s="11">
        <v>45569</v>
      </c>
      <c r="C3" s="5">
        <v>12</v>
      </c>
      <c r="D3" s="11">
        <f t="shared" ref="D3:D8" si="0">B3+(IF(C3=12,365, 730))</f>
        <v>45934</v>
      </c>
      <c r="E3" s="12">
        <v>9900</v>
      </c>
    </row>
    <row r="4" spans="1:5">
      <c r="A4" s="5" t="s">
        <v>7</v>
      </c>
      <c r="B4" s="11">
        <v>45574</v>
      </c>
      <c r="C4" s="5">
        <v>12</v>
      </c>
      <c r="D4" s="11">
        <f t="shared" si="0"/>
        <v>45939</v>
      </c>
      <c r="E4" s="12">
        <v>19900</v>
      </c>
    </row>
    <row r="5" spans="1:5">
      <c r="A5" s="5" t="s">
        <v>8</v>
      </c>
      <c r="B5" s="11">
        <v>45583</v>
      </c>
      <c r="C5" s="5">
        <v>12</v>
      </c>
      <c r="D5" s="11">
        <f t="shared" si="0"/>
        <v>45948</v>
      </c>
      <c r="E5" s="12">
        <v>9900</v>
      </c>
    </row>
    <row r="6" spans="1:5">
      <c r="A6" s="5" t="s">
        <v>9</v>
      </c>
      <c r="B6" s="11">
        <v>45585</v>
      </c>
      <c r="C6" s="5">
        <v>12</v>
      </c>
      <c r="D6" s="11">
        <f t="shared" si="0"/>
        <v>45950</v>
      </c>
      <c r="E6" s="12">
        <v>23900</v>
      </c>
    </row>
    <row r="7" spans="1:5">
      <c r="A7" s="5" t="s">
        <v>10</v>
      </c>
      <c r="B7" s="11">
        <v>45585</v>
      </c>
      <c r="C7" s="5">
        <v>12</v>
      </c>
      <c r="D7" s="11">
        <f t="shared" si="0"/>
        <v>45950</v>
      </c>
      <c r="E7" s="12">
        <v>10000</v>
      </c>
    </row>
    <row r="8" spans="1:5">
      <c r="A8" s="5" t="s">
        <v>11</v>
      </c>
      <c r="B8" s="11">
        <v>45612</v>
      </c>
      <c r="C8" s="5">
        <v>12</v>
      </c>
      <c r="D8" s="11">
        <f t="shared" si="0"/>
        <v>45977</v>
      </c>
      <c r="E8" s="12">
        <v>9900</v>
      </c>
    </row>
    <row r="9" spans="1:5">
      <c r="A9" s="5" t="s">
        <v>12</v>
      </c>
      <c r="B9" s="11">
        <v>45671</v>
      </c>
      <c r="C9" s="5">
        <v>12</v>
      </c>
      <c r="D9" s="11">
        <f t="shared" ref="D9:D14" si="1">B9+(IF(C9=12,365, 730))</f>
        <v>46036</v>
      </c>
      <c r="E9" s="12">
        <v>23900</v>
      </c>
    </row>
    <row r="10" spans="1:5">
      <c r="A10" s="5" t="s">
        <v>13</v>
      </c>
      <c r="B10" s="11">
        <v>45674</v>
      </c>
      <c r="C10" s="5">
        <v>12</v>
      </c>
      <c r="D10" s="11">
        <f t="shared" si="1"/>
        <v>46039</v>
      </c>
      <c r="E10" s="12">
        <v>23900</v>
      </c>
    </row>
    <row r="11" spans="1:5">
      <c r="A11" s="5" t="s">
        <v>14</v>
      </c>
      <c r="B11" s="11">
        <v>45680</v>
      </c>
      <c r="C11" s="5">
        <v>12</v>
      </c>
      <c r="D11" s="11">
        <f t="shared" si="1"/>
        <v>46045</v>
      </c>
      <c r="E11" s="12">
        <v>9900</v>
      </c>
    </row>
    <row r="12" spans="1:5">
      <c r="A12" s="5" t="s">
        <v>15</v>
      </c>
      <c r="B12" s="11">
        <v>45689</v>
      </c>
      <c r="C12" s="5">
        <v>12</v>
      </c>
      <c r="D12" s="11">
        <f t="shared" si="1"/>
        <v>46054</v>
      </c>
      <c r="E12" s="12">
        <v>42000</v>
      </c>
    </row>
    <row r="13" spans="1:5">
      <c r="A13" s="5" t="s">
        <v>16</v>
      </c>
      <c r="B13" s="11">
        <v>45730</v>
      </c>
      <c r="C13" s="5">
        <v>12</v>
      </c>
      <c r="D13" s="11">
        <f t="shared" si="1"/>
        <v>46095</v>
      </c>
      <c r="E13" s="14">
        <v>9900</v>
      </c>
    </row>
    <row r="14" spans="1:5">
      <c r="A14" s="5" t="s">
        <v>17</v>
      </c>
      <c r="B14" s="11">
        <v>45743</v>
      </c>
      <c r="C14" s="5">
        <v>12</v>
      </c>
      <c r="D14" s="11">
        <f t="shared" si="1"/>
        <v>46108</v>
      </c>
      <c r="E14" s="14">
        <v>5900</v>
      </c>
    </row>
    <row r="15" spans="1:5">
      <c r="A15" s="5" t="s">
        <v>18</v>
      </c>
      <c r="B15" s="11">
        <v>45798</v>
      </c>
      <c r="C15" s="5">
        <v>12</v>
      </c>
      <c r="D15" s="11">
        <f t="shared" ref="D15" si="2">B15+(IF(C15=12,365, 730))</f>
        <v>46163</v>
      </c>
      <c r="E15" s="14">
        <v>5900</v>
      </c>
    </row>
    <row r="16" spans="1:5">
      <c r="A16" s="5" t="s">
        <v>19</v>
      </c>
      <c r="B16" s="11">
        <v>45600</v>
      </c>
      <c r="C16" s="5">
        <v>24</v>
      </c>
      <c r="D16" s="11">
        <f>B16+(IF(C16=12,365, 730))</f>
        <v>46330</v>
      </c>
      <c r="E16" s="12">
        <v>14800</v>
      </c>
    </row>
    <row r="17" spans="1:5">
      <c r="A17" s="13"/>
      <c r="D17" s="11"/>
      <c r="E17" s="15"/>
    </row>
    <row r="18" spans="1:5">
      <c r="B18" s="5"/>
      <c r="E18" s="5"/>
    </row>
    <row r="19" spans="1:5">
      <c r="D19" s="11"/>
    </row>
    <row r="20" spans="1:5">
      <c r="D20" s="11"/>
    </row>
    <row r="22" spans="1:5">
      <c r="B22" s="16"/>
      <c r="C22" s="17"/>
      <c r="E22" s="18"/>
    </row>
    <row r="24" spans="1:5">
      <c r="B2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kzalevsky@gmail.com</dc:creator>
  <cp:keywords/>
  <dc:description/>
  <cp:lastModifiedBy/>
  <cp:revision/>
  <dcterms:created xsi:type="dcterms:W3CDTF">2025-10-16T14:51:12Z</dcterms:created>
  <dcterms:modified xsi:type="dcterms:W3CDTF">2026-01-03T16:42:39Z</dcterms:modified>
  <cp:category/>
  <cp:contentStatus/>
</cp:coreProperties>
</file>