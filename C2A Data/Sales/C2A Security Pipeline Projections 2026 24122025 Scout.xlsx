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ca-c2a/sales-execution-platform/C2A Data/Sales/"/>
    </mc:Choice>
  </mc:AlternateContent>
  <xr:revisionPtr revIDLastSave="0" documentId="8_{10B84DC0-E124-4647-8B6B-EEAE608A0E56}" xr6:coauthVersionLast="47" xr6:coauthVersionMax="47" xr10:uidLastSave="{00000000-0000-0000-0000-000000000000}"/>
  <bookViews>
    <workbookView xWindow="0" yWindow="600" windowWidth="28800" windowHeight="15920" xr2:uid="{00000000-000D-0000-FFFF-FFFF00000000}"/>
  </bookViews>
  <sheets>
    <sheet name="Pipelin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2" l="1"/>
  <c r="K81" i="2"/>
  <c r="P81" i="2" s="1"/>
  <c r="I108" i="2"/>
  <c r="K108" i="2"/>
  <c r="P108" i="2" s="1"/>
  <c r="K42" i="2"/>
  <c r="P42" i="2" s="1"/>
  <c r="I42" i="2"/>
  <c r="K41" i="2"/>
  <c r="P41" i="2" s="1"/>
  <c r="I41" i="2"/>
  <c r="K40" i="2"/>
  <c r="P40" i="2" s="1"/>
  <c r="I40" i="2"/>
  <c r="I37" i="2"/>
  <c r="I74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19" i="2"/>
  <c r="K118" i="2"/>
  <c r="K117" i="2"/>
  <c r="K120" i="2"/>
  <c r="K141" i="2"/>
  <c r="K116" i="2"/>
  <c r="K115" i="2"/>
  <c r="P115" i="2" s="1"/>
  <c r="K114" i="2"/>
  <c r="P114" i="2" s="1"/>
  <c r="K113" i="2"/>
  <c r="K112" i="2"/>
  <c r="P112" i="2" s="1"/>
  <c r="K111" i="2"/>
  <c r="K110" i="2"/>
  <c r="K109" i="2"/>
  <c r="K107" i="2"/>
  <c r="K106" i="2"/>
  <c r="K104" i="2"/>
  <c r="K103" i="2"/>
  <c r="K142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7" i="2"/>
  <c r="K86" i="2"/>
  <c r="K85" i="2"/>
  <c r="K84" i="2"/>
  <c r="K83" i="2"/>
  <c r="K82" i="2"/>
  <c r="K80" i="2"/>
  <c r="K79" i="2"/>
  <c r="K78" i="2"/>
  <c r="K77" i="2"/>
  <c r="K76" i="2"/>
  <c r="K75" i="2"/>
  <c r="K73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88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9" i="2"/>
  <c r="K38" i="2"/>
  <c r="K36" i="2"/>
  <c r="K72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P10" i="2" s="1"/>
  <c r="K9" i="2"/>
  <c r="K8" i="2"/>
  <c r="K7" i="2"/>
  <c r="K6" i="2"/>
  <c r="K5" i="2"/>
  <c r="K4" i="2"/>
  <c r="I116" i="2"/>
  <c r="P116" i="2"/>
  <c r="I115" i="2"/>
  <c r="I114" i="2"/>
  <c r="I113" i="2"/>
  <c r="P113" i="2"/>
  <c r="I112" i="2"/>
  <c r="I10" i="2"/>
  <c r="I17" i="2"/>
  <c r="P17" i="2"/>
  <c r="I23" i="2" l="1"/>
  <c r="P23" i="2"/>
  <c r="I22" i="2"/>
  <c r="P22" i="2"/>
  <c r="I142" i="2"/>
  <c r="J142" i="2" s="1"/>
  <c r="I72" i="2"/>
  <c r="J72" i="2" s="1"/>
  <c r="I50" i="2"/>
  <c r="J50" i="2" s="1"/>
  <c r="I9" i="2"/>
  <c r="P9" i="2"/>
  <c r="I8" i="2"/>
  <c r="P8" i="2"/>
  <c r="I7" i="2"/>
  <c r="P7" i="2"/>
  <c r="I2" i="2"/>
  <c r="I3" i="2"/>
  <c r="I6" i="2"/>
  <c r="I4" i="2"/>
  <c r="I5" i="2"/>
  <c r="I13" i="2"/>
  <c r="I15" i="2"/>
  <c r="I11" i="2"/>
  <c r="I12" i="2"/>
  <c r="I14" i="2"/>
  <c r="I18" i="2"/>
  <c r="I19" i="2"/>
  <c r="I16" i="2"/>
  <c r="I20" i="2"/>
  <c r="I24" i="2"/>
  <c r="I25" i="2"/>
  <c r="I26" i="2"/>
  <c r="I27" i="2"/>
  <c r="I28" i="2"/>
  <c r="I29" i="2"/>
  <c r="I30" i="2"/>
  <c r="I32" i="2"/>
  <c r="I31" i="2"/>
  <c r="I21" i="2"/>
  <c r="I33" i="2"/>
  <c r="I34" i="2"/>
  <c r="I35" i="2"/>
  <c r="I36" i="2"/>
  <c r="I38" i="2"/>
  <c r="I45" i="2"/>
  <c r="I39" i="2"/>
  <c r="I46" i="2"/>
  <c r="I51" i="2"/>
  <c r="I52" i="2"/>
  <c r="I53" i="2"/>
  <c r="I47" i="2"/>
  <c r="I48" i="2"/>
  <c r="I60" i="2"/>
  <c r="I54" i="2"/>
  <c r="I44" i="2"/>
  <c r="I61" i="2"/>
  <c r="I55" i="2"/>
  <c r="I71" i="2"/>
  <c r="I73" i="2"/>
  <c r="I59" i="2"/>
  <c r="I62" i="2"/>
  <c r="I63" i="2"/>
  <c r="I64" i="2"/>
  <c r="I65" i="2"/>
  <c r="I88" i="2"/>
  <c r="I49" i="2"/>
  <c r="I43" i="2"/>
  <c r="I56" i="2"/>
  <c r="I66" i="2"/>
  <c r="I67" i="2"/>
  <c r="I57" i="2"/>
  <c r="I68" i="2"/>
  <c r="I58" i="2"/>
  <c r="I69" i="2"/>
  <c r="I70" i="2"/>
  <c r="I86" i="2"/>
  <c r="I102" i="2"/>
  <c r="I100" i="2"/>
  <c r="I78" i="2"/>
  <c r="I85" i="2"/>
  <c r="I101" i="2"/>
  <c r="I80" i="2"/>
  <c r="I87" i="2"/>
  <c r="I79" i="2"/>
  <c r="I104" i="2"/>
  <c r="I83" i="2"/>
  <c r="I75" i="2"/>
  <c r="I76" i="2"/>
  <c r="I77" i="2"/>
  <c r="I103" i="2"/>
  <c r="I84" i="2"/>
  <c r="I92" i="2"/>
  <c r="I82" i="2"/>
  <c r="I89" i="2"/>
  <c r="I90" i="2"/>
  <c r="I91" i="2"/>
  <c r="I95" i="2"/>
  <c r="I96" i="2"/>
  <c r="I97" i="2"/>
  <c r="I93" i="2"/>
  <c r="I94" i="2"/>
  <c r="I98" i="2"/>
  <c r="I99" i="2"/>
  <c r="I105" i="2"/>
  <c r="I107" i="2"/>
  <c r="I109" i="2"/>
  <c r="I110" i="2"/>
  <c r="I106" i="2"/>
  <c r="I119" i="2"/>
  <c r="I117" i="2"/>
  <c r="I122" i="2"/>
  <c r="I123" i="2"/>
  <c r="I124" i="2"/>
  <c r="I125" i="2"/>
  <c r="I126" i="2"/>
  <c r="I120" i="2"/>
  <c r="I127" i="2"/>
  <c r="I128" i="2"/>
  <c r="I111" i="2"/>
  <c r="I118" i="2"/>
  <c r="I141" i="2"/>
  <c r="I129" i="2"/>
  <c r="I130" i="2"/>
  <c r="I121" i="2"/>
  <c r="I131" i="2"/>
  <c r="I132" i="2"/>
  <c r="I133" i="2"/>
  <c r="I136" i="2"/>
  <c r="I137" i="2"/>
  <c r="I138" i="2"/>
  <c r="I134" i="2"/>
  <c r="I135" i="2"/>
  <c r="I139" i="2"/>
  <c r="I140" i="2"/>
  <c r="P119" i="2"/>
  <c r="P51" i="2"/>
  <c r="P125" i="2"/>
  <c r="P124" i="2"/>
  <c r="P123" i="2"/>
  <c r="P65" i="2"/>
  <c r="P62" i="2"/>
  <c r="P63" i="2"/>
  <c r="P133" i="2"/>
  <c r="P132" i="2"/>
  <c r="P131" i="2"/>
  <c r="P140" i="2"/>
  <c r="P139" i="2"/>
  <c r="P135" i="2"/>
  <c r="P134" i="2"/>
  <c r="L145" i="2"/>
  <c r="M145" i="2"/>
  <c r="P99" i="2"/>
  <c r="P98" i="2"/>
  <c r="P138" i="2"/>
  <c r="P137" i="2"/>
  <c r="P136" i="2"/>
  <c r="P95" i="2"/>
  <c r="P89" i="2"/>
  <c r="P94" i="2"/>
  <c r="P93" i="2"/>
  <c r="P97" i="2"/>
  <c r="P96" i="2"/>
  <c r="P82" i="2"/>
  <c r="P57" i="2"/>
  <c r="P27" i="2"/>
  <c r="P68" i="2"/>
  <c r="P91" i="2"/>
  <c r="P90" i="2"/>
  <c r="P67" i="2"/>
  <c r="P66" i="2"/>
  <c r="P129" i="2"/>
  <c r="P49" i="2"/>
  <c r="P84" i="2"/>
  <c r="P69" i="2"/>
  <c r="P70" i="2"/>
  <c r="P130" i="2"/>
  <c r="P61" i="2"/>
  <c r="P30" i="2"/>
  <c r="P80" i="2"/>
  <c r="P24" i="2"/>
  <c r="P45" i="2"/>
  <c r="P77" i="2"/>
  <c r="P20" i="2"/>
  <c r="P128" i="2"/>
  <c r="P4" i="2"/>
  <c r="P92" i="2"/>
  <c r="P102" i="2"/>
  <c r="P46" i="2"/>
  <c r="P39" i="2"/>
  <c r="P38" i="2"/>
  <c r="P78" i="2"/>
  <c r="P100" i="2"/>
  <c r="P5" i="2"/>
  <c r="P73" i="2"/>
  <c r="P104" i="2"/>
  <c r="P79" i="2"/>
  <c r="P21" i="2"/>
  <c r="P60" i="2"/>
  <c r="P71" i="2"/>
  <c r="P35" i="2"/>
  <c r="P83" i="2"/>
  <c r="P48" i="2"/>
  <c r="P47" i="2"/>
  <c r="P12" i="2"/>
  <c r="P11" i="2"/>
  <c r="P36" i="2"/>
  <c r="P13" i="2"/>
  <c r="K2" i="2"/>
  <c r="P33" i="2"/>
  <c r="K3" i="2"/>
  <c r="P103" i="2"/>
  <c r="P142" i="2" l="1"/>
  <c r="P72" i="2"/>
  <c r="P50" i="2"/>
  <c r="K145" i="2"/>
  <c r="P15" i="2"/>
  <c r="P29" i="2"/>
  <c r="P3" i="2"/>
  <c r="P25" i="2"/>
  <c r="P26" i="2"/>
  <c r="P28" i="2"/>
  <c r="P16" i="2"/>
  <c r="P6" i="2"/>
  <c r="P52" i="2"/>
  <c r="P34" i="2"/>
  <c r="P19" i="2"/>
  <c r="P18" i="2"/>
  <c r="P54" i="2" l="1"/>
  <c r="P53" i="2"/>
  <c r="P59" i="2"/>
  <c r="P64" i="2"/>
  <c r="P88" i="2"/>
  <c r="P120" i="2"/>
  <c r="P58" i="2"/>
  <c r="P43" i="2"/>
  <c r="P56" i="2"/>
  <c r="P121" i="2"/>
  <c r="P75" i="2"/>
  <c r="P111" i="2"/>
  <c r="P109" i="2"/>
  <c r="P107" i="2"/>
  <c r="P106" i="2"/>
  <c r="P141" i="2"/>
  <c r="P118" i="2"/>
  <c r="P122" i="2"/>
  <c r="P55" i="2"/>
  <c r="P85" i="2"/>
  <c r="P32" i="2"/>
  <c r="P101" i="2"/>
  <c r="P31" i="2" l="1"/>
  <c r="P76" i="2" l="1"/>
  <c r="P126" i="2"/>
  <c r="P14" i="2"/>
  <c r="P87" i="2" l="1"/>
  <c r="P86" i="2" l="1"/>
  <c r="P127" i="2"/>
  <c r="P110" i="2"/>
  <c r="P117" i="2"/>
  <c r="P44" i="2"/>
  <c r="P145" i="2" l="1"/>
</calcChain>
</file>

<file path=xl/sharedStrings.xml><?xml version="1.0" encoding="utf-8"?>
<sst xmlns="http://schemas.openxmlformats.org/spreadsheetml/2006/main" count="1037" uniqueCount="198">
  <si>
    <t>Quarter to Close</t>
  </si>
  <si>
    <t>Deal Name</t>
  </si>
  <si>
    <t>Deal Owner</t>
  </si>
  <si>
    <t>Deal Type</t>
  </si>
  <si>
    <t>Deal Stage</t>
  </si>
  <si>
    <t>First Modules to be purchased (EVSec BASE is Mandatory)</t>
  </si>
  <si>
    <t>Vertical</t>
  </si>
  <si>
    <t>Region</t>
  </si>
  <si>
    <t>Auto Probability (by deal stage)</t>
  </si>
  <si>
    <t>Conservative Probability</t>
  </si>
  <si>
    <t>Total Amount</t>
  </si>
  <si>
    <t>Recurring Amount</t>
  </si>
  <si>
    <t>Non Recurring Amount</t>
  </si>
  <si>
    <t>Recurring Deal</t>
  </si>
  <si>
    <t>#</t>
  </si>
  <si>
    <t xml:space="preserve">Weighted Amount Conservative </t>
  </si>
  <si>
    <t>Expected Booking 2026</t>
  </si>
  <si>
    <t>Expected Booking 2028</t>
  </si>
  <si>
    <t>Expected Booking 2029</t>
  </si>
  <si>
    <t>Expected Booking 2030</t>
  </si>
  <si>
    <t>Expected Booking 2031</t>
  </si>
  <si>
    <t>Note</t>
  </si>
  <si>
    <t>Q1'26</t>
  </si>
  <si>
    <t>Elekta: BOM &amp; Vulnerability Management Recurring 2026</t>
  </si>
  <si>
    <t>John</t>
  </si>
  <si>
    <t>Recurring</t>
  </si>
  <si>
    <t>win</t>
  </si>
  <si>
    <t>Medical</t>
  </si>
  <si>
    <t>North America</t>
  </si>
  <si>
    <t>CNH: Renewal</t>
  </si>
  <si>
    <t>Renewal</t>
  </si>
  <si>
    <t>purchasing engaged</t>
  </si>
  <si>
    <t>EVSec Base, EVSec Analysis, EVSec Workflow Automation</t>
  </si>
  <si>
    <t>Other verticals</t>
  </si>
  <si>
    <t>IVECO: Fixed price renewal 2026</t>
  </si>
  <si>
    <t>Stephane</t>
  </si>
  <si>
    <t>EVSec Base, EVSec Analysis, EVSec BOM &amp; Vulnerability Management Management, EVSec Workflow Automation, EVSec BI, EVSec Threat Intelligence</t>
  </si>
  <si>
    <t>Automotive</t>
  </si>
  <si>
    <t>EMEA</t>
  </si>
  <si>
    <t>CNH: Upsell</t>
  </si>
  <si>
    <t>Upsell</t>
  </si>
  <si>
    <t>Compunetix: Renewal</t>
  </si>
  <si>
    <t>Nova BioMedical: Renewal</t>
  </si>
  <si>
    <t>Active Protective: Renewal</t>
  </si>
  <si>
    <t>Bayer: Renewal</t>
  </si>
  <si>
    <t>Daimler Truck: Upsell 1</t>
  </si>
  <si>
    <t>EVSec BOM &amp; Vulnerability Management Management</t>
  </si>
  <si>
    <t>Daimler Truck: Upsell 2</t>
  </si>
  <si>
    <t>EVSec Workflow Automation</t>
  </si>
  <si>
    <t>Triumph: Commercial</t>
  </si>
  <si>
    <t>New Business</t>
  </si>
  <si>
    <t>EVSec Base, EVSec Analysis</t>
  </si>
  <si>
    <t>Nissan US: Commercial</t>
  </si>
  <si>
    <t>Roy</t>
  </si>
  <si>
    <t>Polaris: PoC</t>
  </si>
  <si>
    <t>PoC</t>
  </si>
  <si>
    <t>EVSec Base, EVSec BOM &amp; Vulnerability Management</t>
  </si>
  <si>
    <t>Elekta: Upsell + Scale Support</t>
  </si>
  <si>
    <t>interested</t>
  </si>
  <si>
    <t>EVSec Binary Analysis, Reccuring Scale-up support</t>
  </si>
  <si>
    <t>Steris: PoC</t>
  </si>
  <si>
    <t>Danaher: PoC</t>
  </si>
  <si>
    <t>Cummins: Orchestration PoC (6-sigma Project)</t>
  </si>
  <si>
    <t>Elekta: Renewal</t>
  </si>
  <si>
    <t>no indication (high)</t>
  </si>
  <si>
    <t>Forvia: Accelerated CR Support Upsell</t>
  </si>
  <si>
    <t>Fuso: Pilot</t>
  </si>
  <si>
    <t>Pilot</t>
  </si>
  <si>
    <t>EVSec Base, EVSec Analysis, EVSec BOM &amp; Vulnerability Management,EVSec Workflow Automation, EVSec BI, EVSec Threat Intelligence</t>
  </si>
  <si>
    <t>APAC</t>
  </si>
  <si>
    <t>Tata:RFQ Pilot</t>
  </si>
  <si>
    <t>JLR: PoC</t>
  </si>
  <si>
    <t>EVSec Base, EVSec Analysis, EVSec BOM &amp; Vulnerability Management</t>
  </si>
  <si>
    <t>2025 Prospects Cleanup: PoC (May Mobility, Servomex, etc.)</t>
  </si>
  <si>
    <t>no indication (low)</t>
  </si>
  <si>
    <t>Medical MDM related: PoC 1 (Bracco, Hologic, Werfen, Accuray, etc.)</t>
  </si>
  <si>
    <t>Medical HDO related: PoC 1 (Mayo Clinic, etc.)</t>
  </si>
  <si>
    <t>CRA related: PoC 1 (TPLink, Aveva, SEL, Hubbell, etc.)</t>
  </si>
  <si>
    <t>LivaNova: PoC</t>
  </si>
  <si>
    <t>Marquardt: PoC</t>
  </si>
  <si>
    <t>Traton: RFI PoC</t>
  </si>
  <si>
    <t>Renault: PoC</t>
  </si>
  <si>
    <t>Maruti Suzuki: PoC</t>
  </si>
  <si>
    <t>Smith+Nephew: RFP PoC</t>
  </si>
  <si>
    <t>Volvo Group VGCS: PoC</t>
  </si>
  <si>
    <t>VW Passenger Cars: Commercial 1</t>
  </si>
  <si>
    <t>EVSec Base, EVSec BOM &amp; Vulnerability Management Management</t>
  </si>
  <si>
    <t>Q2'26</t>
  </si>
  <si>
    <t>Vinfast: Renewal</t>
  </si>
  <si>
    <t>Ferrari: Renewal</t>
  </si>
  <si>
    <t>AdaptiveEndo: Renewal</t>
  </si>
  <si>
    <t>DaTrend: Renewal</t>
  </si>
  <si>
    <t>Micropos: Renewal</t>
  </si>
  <si>
    <t>Medtronic: PoC</t>
  </si>
  <si>
    <t>Aptiv: Upsell</t>
  </si>
  <si>
    <t>Vinfast: Upsell</t>
  </si>
  <si>
    <t>Ferrari: Upsell</t>
  </si>
  <si>
    <t>Ford Otosan: BOM and Vulnerability Management Upsell</t>
  </si>
  <si>
    <t>Forvia: Upsell</t>
  </si>
  <si>
    <t>Vigilant Ops: Upsell 1</t>
  </si>
  <si>
    <t>Ree: Commercial</t>
  </si>
  <si>
    <t>Harman: Commercial</t>
  </si>
  <si>
    <t>Valeo RFQ: Commercial</t>
  </si>
  <si>
    <t>Suzuki: Commercial</t>
  </si>
  <si>
    <t>Hitachi: Resale 1</t>
  </si>
  <si>
    <t>BMW: TARA Commercial</t>
  </si>
  <si>
    <t>Medical MDM related: Commercial 1 (Bracco, Hologic, Werfen, Accuray, etc.)</t>
  </si>
  <si>
    <t>Medical HDO related: Commercial 1 (Mayo Clinic, etc.)</t>
  </si>
  <si>
    <t>CRA: Commercial 1 (TPLink, Aveva, SEL, Hubbell, etc.)</t>
  </si>
  <si>
    <t>CRA</t>
  </si>
  <si>
    <t>Volvo Cars: Pilot</t>
  </si>
  <si>
    <t>ZF Group: PoC</t>
  </si>
  <si>
    <t>Mahle: PoC</t>
  </si>
  <si>
    <t>General Motors: PoC</t>
  </si>
  <si>
    <t>Ford: PoC</t>
  </si>
  <si>
    <t>Magna: PoC</t>
  </si>
  <si>
    <t>Stellantis: PoC</t>
  </si>
  <si>
    <t>Medical MDM related: PoC 2 (Bracco, Hologic, Werfen, Accuray, etc.)</t>
  </si>
  <si>
    <t>Medical MDM related: PoC 3 (Bracco, Hologic, Werfen, Accuray, etc.)</t>
  </si>
  <si>
    <t>Medical HDO related: PoC 2 (Mayo Clinic, etc.)</t>
  </si>
  <si>
    <t>CRA related: PoC 2 (TPLink, Aveva, SEL, Hubbell, etc.)</t>
  </si>
  <si>
    <t>CRA related: PoC 3 (TPLink, Aveva, SEL, Hubbell, etc.)</t>
  </si>
  <si>
    <t>VW Passenger Cars: Commercial 2</t>
  </si>
  <si>
    <t>Volvo Group VGTT or Coretura: PoC</t>
  </si>
  <si>
    <t>Accenture: Renewal</t>
  </si>
  <si>
    <t>Q3'26</t>
  </si>
  <si>
    <t>Cummins (Accelera): Recurring 2026</t>
  </si>
  <si>
    <t>Cummins (EBU): Recurring 2026</t>
  </si>
  <si>
    <t>EVSec Base, EV</t>
  </si>
  <si>
    <t>Cummins (PCRA): Recurring 2026</t>
  </si>
  <si>
    <t>Daimler Truck: BI Module Renewal</t>
  </si>
  <si>
    <t>EVSec BI</t>
  </si>
  <si>
    <t>Ford otosan (TARA): Renewal</t>
  </si>
  <si>
    <t>JLR: TARA Commercial</t>
  </si>
  <si>
    <t>Woodward: Upsell</t>
  </si>
  <si>
    <t>Vigilant Ops: Upsell 2</t>
  </si>
  <si>
    <t>Fuso: Commercial</t>
  </si>
  <si>
    <t>Volvo Group VGCS: Commercial</t>
  </si>
  <si>
    <t>Reseller (Reply, Dassault etc.): Commercial</t>
  </si>
  <si>
    <t>Renault: Commercial</t>
  </si>
  <si>
    <t>Tata: Commercial</t>
  </si>
  <si>
    <t>Polaris: Commercial</t>
  </si>
  <si>
    <t>Medical HDO related: Commercial 2 (Mayo Clinic, etc.)</t>
  </si>
  <si>
    <t>Medical MDM related: Commercial 2 (Bracco, Hologic, Werfen, Accuray, etc.)</t>
  </si>
  <si>
    <t>Medical MDM related: Commercial 3 (Bracco, Hologic, Werfen, Accuray, etc.)</t>
  </si>
  <si>
    <t>Danaher: Commercial</t>
  </si>
  <si>
    <t>CRA related: Commercial 2 (TPLink, Aveva, SEL, Hubbell, etc.)</t>
  </si>
  <si>
    <t>CRA related: Commercial 3 (TPLink, Aveva, SEL, Hubbell, etc.)</t>
  </si>
  <si>
    <t>Medical HDO related: PoC 3 (Mayo Clinic, etc.)</t>
  </si>
  <si>
    <t>Medical MDM related: PoC 4 (Bracco, Hologic, Werfen, Accuray, etc.)</t>
  </si>
  <si>
    <t>Medical MDM related: PoC 5 (Bracco, Hologic, Werfen, Accuray, etc.)</t>
  </si>
  <si>
    <t>CRA related: PoC 4 (TPLink, Aveva, SEL, Hubbell, etc.)</t>
  </si>
  <si>
    <t>CRA related: PoC 5 (TPLink, Aveva, SEL, Hubbell, etc.)</t>
  </si>
  <si>
    <t>IVECO: Commercial</t>
  </si>
  <si>
    <t>Traton: Commercial</t>
  </si>
  <si>
    <t>Siemens Healthineers: Commercial</t>
  </si>
  <si>
    <t>Maruti Suzuki: Commercial</t>
  </si>
  <si>
    <t>Ford otosan: Upsell</t>
  </si>
  <si>
    <t>Q4'26</t>
  </si>
  <si>
    <t>Rivian VW: Recurring 2026</t>
  </si>
  <si>
    <t>Daimler Truck: Recurring 2026</t>
  </si>
  <si>
    <t>Woodward: Recurring 2026</t>
  </si>
  <si>
    <t>Aptiv TARA: Recurring 2026</t>
  </si>
  <si>
    <t>Forvia: BOM &amp; Vulnerability Management Recurring 2026</t>
  </si>
  <si>
    <t>Zynex Medical: Renewal</t>
  </si>
  <si>
    <t>Elucent: Renewal</t>
  </si>
  <si>
    <t>Helen of Troy: Renewal</t>
  </si>
  <si>
    <t>Ascensia: Renewal</t>
  </si>
  <si>
    <t>Epredia: Renewal</t>
  </si>
  <si>
    <t>Meadowgate Technologies (NIAP): Renewal</t>
  </si>
  <si>
    <t xml:space="preserve">Daimler Truck: Accelerated CR support Upsell </t>
  </si>
  <si>
    <t>Cummins: Global TARA and Additional Module Upsell</t>
  </si>
  <si>
    <t>Industrial</t>
  </si>
  <si>
    <t xml:space="preserve">Daimler Truck: Risk for IT Upsell </t>
  </si>
  <si>
    <t>Smith+Nephew: RFP Commercial</t>
  </si>
  <si>
    <t>Vigilant Ops: Upsell 3</t>
  </si>
  <si>
    <t>General Motors: Commercial</t>
  </si>
  <si>
    <t>Ford: Commercial</t>
  </si>
  <si>
    <t>Magna: Commercial</t>
  </si>
  <si>
    <t>Stellantis: Commercial</t>
  </si>
  <si>
    <t>ZF Group: Commercial</t>
  </si>
  <si>
    <t>Steris: Commercial</t>
  </si>
  <si>
    <t>Medtronic: Commercial</t>
  </si>
  <si>
    <t>Hitachi: Resale 2</t>
  </si>
  <si>
    <t>Mahle: Commercial</t>
  </si>
  <si>
    <t>NA</t>
  </si>
  <si>
    <t>Medical HDO related: Commercial 3 (Mayo Clinic, etc.)</t>
  </si>
  <si>
    <t>Medical MDM related: Commercial 4 (Bracco, Hologic, Werfen, Accuray, etc.)</t>
  </si>
  <si>
    <t>Medical MDM related: Commercial 5 (Bracco, Hologic, Werfen, Accuray, etc.)</t>
  </si>
  <si>
    <t>CRA related: Commercial 4 (TPLink, Aveva, SEL, Hubbell, etc.)</t>
  </si>
  <si>
    <t>CRA related: Commercial 5 (TPLink, Aveva, SEL, Hubbell, etc.)</t>
  </si>
  <si>
    <t>Medical HDO related: PoC 4 (Mayo Clinic, etc.)</t>
  </si>
  <si>
    <t>Medical MDM related: PoC 6 (Bracco, Hologic, Werfen, Accuray, etc.)</t>
  </si>
  <si>
    <t>Medical MDM related: PoC 7 (Bracco, Hologic, Werfen, Accuray, etc.)</t>
  </si>
  <si>
    <t>CRA related: PoC 6 (TPLink, Aveva, SEL, Hubbell, etc.)</t>
  </si>
  <si>
    <t>CRA related: PoC 7 (TPLink, Aveva, SEL, Hubbell, etc.)</t>
  </si>
  <si>
    <t>Cummins: BOM &amp; Vulnerability Management Upsell</t>
  </si>
  <si>
    <t>Volvo Group VGTT or Coretura: 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</si>
</sst>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_(* #,##0_);_(* \(#,##0\);_(* &quot;-&quot;??_);_(@_)"/>
  </numFmts>
  <fonts count="10" x14ac:knownFonts="1"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indexed="8"/>
      <name val="Calibri"/>
      <family val="2"/>
    </font>
    <font>
      <sz val="12"/>
      <color rgb="FF000000"/>
      <name val="Calibri"/>
      <family val="2"/>
    </font>
    <font>
      <b/>
      <sz val="12"/>
      <color indexed="8"/>
      <name val="Calibri"/>
      <family val="2"/>
    </font>
    <font>
      <u/>
      <sz val="12"/>
      <color theme="1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64" fontId="3" fillId="2" borderId="5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9" fontId="3" fillId="2" borderId="1" xfId="0" applyNumberFormat="1" applyFont="1" applyFill="1" applyBorder="1" applyAlignment="1">
      <alignment vertical="center" wrapText="1"/>
    </xf>
    <xf numFmtId="9" fontId="4" fillId="2" borderId="1" xfId="0" applyNumberFormat="1" applyFont="1" applyFill="1" applyBorder="1" applyAlignment="1">
      <alignment vertical="center" wrapText="1"/>
    </xf>
    <xf numFmtId="165" fontId="3" fillId="2" borderId="1" xfId="0" applyNumberFormat="1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3" fillId="0" borderId="5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9" fontId="3" fillId="0" borderId="1" xfId="0" applyNumberFormat="1" applyFont="1" applyBorder="1" applyAlignment="1">
      <alignment vertical="center" wrapText="1"/>
    </xf>
    <xf numFmtId="3" fontId="4" fillId="0" borderId="2" xfId="0" applyNumberFormat="1" applyFont="1" applyBorder="1" applyAlignment="1">
      <alignment vertical="center" wrapText="1"/>
    </xf>
    <xf numFmtId="38" fontId="9" fillId="0" borderId="0" xfId="0" applyNumberFormat="1" applyFont="1" applyAlignment="1">
      <alignment vertical="center" wrapText="1"/>
    </xf>
    <xf numFmtId="38" fontId="3" fillId="0" borderId="1" xfId="0" applyNumberFormat="1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vertical="center" wrapText="1"/>
    </xf>
    <xf numFmtId="164" fontId="4" fillId="0" borderId="6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9" fontId="4" fillId="0" borderId="3" xfId="0" applyNumberFormat="1" applyFont="1" applyBorder="1" applyAlignment="1">
      <alignment vertical="center" wrapText="1"/>
    </xf>
    <xf numFmtId="165" fontId="3" fillId="0" borderId="3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9" fontId="8" fillId="2" borderId="1" xfId="0" applyNumberFormat="1" applyFont="1" applyFill="1" applyBorder="1" applyAlignment="1">
      <alignment vertical="center" wrapText="1"/>
    </xf>
    <xf numFmtId="164" fontId="4" fillId="0" borderId="5" xfId="0" applyNumberFormat="1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164" fontId="4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9" fontId="4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165" fontId="8" fillId="0" borderId="0" xfId="0" applyNumberFormat="1" applyFont="1" applyAlignment="1">
      <alignment vertical="center" wrapText="1"/>
    </xf>
  </cellXfs>
  <cellStyles count="3">
    <cellStyle name="Hyperlink 2" xfId="2" xr:uid="{EE476DDC-E321-D848-B423-3B0309FB16BA}"/>
    <cellStyle name="Normal" xfId="0" builtinId="0"/>
    <cellStyle name="Normal 2" xfId="1" xr:uid="{AAC23EA8-DC71-2E49-8A60-04E4B37EC15F}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65" formatCode="_(* #,##0_);_(* \(#,##0\);_(* &quot;-&quot;??_);_(@_)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65" formatCode="_(* #,##0_);_(* \(#,##0\);_(* &quot;-&quot;??_);_(@_)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65" formatCode="_(* #,##0_);_(* \(#,##0\);_(* &quot;-&quot;??_);_(@_)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5D3147-937F-8D49-9701-3BDD8E427B63}" name="Table1" displayName="Table1" ref="A1:V142" totalsRowShown="0" headerRowDxfId="26" dataDxfId="24" headerRowBorderDxfId="25" tableBorderDxfId="23" totalsRowBorderDxfId="22">
  <autoFilter ref="A1:V142" xr:uid="{095D3147-937F-8D49-9701-3BDD8E427B63}"/>
  <tableColumns count="22">
    <tableColumn id="1" xr3:uid="{DE711295-EF6D-6B4C-B0D9-263423B358C9}" name="Quarter to Close" dataDxfId="21"/>
    <tableColumn id="2" xr3:uid="{E2D0F3BB-8EA6-1B4D-9D93-EDCB38793E57}" name="Deal Name" dataDxfId="20"/>
    <tableColumn id="20" xr3:uid="{2C8D9D2C-F4DE-6843-8B5F-CE5F817973FA}" name="Deal Owner" dataDxfId="19"/>
    <tableColumn id="21" xr3:uid="{0A130DA9-BFD4-B44A-B762-BD1041192A2E}" name="Deal Type" dataDxfId="18"/>
    <tableColumn id="4" xr3:uid="{6920CB0C-FDCE-7B48-835D-9CB9B0B57887}" name="Deal Stage" dataDxfId="17"/>
    <tableColumn id="18" xr3:uid="{D5A51F65-401F-E44C-B892-DB3D1E5A446B}" name="First Modules to be purchased (EVSec BASE is Mandatory)" dataDxfId="16"/>
    <tableColumn id="19" xr3:uid="{01A599DA-A522-DF40-8D14-109AF0454879}" name="Vertical" dataDxfId="15"/>
    <tableColumn id="17" xr3:uid="{2D9FE09B-B7E0-4E2A-8851-F4189A10654A}" name="Region" dataDxfId="14"/>
    <tableColumn id="22" xr3:uid="{49F2E6D5-D81A-9D40-BD7B-C9B926467688}" name="Auto Probability (by deal stage)" dataDxfId="13">
      <calculatedColumnFormula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calculatedColumnFormula>
    </tableColumn>
    <tableColumn id="6" xr3:uid="{44BC1CE8-E43E-F24F-8F03-DFFBC181A0FF}" name="Conservative Probability" dataDxfId="12"/>
    <tableColumn id="7" xr3:uid="{75FC40AC-3CAB-AA4E-BB08-3D33965226A7}" name="Total Amount" dataDxfId="11">
      <calculatedColumnFormula>Table1[[#This Row],[Recurring Amount]]+Table1[[#This Row],[Non Recurring Amount]]</calculatedColumnFormula>
    </tableColumn>
    <tableColumn id="8" xr3:uid="{746786C7-3970-7E4F-BEC8-83D6B21EDB49}" name="Recurring Amount" dataDxfId="10"/>
    <tableColumn id="9" xr3:uid="{2A1CDA07-9A47-0C46-B198-14C528E54286}" name="Non Recurring Amount" dataDxfId="9"/>
    <tableColumn id="10" xr3:uid="{6F6A816F-4761-8D4E-A86F-8EEF89C377D7}" name="Recurring Deal" dataDxfId="8"/>
    <tableColumn id="15" xr3:uid="{2406574F-7E3F-432D-90B7-F60D5D56A320}" name="#" dataDxfId="7"/>
    <tableColumn id="16" xr3:uid="{2FE04956-10C9-4F9F-B55E-910617A4917D}" name="Weighted Amount Conservative " dataDxfId="6">
      <calculatedColumnFormula>Table1[[#This Row],[Total Amount]]*Table1[[#This Row],[Conservative Probability]]</calculatedColumnFormula>
    </tableColumn>
    <tableColumn id="12" xr3:uid="{75661EED-A003-DE4A-BF03-F0C92DE855DA}" name="Expected Booking 2026" dataDxfId="5"/>
    <tableColumn id="13" xr3:uid="{4D381ACA-F518-2843-AC32-D8C48EAE63F8}" name="Expected Booking 2028" dataDxfId="4"/>
    <tableColumn id="14" xr3:uid="{07220326-487D-6246-B82E-2221B4050934}" name="Expected Booking 2029" dataDxfId="3"/>
    <tableColumn id="3" xr3:uid="{0A42F6BF-3D0C-4EC8-B0E2-EF0E6E81CEDA}" name="Expected Booking 2030" dataDxfId="2"/>
    <tableColumn id="11" xr3:uid="{0C542D81-A002-4842-AF23-C2B00F9F6E61}" name="Expected Booking 2031" dataDxfId="1"/>
    <tableColumn id="5" xr3:uid="{AAAA5DE3-5648-4443-8612-5846BCF169E4}" name="Note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4" sqref="B14"/>
    </sheetView>
  </sheetViews>
  <sheetFormatPr baseColWidth="10" defaultColWidth="8.83203125" defaultRowHeight="16" x14ac:dyDescent="0.2"/>
  <cols>
    <col min="1" max="1" width="21" style="12" customWidth="1"/>
    <col min="2" max="2" width="65.83203125" style="12" bestFit="1" customWidth="1"/>
    <col min="3" max="4" width="31.33203125" style="12" customWidth="1"/>
    <col min="5" max="5" width="27.6640625" style="12" customWidth="1"/>
    <col min="6" max="6" width="91" style="12" hidden="1" customWidth="1"/>
    <col min="7" max="7" width="15.5" style="12" hidden="1" customWidth="1"/>
    <col min="8" max="9" width="16" style="12" hidden="1" customWidth="1"/>
    <col min="10" max="10" width="20.83203125" style="12" customWidth="1"/>
    <col min="11" max="11" width="22" style="12" customWidth="1"/>
    <col min="12" max="12" width="17.83203125" style="12" bestFit="1" customWidth="1"/>
    <col min="13" max="13" width="17.5" style="12" customWidth="1"/>
    <col min="14" max="14" width="20.33203125" style="12" customWidth="1"/>
    <col min="15" max="15" width="11.5" style="12" customWidth="1"/>
    <col min="16" max="16" width="13.5" style="12" customWidth="1"/>
    <col min="17" max="17" width="31" style="12" customWidth="1"/>
    <col min="18" max="21" width="24.5" style="12" bestFit="1" customWidth="1"/>
    <col min="22" max="22" width="66.5" style="12" bestFit="1" customWidth="1"/>
    <col min="23" max="16384" width="8.83203125" style="12"/>
  </cols>
  <sheetData>
    <row r="1" spans="1:22" ht="51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</row>
    <row r="2" spans="1:22" x14ac:dyDescent="0.2">
      <c r="A2" s="13"/>
      <c r="B2" s="14"/>
      <c r="C2" s="14"/>
      <c r="D2" s="14"/>
      <c r="E2" s="14"/>
      <c r="F2" s="14"/>
      <c r="G2" s="14"/>
      <c r="H2" s="14"/>
      <c r="I2" s="15" t="e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#N/A</v>
      </c>
      <c r="J2" s="16"/>
      <c r="K2" s="17">
        <f>Table1[[#This Row],[Recurring Amount]]+Table1[[#This Row],[Non Recurring Amount]]</f>
        <v>0</v>
      </c>
      <c r="L2" s="17"/>
      <c r="M2" s="17"/>
      <c r="N2" s="1"/>
      <c r="O2" s="1"/>
      <c r="P2" s="2"/>
      <c r="Q2" s="17"/>
      <c r="R2" s="17"/>
      <c r="S2" s="18"/>
      <c r="T2" s="15"/>
      <c r="U2" s="17"/>
      <c r="V2" s="19"/>
    </row>
    <row r="3" spans="1:22" ht="17" x14ac:dyDescent="0.2">
      <c r="A3" s="20" t="s">
        <v>22</v>
      </c>
      <c r="B3" s="21" t="s">
        <v>23</v>
      </c>
      <c r="C3" s="19" t="s">
        <v>24</v>
      </c>
      <c r="D3" s="19" t="s">
        <v>25</v>
      </c>
      <c r="E3" s="19" t="s">
        <v>26</v>
      </c>
      <c r="F3" s="22"/>
      <c r="G3" s="22" t="s">
        <v>27</v>
      </c>
      <c r="H3" s="22" t="s">
        <v>28</v>
      </c>
      <c r="I3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3" s="23">
        <v>1</v>
      </c>
      <c r="K3" s="24">
        <f>Table1[[#This Row],[Recurring Amount]]+Table1[[#This Row],[Non Recurring Amount]]</f>
        <v>125000</v>
      </c>
      <c r="L3" s="25">
        <v>125000</v>
      </c>
      <c r="M3" s="24">
        <v>0</v>
      </c>
      <c r="N3" s="3"/>
      <c r="O3" s="3"/>
      <c r="P3" s="4">
        <f>Table1[[#This Row],[Total Amount]]*Table1[[#This Row],[Conservative Probability]]</f>
        <v>125000</v>
      </c>
      <c r="Q3" s="24"/>
      <c r="R3" s="24"/>
      <c r="S3" s="24"/>
      <c r="T3" s="24"/>
      <c r="U3" s="24"/>
      <c r="V3" s="19"/>
    </row>
    <row r="4" spans="1:22" s="27" customFormat="1" ht="17" x14ac:dyDescent="0.2">
      <c r="A4" s="20" t="s">
        <v>22</v>
      </c>
      <c r="B4" s="21" t="s">
        <v>29</v>
      </c>
      <c r="C4" s="19" t="s">
        <v>24</v>
      </c>
      <c r="D4" s="19" t="s">
        <v>30</v>
      </c>
      <c r="E4" s="19" t="s">
        <v>31</v>
      </c>
      <c r="F4" s="22" t="s">
        <v>32</v>
      </c>
      <c r="G4" s="22" t="s">
        <v>33</v>
      </c>
      <c r="H4" s="22" t="s">
        <v>28</v>
      </c>
      <c r="I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4" s="23">
        <v>0.9</v>
      </c>
      <c r="K4" s="24">
        <f>Table1[[#This Row],[Recurring Amount]]+Table1[[#This Row],[Non Recurring Amount]]</f>
        <v>250000</v>
      </c>
      <c r="L4" s="24">
        <v>0</v>
      </c>
      <c r="M4" s="26">
        <v>250000</v>
      </c>
      <c r="N4" s="3"/>
      <c r="O4" s="3"/>
      <c r="P4" s="4">
        <f>Table1[[#This Row],[Total Amount]]*Table1[[#This Row],[Conservative Probability]]</f>
        <v>225000</v>
      </c>
      <c r="Q4" s="24"/>
      <c r="R4" s="24"/>
      <c r="S4" s="24"/>
      <c r="T4" s="24"/>
      <c r="U4" s="24"/>
      <c r="V4" s="19"/>
    </row>
    <row r="5" spans="1:22" ht="28" customHeight="1" x14ac:dyDescent="0.2">
      <c r="A5" s="20" t="s">
        <v>22</v>
      </c>
      <c r="B5" s="19" t="s">
        <v>34</v>
      </c>
      <c r="C5" s="19" t="s">
        <v>35</v>
      </c>
      <c r="D5" s="19" t="s">
        <v>30</v>
      </c>
      <c r="E5" s="19" t="s">
        <v>31</v>
      </c>
      <c r="F5" s="22" t="s">
        <v>36</v>
      </c>
      <c r="G5" s="22" t="s">
        <v>37</v>
      </c>
      <c r="H5" s="19" t="s">
        <v>38</v>
      </c>
      <c r="I5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5" s="23">
        <v>0.9</v>
      </c>
      <c r="K5" s="24">
        <f>Table1[[#This Row],[Recurring Amount]]+Table1[[#This Row],[Non Recurring Amount]]</f>
        <v>94000</v>
      </c>
      <c r="L5" s="24">
        <v>94000</v>
      </c>
      <c r="M5" s="24">
        <v>0</v>
      </c>
      <c r="N5" s="3"/>
      <c r="O5" s="3"/>
      <c r="P5" s="4">
        <f>Table1[[#This Row],[Total Amount]]*Table1[[#This Row],[Conservative Probability]]</f>
        <v>84600</v>
      </c>
      <c r="Q5" s="24"/>
      <c r="R5" s="24"/>
      <c r="S5" s="24"/>
      <c r="T5" s="24"/>
      <c r="U5" s="24"/>
      <c r="V5" s="19"/>
    </row>
    <row r="6" spans="1:22" s="27" customFormat="1" ht="17" x14ac:dyDescent="0.2">
      <c r="A6" s="20" t="s">
        <v>22</v>
      </c>
      <c r="B6" s="21" t="s">
        <v>39</v>
      </c>
      <c r="C6" s="19" t="s">
        <v>24</v>
      </c>
      <c r="D6" s="19" t="s">
        <v>40</v>
      </c>
      <c r="E6" s="19" t="s">
        <v>31</v>
      </c>
      <c r="F6" s="22" t="s">
        <v>32</v>
      </c>
      <c r="G6" s="22" t="s">
        <v>33</v>
      </c>
      <c r="H6" s="22" t="s">
        <v>28</v>
      </c>
      <c r="I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6" s="23">
        <v>0.9</v>
      </c>
      <c r="K6" s="24">
        <f>Table1[[#This Row],[Recurring Amount]]+Table1[[#This Row],[Non Recurring Amount]]</f>
        <v>150000</v>
      </c>
      <c r="L6" s="24">
        <v>0</v>
      </c>
      <c r="M6" s="29">
        <v>150000</v>
      </c>
      <c r="N6" s="3"/>
      <c r="O6" s="3"/>
      <c r="P6" s="4">
        <f>Table1[[#This Row],[Total Amount]]*Table1[[#This Row],[Conservative Probability]]</f>
        <v>135000</v>
      </c>
      <c r="Q6" s="24"/>
      <c r="R6" s="24"/>
      <c r="S6" s="24"/>
      <c r="T6" s="24"/>
      <c r="U6" s="24"/>
      <c r="V6" s="19"/>
    </row>
    <row r="7" spans="1:22" ht="17" x14ac:dyDescent="0.2">
      <c r="A7" s="20" t="s">
        <v>22</v>
      </c>
      <c r="B7" s="19" t="s">
        <v>41</v>
      </c>
      <c r="C7" s="19" t="s">
        <v>24</v>
      </c>
      <c r="D7" s="19" t="s">
        <v>30</v>
      </c>
      <c r="E7" s="19" t="s">
        <v>31</v>
      </c>
      <c r="F7" s="22"/>
      <c r="G7" s="22" t="s">
        <v>33</v>
      </c>
      <c r="H7" s="19" t="s">
        <v>28</v>
      </c>
      <c r="I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7" s="23">
        <v>0.5</v>
      </c>
      <c r="K7" s="24">
        <f>Table1[[#This Row],[Recurring Amount]]+Table1[[#This Row],[Non Recurring Amount]]</f>
        <v>23900</v>
      </c>
      <c r="L7" s="30">
        <v>23900</v>
      </c>
      <c r="M7" s="24">
        <v>0</v>
      </c>
      <c r="N7" s="3"/>
      <c r="O7" s="3"/>
      <c r="P7" s="4">
        <f>Table1[[#This Row],[Total Amount]]*Table1[[#This Row],[Conservative Probability]]</f>
        <v>11950</v>
      </c>
      <c r="Q7" s="24"/>
      <c r="R7" s="24"/>
      <c r="S7" s="24"/>
      <c r="T7" s="24"/>
      <c r="U7" s="24"/>
      <c r="V7" s="19"/>
    </row>
    <row r="8" spans="1:22" ht="17" x14ac:dyDescent="0.2">
      <c r="A8" s="20" t="s">
        <v>22</v>
      </c>
      <c r="B8" s="19" t="s">
        <v>42</v>
      </c>
      <c r="C8" s="19" t="s">
        <v>24</v>
      </c>
      <c r="D8" s="19" t="s">
        <v>30</v>
      </c>
      <c r="E8" s="19" t="s">
        <v>31</v>
      </c>
      <c r="F8" s="22"/>
      <c r="G8" s="22" t="s">
        <v>27</v>
      </c>
      <c r="H8" s="19" t="s">
        <v>28</v>
      </c>
      <c r="I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8" s="23">
        <v>0.5</v>
      </c>
      <c r="K8" s="24">
        <f>Table1[[#This Row],[Recurring Amount]]+Table1[[#This Row],[Non Recurring Amount]]</f>
        <v>23900</v>
      </c>
      <c r="L8" s="31">
        <v>23900</v>
      </c>
      <c r="M8" s="24">
        <v>0</v>
      </c>
      <c r="N8" s="3"/>
      <c r="O8" s="3"/>
      <c r="P8" s="4">
        <f>Table1[[#This Row],[Total Amount]]*Table1[[#This Row],[Conservative Probability]]</f>
        <v>11950</v>
      </c>
      <c r="Q8" s="24"/>
      <c r="R8" s="24"/>
      <c r="S8" s="24"/>
      <c r="T8" s="24"/>
      <c r="U8" s="24"/>
      <c r="V8" s="19"/>
    </row>
    <row r="9" spans="1:22" ht="17" x14ac:dyDescent="0.2">
      <c r="A9" s="20" t="s">
        <v>22</v>
      </c>
      <c r="B9" s="32" t="s">
        <v>43</v>
      </c>
      <c r="C9" s="19" t="s">
        <v>24</v>
      </c>
      <c r="D9" s="19" t="s">
        <v>30</v>
      </c>
      <c r="E9" s="19" t="s">
        <v>31</v>
      </c>
      <c r="F9" s="22"/>
      <c r="G9" s="22" t="s">
        <v>27</v>
      </c>
      <c r="H9" s="19" t="s">
        <v>28</v>
      </c>
      <c r="I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9" s="23">
        <v>0.5</v>
      </c>
      <c r="K9" s="24">
        <f>Table1[[#This Row],[Recurring Amount]]+Table1[[#This Row],[Non Recurring Amount]]</f>
        <v>9900</v>
      </c>
      <c r="L9" s="31">
        <v>9900</v>
      </c>
      <c r="M9" s="24">
        <v>0</v>
      </c>
      <c r="N9" s="3"/>
      <c r="O9" s="3"/>
      <c r="P9" s="4">
        <f>Table1[[#This Row],[Total Amount]]*Table1[[#This Row],[Conservative Probability]]</f>
        <v>4950</v>
      </c>
      <c r="Q9" s="24"/>
      <c r="R9" s="24"/>
      <c r="S9" s="24"/>
      <c r="T9" s="24"/>
      <c r="U9" s="24"/>
      <c r="V9" s="19"/>
    </row>
    <row r="10" spans="1:22" ht="17" x14ac:dyDescent="0.2">
      <c r="A10" s="20" t="s">
        <v>22</v>
      </c>
      <c r="B10" s="19" t="s">
        <v>44</v>
      </c>
      <c r="C10" s="19" t="s">
        <v>24</v>
      </c>
      <c r="D10" s="19" t="s">
        <v>30</v>
      </c>
      <c r="E10" s="19" t="s">
        <v>31</v>
      </c>
      <c r="F10" s="22"/>
      <c r="G10" s="22" t="s">
        <v>27</v>
      </c>
      <c r="H10" s="19" t="s">
        <v>28</v>
      </c>
      <c r="I1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0" s="23">
        <v>0.5</v>
      </c>
      <c r="K10" s="24">
        <f>Table1[[#This Row],[Recurring Amount]]+Table1[[#This Row],[Non Recurring Amount]]</f>
        <v>42000</v>
      </c>
      <c r="L10" s="31">
        <v>42000</v>
      </c>
      <c r="M10" s="24">
        <v>0</v>
      </c>
      <c r="N10" s="3"/>
      <c r="O10" s="3"/>
      <c r="P10" s="4">
        <f>Table1[[#This Row],[Total Amount]]*Table1[[#This Row],[Conservative Probability]]</f>
        <v>21000</v>
      </c>
      <c r="Q10" s="24"/>
      <c r="R10" s="24"/>
      <c r="S10" s="24"/>
      <c r="T10" s="24"/>
      <c r="U10" s="24"/>
      <c r="V10" s="19"/>
    </row>
    <row r="11" spans="1:22" ht="17" x14ac:dyDescent="0.2">
      <c r="A11" s="20" t="s">
        <v>22</v>
      </c>
      <c r="B11" s="19" t="s">
        <v>45</v>
      </c>
      <c r="C11" s="19" t="s">
        <v>35</v>
      </c>
      <c r="D11" s="19" t="s">
        <v>40</v>
      </c>
      <c r="E11" s="19" t="s">
        <v>31</v>
      </c>
      <c r="F11" s="22" t="s">
        <v>46</v>
      </c>
      <c r="G11" s="22" t="s">
        <v>37</v>
      </c>
      <c r="H11" s="19" t="s">
        <v>38</v>
      </c>
      <c r="I11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" s="23">
        <v>0.5</v>
      </c>
      <c r="K11" s="24">
        <f>Table1[[#This Row],[Recurring Amount]]+Table1[[#This Row],[Non Recurring Amount]]</f>
        <v>480000</v>
      </c>
      <c r="L11" s="24">
        <v>400000</v>
      </c>
      <c r="M11" s="24">
        <v>80000</v>
      </c>
      <c r="N11" s="3"/>
      <c r="O11" s="3"/>
      <c r="P11" s="4">
        <f>Table1[[#This Row],[Total Amount]]*Table1[[#This Row],[Conservative Probability]]</f>
        <v>240000</v>
      </c>
      <c r="Q11" s="24"/>
      <c r="R11" s="24"/>
      <c r="S11" s="24"/>
      <c r="T11" s="24"/>
      <c r="U11" s="24"/>
      <c r="V11" s="19"/>
    </row>
    <row r="12" spans="1:22" ht="17" x14ac:dyDescent="0.2">
      <c r="A12" s="20" t="s">
        <v>22</v>
      </c>
      <c r="B12" s="19" t="s">
        <v>47</v>
      </c>
      <c r="C12" s="19" t="s">
        <v>35</v>
      </c>
      <c r="D12" s="19" t="s">
        <v>40</v>
      </c>
      <c r="E12" s="19" t="s">
        <v>31</v>
      </c>
      <c r="F12" s="22" t="s">
        <v>48</v>
      </c>
      <c r="G12" s="22" t="s">
        <v>37</v>
      </c>
      <c r="H12" s="19" t="s">
        <v>38</v>
      </c>
      <c r="I1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2" s="23">
        <v>0.5</v>
      </c>
      <c r="K12" s="24">
        <f>Table1[[#This Row],[Recurring Amount]]+Table1[[#This Row],[Non Recurring Amount]]</f>
        <v>300000</v>
      </c>
      <c r="L12" s="24">
        <v>300000</v>
      </c>
      <c r="M12" s="24">
        <v>0</v>
      </c>
      <c r="N12" s="3"/>
      <c r="O12" s="3"/>
      <c r="P12" s="4">
        <f>Table1[[#This Row],[Total Amount]]*Table1[[#This Row],[Conservative Probability]]</f>
        <v>150000</v>
      </c>
      <c r="Q12" s="24"/>
      <c r="R12" s="24"/>
      <c r="S12" s="24"/>
      <c r="T12" s="24"/>
      <c r="U12" s="24"/>
      <c r="V12" s="19"/>
    </row>
    <row r="13" spans="1:22" ht="17" x14ac:dyDescent="0.2">
      <c r="A13" s="20" t="s">
        <v>22</v>
      </c>
      <c r="B13" s="19" t="s">
        <v>49</v>
      </c>
      <c r="C13" s="19" t="s">
        <v>35</v>
      </c>
      <c r="D13" s="19" t="s">
        <v>50</v>
      </c>
      <c r="E13" s="19" t="s">
        <v>31</v>
      </c>
      <c r="F13" s="22" t="s">
        <v>51</v>
      </c>
      <c r="G13" s="22" t="s">
        <v>37</v>
      </c>
      <c r="H13" s="19" t="s">
        <v>38</v>
      </c>
      <c r="I1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3" s="23">
        <v>0.5</v>
      </c>
      <c r="K13" s="24">
        <f>Table1[[#This Row],[Recurring Amount]]+Table1[[#This Row],[Non Recurring Amount]]</f>
        <v>48000</v>
      </c>
      <c r="L13" s="24">
        <v>48000</v>
      </c>
      <c r="M13" s="24">
        <v>0</v>
      </c>
      <c r="N13" s="3"/>
      <c r="O13" s="3"/>
      <c r="P13" s="4">
        <f>Table1[[#This Row],[Total Amount]]*Table1[[#This Row],[Conservative Probability]]</f>
        <v>24000</v>
      </c>
      <c r="Q13" s="24"/>
      <c r="R13" s="24"/>
      <c r="S13" s="24"/>
      <c r="T13" s="24"/>
      <c r="U13" s="24"/>
      <c r="V13" s="19"/>
    </row>
    <row r="14" spans="1:22" ht="17" x14ac:dyDescent="0.2">
      <c r="A14" s="20" t="s">
        <v>22</v>
      </c>
      <c r="B14" s="19" t="s">
        <v>52</v>
      </c>
      <c r="C14" s="19" t="s">
        <v>53</v>
      </c>
      <c r="D14" s="19" t="s">
        <v>50</v>
      </c>
      <c r="E14" s="22" t="s">
        <v>31</v>
      </c>
      <c r="F14" s="22" t="s">
        <v>51</v>
      </c>
      <c r="G14" s="19" t="s">
        <v>37</v>
      </c>
      <c r="H14" s="22" t="s">
        <v>28</v>
      </c>
      <c r="I1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4" s="23">
        <v>0.5</v>
      </c>
      <c r="K14" s="24">
        <f>Table1[[#This Row],[Recurring Amount]]+Table1[[#This Row],[Non Recurring Amount]]</f>
        <v>105000</v>
      </c>
      <c r="L14" s="25">
        <v>105000</v>
      </c>
      <c r="M14" s="24">
        <v>0</v>
      </c>
      <c r="N14" s="3"/>
      <c r="O14" s="3"/>
      <c r="P14" s="4">
        <f>Table1[[#This Row],[Total Amount]]*Table1[[#This Row],[Conservative Probability]]</f>
        <v>52500</v>
      </c>
      <c r="Q14" s="24"/>
      <c r="R14" s="24"/>
      <c r="S14" s="24"/>
      <c r="T14" s="24"/>
      <c r="U14" s="24"/>
      <c r="V14" s="19"/>
    </row>
    <row r="15" spans="1:22" ht="17" x14ac:dyDescent="0.2">
      <c r="A15" s="20" t="s">
        <v>22</v>
      </c>
      <c r="B15" s="21" t="s">
        <v>54</v>
      </c>
      <c r="C15" s="19" t="s">
        <v>24</v>
      </c>
      <c r="D15" s="19" t="s">
        <v>55</v>
      </c>
      <c r="E15" s="19" t="s">
        <v>31</v>
      </c>
      <c r="F15" s="22" t="s">
        <v>56</v>
      </c>
      <c r="G15" s="22" t="s">
        <v>37</v>
      </c>
      <c r="H15" s="22" t="s">
        <v>28</v>
      </c>
      <c r="I1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5" s="23">
        <v>0.5</v>
      </c>
      <c r="K15" s="24">
        <f>Table1[[#This Row],[Recurring Amount]]+Table1[[#This Row],[Non Recurring Amount]]</f>
        <v>10000</v>
      </c>
      <c r="L15" s="24">
        <v>0</v>
      </c>
      <c r="M15" s="29">
        <v>10000</v>
      </c>
      <c r="N15" s="3"/>
      <c r="O15" s="3"/>
      <c r="P15" s="4">
        <f>Table1[[#This Row],[Total Amount]]*Table1[[#This Row],[Conservative Probability]]</f>
        <v>5000</v>
      </c>
      <c r="Q15" s="24"/>
      <c r="R15" s="24"/>
      <c r="S15" s="24"/>
      <c r="T15" s="24"/>
      <c r="U15" s="24"/>
      <c r="V15" s="19"/>
    </row>
    <row r="16" spans="1:22" ht="18" customHeight="1" x14ac:dyDescent="0.2">
      <c r="A16" s="20" t="s">
        <v>22</v>
      </c>
      <c r="B16" s="21" t="s">
        <v>57</v>
      </c>
      <c r="C16" s="19" t="s">
        <v>24</v>
      </c>
      <c r="D16" s="19" t="s">
        <v>40</v>
      </c>
      <c r="E16" s="19" t="s">
        <v>58</v>
      </c>
      <c r="F16" s="22" t="s">
        <v>59</v>
      </c>
      <c r="G16" s="22" t="s">
        <v>27</v>
      </c>
      <c r="H16" s="22" t="s">
        <v>28</v>
      </c>
      <c r="I1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6" s="23">
        <v>0.35</v>
      </c>
      <c r="K16" s="24">
        <f>Table1[[#This Row],[Recurring Amount]]+Table1[[#This Row],[Non Recurring Amount]]</f>
        <v>200000</v>
      </c>
      <c r="L16" s="24">
        <v>0</v>
      </c>
      <c r="M16" s="25">
        <v>200000</v>
      </c>
      <c r="N16" s="3"/>
      <c r="O16" s="3"/>
      <c r="P16" s="4">
        <f>Table1[[#This Row],[Total Amount]]*Table1[[#This Row],[Conservative Probability]]</f>
        <v>70000</v>
      </c>
      <c r="Q16" s="24"/>
      <c r="R16" s="24"/>
      <c r="S16" s="24"/>
      <c r="T16" s="24"/>
      <c r="U16" s="24"/>
      <c r="V16" s="19"/>
    </row>
    <row r="17" spans="1:22" ht="17" x14ac:dyDescent="0.2">
      <c r="A17" s="20" t="s">
        <v>22</v>
      </c>
      <c r="B17" s="21" t="s">
        <v>60</v>
      </c>
      <c r="C17" s="19" t="s">
        <v>24</v>
      </c>
      <c r="D17" s="19" t="s">
        <v>55</v>
      </c>
      <c r="E17" s="19" t="s">
        <v>58</v>
      </c>
      <c r="F17" s="22"/>
      <c r="G17" s="22" t="s">
        <v>27</v>
      </c>
      <c r="H17" s="22" t="s">
        <v>28</v>
      </c>
      <c r="I1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7" s="23">
        <v>0.35</v>
      </c>
      <c r="K17" s="24">
        <f>Table1[[#This Row],[Recurring Amount]]+Table1[[#This Row],[Non Recurring Amount]]</f>
        <v>10000</v>
      </c>
      <c r="L17" s="24">
        <v>0</v>
      </c>
      <c r="M17" s="25">
        <v>10000</v>
      </c>
      <c r="N17" s="3"/>
      <c r="O17" s="3"/>
      <c r="P17" s="4">
        <f>Table1[[#This Row],[Total Amount]]*Table1[[#This Row],[Conservative Probability]]</f>
        <v>3500</v>
      </c>
      <c r="Q17" s="24"/>
      <c r="R17" s="24"/>
      <c r="S17" s="24"/>
      <c r="T17" s="24"/>
      <c r="U17" s="24"/>
      <c r="V17" s="19"/>
    </row>
    <row r="18" spans="1:22" ht="17" x14ac:dyDescent="0.2">
      <c r="A18" s="20" t="s">
        <v>22</v>
      </c>
      <c r="B18" s="21" t="s">
        <v>61</v>
      </c>
      <c r="C18" s="19" t="s">
        <v>24</v>
      </c>
      <c r="D18" s="19" t="s">
        <v>55</v>
      </c>
      <c r="E18" s="19" t="s">
        <v>58</v>
      </c>
      <c r="F18" s="22"/>
      <c r="G18" s="22" t="s">
        <v>27</v>
      </c>
      <c r="H18" s="22" t="s">
        <v>28</v>
      </c>
      <c r="I1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8" s="23">
        <v>0.35</v>
      </c>
      <c r="K18" s="24">
        <f>Table1[[#This Row],[Recurring Amount]]+Table1[[#This Row],[Non Recurring Amount]]</f>
        <v>50000</v>
      </c>
      <c r="L18" s="24">
        <v>0</v>
      </c>
      <c r="M18" s="29">
        <v>50000</v>
      </c>
      <c r="N18" s="3"/>
      <c r="O18" s="3"/>
      <c r="P18" s="4">
        <f>Table1[[#This Row],[Total Amount]]*Table1[[#This Row],[Conservative Probability]]</f>
        <v>17500</v>
      </c>
      <c r="Q18" s="24"/>
      <c r="R18" s="24"/>
      <c r="S18" s="24"/>
      <c r="T18" s="24"/>
      <c r="U18" s="24"/>
      <c r="V18" s="19"/>
    </row>
    <row r="19" spans="1:22" ht="17" x14ac:dyDescent="0.2">
      <c r="A19" s="20" t="s">
        <v>22</v>
      </c>
      <c r="B19" s="21" t="s">
        <v>62</v>
      </c>
      <c r="C19" s="19" t="s">
        <v>24</v>
      </c>
      <c r="D19" s="19" t="s">
        <v>55</v>
      </c>
      <c r="E19" s="19" t="s">
        <v>58</v>
      </c>
      <c r="F19" s="22"/>
      <c r="G19" s="22" t="s">
        <v>37</v>
      </c>
      <c r="H19" s="22" t="s">
        <v>28</v>
      </c>
      <c r="I1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9" s="23">
        <v>0.35</v>
      </c>
      <c r="K19" s="24">
        <f>Table1[[#This Row],[Recurring Amount]]+Table1[[#This Row],[Non Recurring Amount]]</f>
        <v>15000</v>
      </c>
      <c r="L19" s="24">
        <v>0</v>
      </c>
      <c r="M19" s="29">
        <v>15000</v>
      </c>
      <c r="N19" s="3"/>
      <c r="O19" s="3"/>
      <c r="P19" s="4">
        <f>Table1[[#This Row],[Total Amount]]*Table1[[#This Row],[Conservative Probability]]</f>
        <v>5250</v>
      </c>
      <c r="Q19" s="24"/>
      <c r="R19" s="24"/>
      <c r="S19" s="24"/>
      <c r="T19" s="24"/>
      <c r="U19" s="24"/>
      <c r="V19" s="19"/>
    </row>
    <row r="20" spans="1:22" ht="17" x14ac:dyDescent="0.2">
      <c r="A20" s="20" t="s">
        <v>22</v>
      </c>
      <c r="B20" s="21" t="s">
        <v>63</v>
      </c>
      <c r="C20" s="19" t="s">
        <v>24</v>
      </c>
      <c r="D20" s="19" t="s">
        <v>30</v>
      </c>
      <c r="E20" s="19" t="s">
        <v>64</v>
      </c>
      <c r="F20" s="22"/>
      <c r="G20" s="22" t="s">
        <v>27</v>
      </c>
      <c r="H20" s="22" t="s">
        <v>28</v>
      </c>
      <c r="I2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0" s="23">
        <v>0.25</v>
      </c>
      <c r="K20" s="24">
        <f>Table1[[#This Row],[Recurring Amount]]+Table1[[#This Row],[Non Recurring Amount]]</f>
        <v>20000</v>
      </c>
      <c r="L20" s="26">
        <v>20000</v>
      </c>
      <c r="M20" s="24">
        <v>0</v>
      </c>
      <c r="N20" s="3"/>
      <c r="O20" s="3"/>
      <c r="P20" s="4">
        <f>Table1[[#This Row],[Total Amount]]*Table1[[#This Row],[Conservative Probability]]</f>
        <v>5000</v>
      </c>
      <c r="Q20" s="24"/>
      <c r="R20" s="24"/>
      <c r="S20" s="24"/>
      <c r="T20" s="24"/>
      <c r="U20" s="24"/>
      <c r="V20" s="19"/>
    </row>
    <row r="21" spans="1:22" ht="17" x14ac:dyDescent="0.2">
      <c r="A21" s="20" t="s">
        <v>22</v>
      </c>
      <c r="B21" s="19" t="s">
        <v>65</v>
      </c>
      <c r="C21" s="19" t="s">
        <v>35</v>
      </c>
      <c r="D21" s="19" t="s">
        <v>40</v>
      </c>
      <c r="E21" s="19" t="s">
        <v>64</v>
      </c>
      <c r="F21" s="22" t="s">
        <v>56</v>
      </c>
      <c r="G21" s="22" t="s">
        <v>37</v>
      </c>
      <c r="H21" s="19" t="s">
        <v>38</v>
      </c>
      <c r="I21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1" s="23">
        <v>0.25</v>
      </c>
      <c r="K21" s="24">
        <f>Table1[[#This Row],[Recurring Amount]]+Table1[[#This Row],[Non Recurring Amount]]</f>
        <v>15000</v>
      </c>
      <c r="L21" s="24">
        <v>0</v>
      </c>
      <c r="M21" s="24">
        <v>15000</v>
      </c>
      <c r="N21" s="3"/>
      <c r="O21" s="3"/>
      <c r="P21" s="4">
        <f>Table1[[#This Row],[Total Amount]]*Table1[[#This Row],[Conservative Probability]]</f>
        <v>3750</v>
      </c>
      <c r="Q21" s="24"/>
      <c r="R21" s="24"/>
      <c r="S21" s="24"/>
      <c r="T21" s="24"/>
      <c r="U21" s="24"/>
      <c r="V21" s="19"/>
    </row>
    <row r="22" spans="1:22" ht="19" customHeight="1" x14ac:dyDescent="0.2">
      <c r="A22" s="20" t="s">
        <v>22</v>
      </c>
      <c r="B22" s="19" t="s">
        <v>66</v>
      </c>
      <c r="C22" s="19" t="s">
        <v>35</v>
      </c>
      <c r="D22" s="19" t="s">
        <v>67</v>
      </c>
      <c r="E22" s="19" t="s">
        <v>64</v>
      </c>
      <c r="F22" s="22" t="s">
        <v>68</v>
      </c>
      <c r="G22" s="22" t="s">
        <v>37</v>
      </c>
      <c r="H22" s="19" t="s">
        <v>69</v>
      </c>
      <c r="I2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2" s="23">
        <v>0.25</v>
      </c>
      <c r="K22" s="24">
        <f>Table1[[#This Row],[Recurring Amount]]+Table1[[#This Row],[Non Recurring Amount]]</f>
        <v>100000</v>
      </c>
      <c r="L22" s="24">
        <v>0</v>
      </c>
      <c r="M22" s="24">
        <v>100000</v>
      </c>
      <c r="N22" s="3"/>
      <c r="O22" s="3"/>
      <c r="P22" s="4">
        <f>Table1[[#This Row],[Total Amount]]*Table1[[#This Row],[Conservative Probability]]</f>
        <v>25000</v>
      </c>
      <c r="Q22" s="24"/>
      <c r="R22" s="24"/>
      <c r="S22" s="24"/>
      <c r="T22" s="24"/>
      <c r="U22" s="24"/>
      <c r="V22" s="19"/>
    </row>
    <row r="23" spans="1:22" ht="17" x14ac:dyDescent="0.2">
      <c r="A23" s="20" t="s">
        <v>22</v>
      </c>
      <c r="B23" s="19" t="s">
        <v>70</v>
      </c>
      <c r="C23" s="19" t="s">
        <v>35</v>
      </c>
      <c r="D23" s="19" t="s">
        <v>67</v>
      </c>
      <c r="E23" s="19" t="s">
        <v>64</v>
      </c>
      <c r="F23" s="22" t="s">
        <v>51</v>
      </c>
      <c r="G23" s="22" t="s">
        <v>37</v>
      </c>
      <c r="H23" s="19" t="s">
        <v>38</v>
      </c>
      <c r="I2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3" s="23">
        <v>0.25</v>
      </c>
      <c r="K23" s="24">
        <f>Table1[[#This Row],[Recurring Amount]]+Table1[[#This Row],[Non Recurring Amount]]</f>
        <v>95000</v>
      </c>
      <c r="L23" s="24">
        <v>0</v>
      </c>
      <c r="M23" s="24">
        <v>95000</v>
      </c>
      <c r="N23" s="3"/>
      <c r="O23" s="3"/>
      <c r="P23" s="4">
        <f>Table1[[#This Row],[Total Amount]]*Table1[[#This Row],[Conservative Probability]]</f>
        <v>23750</v>
      </c>
      <c r="Q23" s="24"/>
      <c r="R23" s="24"/>
      <c r="S23" s="24"/>
      <c r="T23" s="24"/>
      <c r="U23" s="24"/>
      <c r="V23" s="19"/>
    </row>
    <row r="24" spans="1:22" ht="17" x14ac:dyDescent="0.2">
      <c r="A24" s="20" t="s">
        <v>22</v>
      </c>
      <c r="B24" s="22" t="s">
        <v>71</v>
      </c>
      <c r="C24" s="22" t="s">
        <v>35</v>
      </c>
      <c r="D24" s="22" t="s">
        <v>55</v>
      </c>
      <c r="E24" s="22" t="s">
        <v>64</v>
      </c>
      <c r="F24" s="22" t="s">
        <v>72</v>
      </c>
      <c r="G24" s="19" t="s">
        <v>37</v>
      </c>
      <c r="H24" s="19" t="s">
        <v>38</v>
      </c>
      <c r="I24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4" s="23">
        <v>0.25</v>
      </c>
      <c r="K24" s="24">
        <f>Table1[[#This Row],[Recurring Amount]]+Table1[[#This Row],[Non Recurring Amount]]</f>
        <v>30000</v>
      </c>
      <c r="L24" s="24">
        <v>0</v>
      </c>
      <c r="M24" s="33">
        <v>30000</v>
      </c>
      <c r="N24" s="3"/>
      <c r="O24" s="3"/>
      <c r="P24" s="4">
        <f>Table1[[#This Row],[Total Amount]]*Table1[[#This Row],[Conservative Probability]]</f>
        <v>7500</v>
      </c>
      <c r="Q24" s="24"/>
      <c r="R24" s="24"/>
      <c r="S24" s="24"/>
      <c r="T24" s="24"/>
      <c r="U24" s="24"/>
      <c r="V24" s="19"/>
    </row>
    <row r="25" spans="1:22" ht="17" x14ac:dyDescent="0.2">
      <c r="A25" s="20" t="s">
        <v>22</v>
      </c>
      <c r="B25" s="21" t="s">
        <v>73</v>
      </c>
      <c r="C25" s="19" t="s">
        <v>24</v>
      </c>
      <c r="D25" s="19" t="s">
        <v>55</v>
      </c>
      <c r="E25" s="19" t="s">
        <v>74</v>
      </c>
      <c r="F25" s="22"/>
      <c r="G25" s="22" t="s">
        <v>33</v>
      </c>
      <c r="H25" s="22" t="s">
        <v>28</v>
      </c>
      <c r="I2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25" s="23">
        <v>0.25</v>
      </c>
      <c r="K25" s="24">
        <f>Table1[[#This Row],[Recurring Amount]]+Table1[[#This Row],[Non Recurring Amount]]</f>
        <v>25000</v>
      </c>
      <c r="L25" s="24">
        <v>0</v>
      </c>
      <c r="M25" s="29">
        <v>25000</v>
      </c>
      <c r="N25" s="3"/>
      <c r="O25" s="3"/>
      <c r="P25" s="4">
        <f>Table1[[#This Row],[Total Amount]]*Table1[[#This Row],[Conservative Probability]]</f>
        <v>6250</v>
      </c>
      <c r="Q25" s="24"/>
      <c r="R25" s="24"/>
      <c r="S25" s="24"/>
      <c r="T25" s="24"/>
      <c r="U25" s="24"/>
      <c r="V25" s="19"/>
    </row>
    <row r="26" spans="1:22" ht="41.25" customHeight="1" x14ac:dyDescent="0.2">
      <c r="A26" s="20" t="s">
        <v>22</v>
      </c>
      <c r="B26" s="21" t="s">
        <v>75</v>
      </c>
      <c r="C26" s="19" t="s">
        <v>24</v>
      </c>
      <c r="D26" s="19" t="s">
        <v>55</v>
      </c>
      <c r="E26" s="22" t="s">
        <v>64</v>
      </c>
      <c r="F26" s="22"/>
      <c r="G26" s="22" t="s">
        <v>27</v>
      </c>
      <c r="H26" s="22" t="s">
        <v>28</v>
      </c>
      <c r="I2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6" s="23">
        <v>0.25</v>
      </c>
      <c r="K26" s="24">
        <f>Table1[[#This Row],[Recurring Amount]]+Table1[[#This Row],[Non Recurring Amount]]</f>
        <v>25000</v>
      </c>
      <c r="L26" s="24">
        <v>0</v>
      </c>
      <c r="M26" s="29">
        <v>25000</v>
      </c>
      <c r="N26" s="3"/>
      <c r="O26" s="3"/>
      <c r="P26" s="4">
        <f>Table1[[#This Row],[Total Amount]]*Table1[[#This Row],[Conservative Probability]]</f>
        <v>6250</v>
      </c>
      <c r="Q26" s="24"/>
      <c r="R26" s="24"/>
      <c r="S26" s="24"/>
      <c r="T26" s="24"/>
      <c r="U26" s="24"/>
      <c r="V26" s="19"/>
    </row>
    <row r="27" spans="1:22" ht="17" x14ac:dyDescent="0.2">
      <c r="A27" s="20" t="s">
        <v>22</v>
      </c>
      <c r="B27" s="21" t="s">
        <v>76</v>
      </c>
      <c r="C27" s="19" t="s">
        <v>24</v>
      </c>
      <c r="D27" s="19" t="s">
        <v>55</v>
      </c>
      <c r="E27" s="22" t="s">
        <v>64</v>
      </c>
      <c r="F27" s="22"/>
      <c r="G27" s="22" t="s">
        <v>27</v>
      </c>
      <c r="H27" s="22" t="s">
        <v>28</v>
      </c>
      <c r="I2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7" s="23">
        <v>0.25</v>
      </c>
      <c r="K27" s="24">
        <f>Table1[[#This Row],[Recurring Amount]]+Table1[[#This Row],[Non Recurring Amount]]</f>
        <v>25000</v>
      </c>
      <c r="L27" s="24">
        <v>0</v>
      </c>
      <c r="M27" s="29">
        <v>25000</v>
      </c>
      <c r="N27" s="3"/>
      <c r="O27" s="3"/>
      <c r="P27" s="4">
        <f>Table1[[#This Row],[Total Amount]]*Table1[[#This Row],[Conservative Probability]]</f>
        <v>6250</v>
      </c>
      <c r="Q27" s="24"/>
      <c r="R27" s="24"/>
      <c r="S27" s="24"/>
      <c r="T27" s="24"/>
      <c r="U27" s="24"/>
      <c r="V27" s="19"/>
    </row>
    <row r="28" spans="1:22" ht="17" x14ac:dyDescent="0.2">
      <c r="A28" s="20" t="s">
        <v>22</v>
      </c>
      <c r="B28" s="21" t="s">
        <v>77</v>
      </c>
      <c r="C28" s="19" t="s">
        <v>24</v>
      </c>
      <c r="D28" s="19" t="s">
        <v>55</v>
      </c>
      <c r="E28" s="19" t="s">
        <v>74</v>
      </c>
      <c r="F28" s="22"/>
      <c r="G28" s="22" t="s">
        <v>33</v>
      </c>
      <c r="H28" s="22" t="s">
        <v>28</v>
      </c>
      <c r="I2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28" s="23">
        <v>0.25</v>
      </c>
      <c r="K28" s="24">
        <f>Table1[[#This Row],[Recurring Amount]]+Table1[[#This Row],[Non Recurring Amount]]</f>
        <v>50000</v>
      </c>
      <c r="L28" s="24">
        <v>0</v>
      </c>
      <c r="M28" s="29">
        <v>50000</v>
      </c>
      <c r="N28" s="3"/>
      <c r="O28" s="3"/>
      <c r="P28" s="4">
        <f>Table1[[#This Row],[Total Amount]]*Table1[[#This Row],[Conservative Probability]]</f>
        <v>12500</v>
      </c>
      <c r="Q28" s="24"/>
      <c r="R28" s="24"/>
      <c r="S28" s="24"/>
      <c r="T28" s="24"/>
      <c r="U28" s="24"/>
      <c r="V28" s="19"/>
    </row>
    <row r="29" spans="1:22" ht="17" x14ac:dyDescent="0.2">
      <c r="A29" s="20" t="s">
        <v>22</v>
      </c>
      <c r="B29" s="21" t="s">
        <v>78</v>
      </c>
      <c r="C29" s="19" t="s">
        <v>24</v>
      </c>
      <c r="D29" s="19" t="s">
        <v>55</v>
      </c>
      <c r="E29" s="19" t="s">
        <v>64</v>
      </c>
      <c r="F29" s="22"/>
      <c r="G29" s="22" t="s">
        <v>27</v>
      </c>
      <c r="H29" s="22" t="s">
        <v>28</v>
      </c>
      <c r="I2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9" s="23">
        <v>0.25</v>
      </c>
      <c r="K29" s="24">
        <f>Table1[[#This Row],[Recurring Amount]]+Table1[[#This Row],[Non Recurring Amount]]</f>
        <v>10000</v>
      </c>
      <c r="L29" s="24">
        <v>0</v>
      </c>
      <c r="M29" s="29">
        <v>10000</v>
      </c>
      <c r="N29" s="3"/>
      <c r="O29" s="3"/>
      <c r="P29" s="4">
        <f>Table1[[#This Row],[Total Amount]]*Table1[[#This Row],[Conservative Probability]]</f>
        <v>2500</v>
      </c>
      <c r="Q29" s="24"/>
      <c r="R29" s="24"/>
      <c r="S29" s="24"/>
      <c r="T29" s="24"/>
      <c r="U29" s="24"/>
      <c r="V29" s="19"/>
    </row>
    <row r="30" spans="1:22" ht="17" x14ac:dyDescent="0.2">
      <c r="A30" s="20" t="s">
        <v>22</v>
      </c>
      <c r="B30" s="19" t="s">
        <v>79</v>
      </c>
      <c r="C30" s="22" t="s">
        <v>35</v>
      </c>
      <c r="D30" s="22" t="s">
        <v>55</v>
      </c>
      <c r="E30" s="19" t="s">
        <v>74</v>
      </c>
      <c r="F30" s="22" t="s">
        <v>72</v>
      </c>
      <c r="G30" s="19" t="s">
        <v>37</v>
      </c>
      <c r="H30" s="19" t="s">
        <v>38</v>
      </c>
      <c r="I30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30" s="23">
        <v>0.25</v>
      </c>
      <c r="K30" s="24">
        <f>Table1[[#This Row],[Recurring Amount]]+Table1[[#This Row],[Non Recurring Amount]]</f>
        <v>30000</v>
      </c>
      <c r="L30" s="24">
        <v>0</v>
      </c>
      <c r="M30" s="33">
        <v>30000</v>
      </c>
      <c r="N30" s="3"/>
      <c r="O30" s="3"/>
      <c r="P30" s="4">
        <f>Table1[[#This Row],[Total Amount]]*Table1[[#This Row],[Conservative Probability]]</f>
        <v>7500</v>
      </c>
      <c r="Q30" s="24"/>
      <c r="R30" s="24"/>
      <c r="S30" s="24"/>
      <c r="T30" s="24"/>
      <c r="U30" s="24"/>
      <c r="V30" s="19"/>
    </row>
    <row r="31" spans="1:22" ht="17" x14ac:dyDescent="0.2">
      <c r="A31" s="20" t="s">
        <v>22</v>
      </c>
      <c r="B31" s="19" t="s">
        <v>80</v>
      </c>
      <c r="C31" s="19" t="s">
        <v>35</v>
      </c>
      <c r="D31" s="19" t="s">
        <v>55</v>
      </c>
      <c r="E31" s="22" t="s">
        <v>64</v>
      </c>
      <c r="F31" s="22" t="s">
        <v>72</v>
      </c>
      <c r="G31" s="19" t="s">
        <v>37</v>
      </c>
      <c r="H31" s="19" t="s">
        <v>38</v>
      </c>
      <c r="I31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31" s="23">
        <v>0.25</v>
      </c>
      <c r="K31" s="24">
        <f>Table1[[#This Row],[Recurring Amount]]+Table1[[#This Row],[Non Recurring Amount]]</f>
        <v>30000</v>
      </c>
      <c r="L31" s="24">
        <v>0</v>
      </c>
      <c r="M31" s="33">
        <v>30000</v>
      </c>
      <c r="N31" s="3"/>
      <c r="O31" s="3"/>
      <c r="P31" s="4">
        <f>Table1[[#This Row],[Total Amount]]*Table1[[#This Row],[Conservative Probability]]</f>
        <v>7500</v>
      </c>
      <c r="Q31" s="24"/>
      <c r="R31" s="24"/>
      <c r="S31" s="24"/>
      <c r="T31" s="24"/>
      <c r="U31" s="24"/>
      <c r="V31" s="19"/>
    </row>
    <row r="32" spans="1:22" ht="17" x14ac:dyDescent="0.2">
      <c r="A32" s="20" t="s">
        <v>22</v>
      </c>
      <c r="B32" s="22" t="s">
        <v>81</v>
      </c>
      <c r="C32" s="22" t="s">
        <v>35</v>
      </c>
      <c r="D32" s="22" t="s">
        <v>55</v>
      </c>
      <c r="E32" s="22" t="s">
        <v>74</v>
      </c>
      <c r="F32" s="22" t="s">
        <v>72</v>
      </c>
      <c r="G32" s="19" t="s">
        <v>37</v>
      </c>
      <c r="H32" s="19" t="s">
        <v>38</v>
      </c>
      <c r="I3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32" s="23">
        <v>0.25</v>
      </c>
      <c r="K32" s="24">
        <f>Table1[[#This Row],[Recurring Amount]]+Table1[[#This Row],[Non Recurring Amount]]</f>
        <v>30000</v>
      </c>
      <c r="L32" s="24">
        <v>0</v>
      </c>
      <c r="M32" s="33">
        <v>30000</v>
      </c>
      <c r="N32" s="3"/>
      <c r="O32" s="3"/>
      <c r="P32" s="4">
        <f>Table1[[#This Row],[Total Amount]]*Table1[[#This Row],[Conservative Probability]]</f>
        <v>7500</v>
      </c>
      <c r="Q32" s="24"/>
      <c r="R32" s="24"/>
      <c r="S32" s="24"/>
      <c r="T32" s="24"/>
      <c r="U32" s="24"/>
      <c r="V32" s="19"/>
    </row>
    <row r="33" spans="1:22" ht="17" x14ac:dyDescent="0.2">
      <c r="A33" s="20" t="s">
        <v>22</v>
      </c>
      <c r="B33" s="19" t="s">
        <v>82</v>
      </c>
      <c r="C33" s="19" t="s">
        <v>35</v>
      </c>
      <c r="D33" s="19" t="s">
        <v>55</v>
      </c>
      <c r="E33" s="19" t="s">
        <v>74</v>
      </c>
      <c r="F33" s="22" t="s">
        <v>72</v>
      </c>
      <c r="G33" s="22" t="s">
        <v>37</v>
      </c>
      <c r="H33" s="19" t="s">
        <v>69</v>
      </c>
      <c r="I3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33" s="23">
        <v>0.25</v>
      </c>
      <c r="K33" s="24">
        <f>Table1[[#This Row],[Recurring Amount]]+Table1[[#This Row],[Non Recurring Amount]]</f>
        <v>20000</v>
      </c>
      <c r="L33" s="24">
        <v>0</v>
      </c>
      <c r="M33" s="24">
        <v>20000</v>
      </c>
      <c r="N33" s="3"/>
      <c r="O33" s="3"/>
      <c r="P33" s="4">
        <f>Table1[[#This Row],[Total Amount]]*Table1[[#This Row],[Conservative Probability]]</f>
        <v>5000</v>
      </c>
      <c r="Q33" s="24"/>
      <c r="R33" s="24"/>
      <c r="S33" s="24"/>
      <c r="T33" s="24"/>
      <c r="U33" s="24"/>
      <c r="V33" s="19"/>
    </row>
    <row r="34" spans="1:22" ht="17" x14ac:dyDescent="0.2">
      <c r="A34" s="20" t="s">
        <v>22</v>
      </c>
      <c r="B34" s="19" t="s">
        <v>83</v>
      </c>
      <c r="C34" s="19" t="s">
        <v>24</v>
      </c>
      <c r="D34" s="19" t="s">
        <v>55</v>
      </c>
      <c r="E34" s="19" t="s">
        <v>64</v>
      </c>
      <c r="F34" s="22"/>
      <c r="G34" s="22" t="s">
        <v>27</v>
      </c>
      <c r="H34" s="22" t="s">
        <v>28</v>
      </c>
      <c r="I3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34" s="23">
        <v>0.25</v>
      </c>
      <c r="K34" s="24">
        <f>Table1[[#This Row],[Recurring Amount]]+Table1[[#This Row],[Non Recurring Amount]]</f>
        <v>25000</v>
      </c>
      <c r="L34" s="24">
        <v>0</v>
      </c>
      <c r="M34" s="25">
        <v>25000</v>
      </c>
      <c r="N34" s="3"/>
      <c r="O34" s="3"/>
      <c r="P34" s="4">
        <f>Table1[[#This Row],[Total Amount]]*Table1[[#This Row],[Conservative Probability]]</f>
        <v>6250</v>
      </c>
      <c r="Q34" s="24"/>
      <c r="R34" s="24"/>
      <c r="S34" s="24"/>
      <c r="T34" s="24"/>
      <c r="U34" s="24"/>
      <c r="V34" s="19"/>
    </row>
    <row r="35" spans="1:22" ht="17" x14ac:dyDescent="0.2">
      <c r="A35" s="20" t="s">
        <v>22</v>
      </c>
      <c r="B35" s="19" t="s">
        <v>84</v>
      </c>
      <c r="C35" s="19" t="s">
        <v>35</v>
      </c>
      <c r="D35" s="19" t="s">
        <v>55</v>
      </c>
      <c r="E35" s="19" t="s">
        <v>74</v>
      </c>
      <c r="F35" s="22" t="s">
        <v>72</v>
      </c>
      <c r="G35" s="22" t="s">
        <v>37</v>
      </c>
      <c r="H35" s="19" t="s">
        <v>38</v>
      </c>
      <c r="I35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35" s="23">
        <v>0.25</v>
      </c>
      <c r="K35" s="24">
        <f>Table1[[#This Row],[Recurring Amount]]+Table1[[#This Row],[Non Recurring Amount]]</f>
        <v>30000</v>
      </c>
      <c r="L35" s="24">
        <v>0</v>
      </c>
      <c r="M35" s="24">
        <v>30000</v>
      </c>
      <c r="N35" s="3"/>
      <c r="O35" s="3"/>
      <c r="P35" s="4">
        <f>Table1[[#This Row],[Total Amount]]*Table1[[#This Row],[Conservative Probability]]</f>
        <v>7500</v>
      </c>
      <c r="Q35" s="24"/>
      <c r="R35" s="24"/>
      <c r="S35" s="24"/>
      <c r="T35" s="24"/>
      <c r="U35" s="24"/>
      <c r="V35" s="19"/>
    </row>
    <row r="36" spans="1:22" ht="17" x14ac:dyDescent="0.2">
      <c r="A36" s="20" t="s">
        <v>22</v>
      </c>
      <c r="B36" s="19" t="s">
        <v>85</v>
      </c>
      <c r="C36" s="19" t="s">
        <v>35</v>
      </c>
      <c r="D36" s="19" t="s">
        <v>50</v>
      </c>
      <c r="E36" s="19" t="s">
        <v>74</v>
      </c>
      <c r="F36" s="22" t="s">
        <v>86</v>
      </c>
      <c r="G36" s="22" t="s">
        <v>37</v>
      </c>
      <c r="H36" s="19" t="s">
        <v>38</v>
      </c>
      <c r="I36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36" s="23">
        <v>0.15</v>
      </c>
      <c r="K36" s="24">
        <f>Table1[[#This Row],[Recurring Amount]]+Table1[[#This Row],[Non Recurring Amount]]</f>
        <v>150000</v>
      </c>
      <c r="L36" s="24">
        <v>150000</v>
      </c>
      <c r="M36" s="24">
        <v>0</v>
      </c>
      <c r="N36" s="3"/>
      <c r="O36" s="3"/>
      <c r="P36" s="4">
        <f>Table1[[#This Row],[Total Amount]]*Table1[[#This Row],[Conservative Probability]]</f>
        <v>22500</v>
      </c>
      <c r="Q36" s="24"/>
      <c r="R36" s="24"/>
      <c r="S36" s="24"/>
      <c r="T36" s="24"/>
      <c r="U36" s="24"/>
      <c r="V36" s="19"/>
    </row>
    <row r="37" spans="1:22" x14ac:dyDescent="0.2">
      <c r="A37" s="42"/>
      <c r="B37" s="43"/>
      <c r="C37" s="43"/>
      <c r="D37" s="43"/>
      <c r="E37" s="43"/>
      <c r="F37" s="43"/>
      <c r="G37" s="43"/>
      <c r="H37" s="43"/>
      <c r="I37" s="44" t="e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#N/A</v>
      </c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14"/>
      <c r="U37" s="17"/>
      <c r="V37" s="19"/>
    </row>
    <row r="38" spans="1:22" ht="17" x14ac:dyDescent="0.2">
      <c r="A38" s="20" t="s">
        <v>87</v>
      </c>
      <c r="B38" s="19" t="s">
        <v>88</v>
      </c>
      <c r="C38" s="19" t="s">
        <v>35</v>
      </c>
      <c r="D38" s="19" t="s">
        <v>30</v>
      </c>
      <c r="E38" s="19" t="s">
        <v>31</v>
      </c>
      <c r="F38" s="22" t="s">
        <v>72</v>
      </c>
      <c r="G38" s="22" t="s">
        <v>37</v>
      </c>
      <c r="H38" s="19" t="s">
        <v>69</v>
      </c>
      <c r="I38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38" s="23">
        <v>0.5</v>
      </c>
      <c r="K38" s="24">
        <f>Table1[[#This Row],[Recurring Amount]]+Table1[[#This Row],[Non Recurring Amount]]</f>
        <v>130000</v>
      </c>
      <c r="L38" s="24">
        <v>130000</v>
      </c>
      <c r="M38" s="24">
        <v>0</v>
      </c>
      <c r="N38" s="3"/>
      <c r="O38" s="3"/>
      <c r="P38" s="4">
        <f>Table1[[#This Row],[Total Amount]]*Table1[[#This Row],[Conservative Probability]]</f>
        <v>65000</v>
      </c>
      <c r="Q38" s="24"/>
      <c r="R38" s="24"/>
      <c r="S38" s="24"/>
      <c r="T38" s="24"/>
      <c r="U38" s="24"/>
      <c r="V38" s="19"/>
    </row>
    <row r="39" spans="1:22" ht="17" x14ac:dyDescent="0.2">
      <c r="A39" s="20" t="s">
        <v>87</v>
      </c>
      <c r="B39" s="19" t="s">
        <v>89</v>
      </c>
      <c r="C39" s="19" t="s">
        <v>35</v>
      </c>
      <c r="D39" s="19" t="s">
        <v>30</v>
      </c>
      <c r="E39" s="19" t="s">
        <v>31</v>
      </c>
      <c r="F39" s="22" t="s">
        <v>51</v>
      </c>
      <c r="G39" s="22" t="s">
        <v>37</v>
      </c>
      <c r="H39" s="19" t="s">
        <v>38</v>
      </c>
      <c r="I39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39" s="23">
        <v>0.5</v>
      </c>
      <c r="K39" s="24">
        <f>Table1[[#This Row],[Recurring Amount]]+Table1[[#This Row],[Non Recurring Amount]]</f>
        <v>175000</v>
      </c>
      <c r="L39" s="24">
        <v>175000</v>
      </c>
      <c r="M39" s="24">
        <v>0</v>
      </c>
      <c r="N39" s="3"/>
      <c r="O39" s="3"/>
      <c r="P39" s="4">
        <f>Table1[[#This Row],[Total Amount]]*Table1[[#This Row],[Conservative Probability]]</f>
        <v>87500</v>
      </c>
      <c r="Q39" s="24"/>
      <c r="R39" s="24"/>
      <c r="S39" s="24"/>
      <c r="T39" s="24"/>
      <c r="U39" s="24"/>
      <c r="V39" s="19"/>
    </row>
    <row r="40" spans="1:22" ht="16" customHeight="1" x14ac:dyDescent="0.2">
      <c r="A40" s="20" t="s">
        <v>87</v>
      </c>
      <c r="B40" s="34" t="s">
        <v>90</v>
      </c>
      <c r="C40" s="19" t="s">
        <v>24</v>
      </c>
      <c r="D40" s="34" t="s">
        <v>30</v>
      </c>
      <c r="E40" s="19" t="s">
        <v>31</v>
      </c>
      <c r="F40" s="22"/>
      <c r="G40" s="22" t="s">
        <v>27</v>
      </c>
      <c r="H40" s="19" t="s">
        <v>28</v>
      </c>
      <c r="I4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40" s="23">
        <v>0.5</v>
      </c>
      <c r="K40" s="24">
        <f>Table1[[#This Row],[Recurring Amount]]+Table1[[#This Row],[Non Recurring Amount]]</f>
        <v>9900</v>
      </c>
      <c r="L40" s="24">
        <v>9900</v>
      </c>
      <c r="M40" s="24">
        <v>0</v>
      </c>
      <c r="N40" s="3"/>
      <c r="O40" s="3"/>
      <c r="P40" s="4">
        <f>Table1[[#This Row],[Total Amount]]*Table1[[#This Row],[Conservative Probability]]</f>
        <v>4950</v>
      </c>
      <c r="Q40" s="24"/>
      <c r="R40" s="24"/>
      <c r="S40" s="24"/>
      <c r="T40" s="24"/>
      <c r="U40" s="24"/>
      <c r="V40" s="19"/>
    </row>
    <row r="41" spans="1:22" ht="16" customHeight="1" x14ac:dyDescent="0.2">
      <c r="A41" s="20" t="s">
        <v>87</v>
      </c>
      <c r="B41" s="34" t="s">
        <v>91</v>
      </c>
      <c r="C41" s="19" t="s">
        <v>24</v>
      </c>
      <c r="D41" s="34" t="s">
        <v>30</v>
      </c>
      <c r="E41" s="19" t="s">
        <v>31</v>
      </c>
      <c r="F41" s="22"/>
      <c r="G41" s="22" t="s">
        <v>27</v>
      </c>
      <c r="H41" s="19" t="s">
        <v>28</v>
      </c>
      <c r="I41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41" s="23">
        <v>0.5</v>
      </c>
      <c r="K41" s="24">
        <f>Table1[[#This Row],[Recurring Amount]]+Table1[[#This Row],[Non Recurring Amount]]</f>
        <v>5900</v>
      </c>
      <c r="L41" s="24">
        <v>5900</v>
      </c>
      <c r="M41" s="24">
        <v>0</v>
      </c>
      <c r="N41" s="3"/>
      <c r="O41" s="3"/>
      <c r="P41" s="4">
        <f>Table1[[#This Row],[Total Amount]]*Table1[[#This Row],[Conservative Probability]]</f>
        <v>2950</v>
      </c>
      <c r="Q41" s="24"/>
      <c r="R41" s="24"/>
      <c r="S41" s="24"/>
      <c r="T41" s="24"/>
      <c r="U41" s="24"/>
      <c r="V41" s="19"/>
    </row>
    <row r="42" spans="1:22" ht="16" customHeight="1" x14ac:dyDescent="0.2">
      <c r="A42" s="20" t="s">
        <v>87</v>
      </c>
      <c r="B42" s="34" t="s">
        <v>92</v>
      </c>
      <c r="C42" s="19" t="s">
        <v>24</v>
      </c>
      <c r="D42" s="34" t="s">
        <v>30</v>
      </c>
      <c r="E42" s="19" t="s">
        <v>31</v>
      </c>
      <c r="F42" s="22"/>
      <c r="G42" s="22" t="s">
        <v>27</v>
      </c>
      <c r="H42" s="19" t="s">
        <v>38</v>
      </c>
      <c r="I42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42" s="23">
        <v>0.5</v>
      </c>
      <c r="K42" s="24">
        <f>Table1[[#This Row],[Recurring Amount]]+Table1[[#This Row],[Non Recurring Amount]]</f>
        <v>5900</v>
      </c>
      <c r="L42" s="24">
        <v>5900</v>
      </c>
      <c r="M42" s="24">
        <v>0</v>
      </c>
      <c r="N42" s="3"/>
      <c r="O42" s="3"/>
      <c r="P42" s="4">
        <f>Table1[[#This Row],[Total Amount]]*Table1[[#This Row],[Conservative Probability]]</f>
        <v>2950</v>
      </c>
      <c r="Q42" s="24"/>
      <c r="R42" s="24"/>
      <c r="S42" s="24"/>
      <c r="T42" s="24"/>
      <c r="U42" s="24"/>
      <c r="V42" s="19"/>
    </row>
    <row r="43" spans="1:22" ht="17" x14ac:dyDescent="0.2">
      <c r="A43" s="20" t="s">
        <v>87</v>
      </c>
      <c r="B43" s="21" t="s">
        <v>93</v>
      </c>
      <c r="C43" s="19" t="s">
        <v>24</v>
      </c>
      <c r="D43" s="34" t="s">
        <v>55</v>
      </c>
      <c r="E43" s="22" t="s">
        <v>58</v>
      </c>
      <c r="F43" s="22"/>
      <c r="G43" s="19" t="s">
        <v>27</v>
      </c>
      <c r="H43" s="22" t="s">
        <v>28</v>
      </c>
      <c r="I43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43" s="23">
        <v>0.35</v>
      </c>
      <c r="K43" s="24">
        <f>Table1[[#This Row],[Recurring Amount]]+Table1[[#This Row],[Non Recurring Amount]]</f>
        <v>50000</v>
      </c>
      <c r="L43" s="24">
        <v>0</v>
      </c>
      <c r="M43" s="25">
        <v>50000</v>
      </c>
      <c r="N43" s="3"/>
      <c r="O43" s="3"/>
      <c r="P43" s="4">
        <f>Table1[[#This Row],[Total Amount]]*Table1[[#This Row],[Conservative Probability]]</f>
        <v>17500</v>
      </c>
      <c r="Q43" s="33"/>
      <c r="R43" s="33"/>
      <c r="S43" s="33"/>
      <c r="T43" s="33"/>
      <c r="U43" s="33"/>
      <c r="V43" s="35"/>
    </row>
    <row r="44" spans="1:22" ht="17" x14ac:dyDescent="0.2">
      <c r="A44" s="20" t="s">
        <v>87</v>
      </c>
      <c r="B44" s="22" t="s">
        <v>94</v>
      </c>
      <c r="C44" s="19" t="s">
        <v>35</v>
      </c>
      <c r="D44" s="19" t="s">
        <v>40</v>
      </c>
      <c r="E44" s="22" t="s">
        <v>74</v>
      </c>
      <c r="F44" s="22"/>
      <c r="G44" s="19" t="s">
        <v>37</v>
      </c>
      <c r="H44" s="22" t="s">
        <v>28</v>
      </c>
      <c r="I4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44" s="23">
        <v>0.25</v>
      </c>
      <c r="K44" s="24">
        <f>Table1[[#This Row],[Recurring Amount]]+Table1[[#This Row],[Non Recurring Amount]]</f>
        <v>250000</v>
      </c>
      <c r="L44" s="25">
        <v>250000</v>
      </c>
      <c r="M44" s="33"/>
      <c r="N44" s="3"/>
      <c r="O44" s="3"/>
      <c r="P44" s="4">
        <f>Table1[[#This Row],[Total Amount]]*Table1[[#This Row],[Conservative Probability]]</f>
        <v>62500</v>
      </c>
      <c r="Q44" s="24"/>
      <c r="R44" s="24"/>
      <c r="S44" s="24"/>
      <c r="T44" s="24"/>
      <c r="U44" s="24"/>
      <c r="V44" s="19"/>
    </row>
    <row r="45" spans="1:22" ht="17" x14ac:dyDescent="0.2">
      <c r="A45" s="20" t="s">
        <v>87</v>
      </c>
      <c r="B45" s="19" t="s">
        <v>95</v>
      </c>
      <c r="C45" s="19" t="s">
        <v>35</v>
      </c>
      <c r="D45" s="19" t="s">
        <v>40</v>
      </c>
      <c r="E45" s="19" t="s">
        <v>64</v>
      </c>
      <c r="F45" s="22" t="s">
        <v>72</v>
      </c>
      <c r="G45" s="22" t="s">
        <v>37</v>
      </c>
      <c r="H45" s="19" t="s">
        <v>69</v>
      </c>
      <c r="I45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45" s="23">
        <v>0.25</v>
      </c>
      <c r="K45" s="24">
        <f>Table1[[#This Row],[Recurring Amount]]+Table1[[#This Row],[Non Recurring Amount]]</f>
        <v>100000</v>
      </c>
      <c r="L45" s="24">
        <v>100000</v>
      </c>
      <c r="M45" s="24">
        <v>0</v>
      </c>
      <c r="N45" s="3"/>
      <c r="O45" s="3"/>
      <c r="P45" s="4">
        <f>Table1[[#This Row],[Total Amount]]*Table1[[#This Row],[Conservative Probability]]</f>
        <v>25000</v>
      </c>
      <c r="Q45" s="24"/>
      <c r="R45" s="24"/>
      <c r="S45" s="24"/>
      <c r="T45" s="24"/>
      <c r="U45" s="24"/>
      <c r="V45" s="19"/>
    </row>
    <row r="46" spans="1:22" ht="17" x14ac:dyDescent="0.2">
      <c r="A46" s="20" t="s">
        <v>87</v>
      </c>
      <c r="B46" s="19" t="s">
        <v>96</v>
      </c>
      <c r="C46" s="19" t="s">
        <v>35</v>
      </c>
      <c r="D46" s="19" t="s">
        <v>40</v>
      </c>
      <c r="E46" s="19" t="s">
        <v>64</v>
      </c>
      <c r="F46" s="22" t="s">
        <v>72</v>
      </c>
      <c r="G46" s="22" t="s">
        <v>37</v>
      </c>
      <c r="H46" s="19" t="s">
        <v>38</v>
      </c>
      <c r="I46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46" s="23">
        <v>0.25</v>
      </c>
      <c r="K46" s="24">
        <f>Table1[[#This Row],[Recurring Amount]]+Table1[[#This Row],[Non Recurring Amount]]</f>
        <v>150000</v>
      </c>
      <c r="L46" s="24">
        <v>150000</v>
      </c>
      <c r="M46" s="24">
        <v>0</v>
      </c>
      <c r="N46" s="3"/>
      <c r="O46" s="3"/>
      <c r="P46" s="4">
        <f>Table1[[#This Row],[Total Amount]]*Table1[[#This Row],[Conservative Probability]]</f>
        <v>37500</v>
      </c>
      <c r="Q46" s="24"/>
      <c r="R46" s="24"/>
      <c r="S46" s="24"/>
      <c r="T46" s="24"/>
      <c r="U46" s="24"/>
      <c r="V46" s="19"/>
    </row>
    <row r="47" spans="1:22" ht="17" x14ac:dyDescent="0.2">
      <c r="A47" s="20" t="s">
        <v>87</v>
      </c>
      <c r="B47" s="19" t="s">
        <v>97</v>
      </c>
      <c r="C47" s="19" t="s">
        <v>35</v>
      </c>
      <c r="D47" s="19" t="s">
        <v>40</v>
      </c>
      <c r="E47" s="19" t="s">
        <v>74</v>
      </c>
      <c r="F47" s="22" t="s">
        <v>56</v>
      </c>
      <c r="G47" s="22" t="s">
        <v>37</v>
      </c>
      <c r="H47" s="19" t="s">
        <v>38</v>
      </c>
      <c r="I47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47" s="23">
        <v>0.25</v>
      </c>
      <c r="K47" s="24">
        <f>Table1[[#This Row],[Recurring Amount]]+Table1[[#This Row],[Non Recurring Amount]]</f>
        <v>75000</v>
      </c>
      <c r="L47" s="24">
        <v>75000</v>
      </c>
      <c r="M47" s="24">
        <v>0</v>
      </c>
      <c r="N47" s="3"/>
      <c r="O47" s="3"/>
      <c r="P47" s="4">
        <f>Table1[[#This Row],[Total Amount]]*Table1[[#This Row],[Conservative Probability]]</f>
        <v>18750</v>
      </c>
      <c r="Q47" s="24"/>
      <c r="R47" s="24"/>
      <c r="S47" s="24"/>
      <c r="T47" s="24"/>
      <c r="U47" s="24"/>
      <c r="V47" s="19"/>
    </row>
    <row r="48" spans="1:22" ht="17" x14ac:dyDescent="0.2">
      <c r="A48" s="20" t="s">
        <v>87</v>
      </c>
      <c r="B48" s="19" t="s">
        <v>98</v>
      </c>
      <c r="C48" s="19" t="s">
        <v>35</v>
      </c>
      <c r="D48" s="19" t="s">
        <v>40</v>
      </c>
      <c r="E48" s="19" t="s">
        <v>64</v>
      </c>
      <c r="F48" s="22" t="s">
        <v>56</v>
      </c>
      <c r="G48" s="22" t="s">
        <v>37</v>
      </c>
      <c r="H48" s="19" t="s">
        <v>38</v>
      </c>
      <c r="I48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48" s="23">
        <v>0.25</v>
      </c>
      <c r="K48" s="24">
        <f>Table1[[#This Row],[Recurring Amount]]+Table1[[#This Row],[Non Recurring Amount]]</f>
        <v>100000</v>
      </c>
      <c r="L48" s="24">
        <v>100000</v>
      </c>
      <c r="M48" s="24">
        <v>0</v>
      </c>
      <c r="N48" s="3"/>
      <c r="O48" s="3"/>
      <c r="P48" s="4">
        <f>Table1[[#This Row],[Total Amount]]*Table1[[#This Row],[Conservative Probability]]</f>
        <v>25000</v>
      </c>
      <c r="Q48" s="24"/>
      <c r="R48" s="24"/>
      <c r="S48" s="24"/>
      <c r="T48" s="24"/>
      <c r="U48" s="24"/>
      <c r="V48" s="19"/>
    </row>
    <row r="49" spans="1:22" ht="17" x14ac:dyDescent="0.2">
      <c r="A49" s="36" t="s">
        <v>87</v>
      </c>
      <c r="B49" s="21" t="s">
        <v>99</v>
      </c>
      <c r="C49" s="22" t="s">
        <v>24</v>
      </c>
      <c r="D49" s="37" t="s">
        <v>40</v>
      </c>
      <c r="E49" s="38" t="s">
        <v>74</v>
      </c>
      <c r="F49" s="38"/>
      <c r="G49" s="38" t="s">
        <v>27</v>
      </c>
      <c r="H49" s="22" t="s">
        <v>28</v>
      </c>
      <c r="I49" s="39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49" s="39">
        <v>0.25</v>
      </c>
      <c r="K49" s="24">
        <f>Table1[[#This Row],[Recurring Amount]]+Table1[[#This Row],[Non Recurring Amount]]</f>
        <v>250000</v>
      </c>
      <c r="L49" s="29">
        <v>250000</v>
      </c>
      <c r="M49" s="24"/>
      <c r="N49" s="5"/>
      <c r="O49" s="5"/>
      <c r="P49" s="6">
        <f>Table1[[#This Row],[Total Amount]]*Table1[[#This Row],[Conservative Probability]]</f>
        <v>62500</v>
      </c>
      <c r="Q49" s="40"/>
      <c r="R49" s="40"/>
      <c r="S49" s="40"/>
      <c r="T49" s="40"/>
      <c r="U49" s="40"/>
      <c r="V49" s="37"/>
    </row>
    <row r="50" spans="1:22" ht="17" x14ac:dyDescent="0.2">
      <c r="A50" s="20" t="s">
        <v>87</v>
      </c>
      <c r="B50" s="19" t="s">
        <v>100</v>
      </c>
      <c r="C50" s="19" t="s">
        <v>35</v>
      </c>
      <c r="D50" s="19" t="s">
        <v>50</v>
      </c>
      <c r="E50" s="19" t="s">
        <v>64</v>
      </c>
      <c r="F50" s="22" t="s">
        <v>51</v>
      </c>
      <c r="G50" s="22" t="s">
        <v>37</v>
      </c>
      <c r="H50" s="19" t="s">
        <v>38</v>
      </c>
      <c r="I5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0" s="23">
        <f>Table1[[#This Row],[Auto Probability (by deal stage)]]</f>
        <v>0.25</v>
      </c>
      <c r="K50" s="24">
        <f>Table1[[#This Row],[Recurring Amount]]+Table1[[#This Row],[Non Recurring Amount]]</f>
        <v>75000</v>
      </c>
      <c r="L50" s="24">
        <v>75000</v>
      </c>
      <c r="M50" s="24">
        <v>0</v>
      </c>
      <c r="N50" s="3"/>
      <c r="O50" s="3"/>
      <c r="P50" s="4">
        <f>Table1[[#This Row],[Total Amount]]*Table1[[#This Row],[Conservative Probability]]</f>
        <v>18750</v>
      </c>
      <c r="Q50" s="24"/>
      <c r="R50" s="24"/>
      <c r="S50" s="24"/>
      <c r="T50" s="24"/>
      <c r="U50" s="24"/>
      <c r="V50" s="19"/>
    </row>
    <row r="51" spans="1:22" ht="18" customHeight="1" x14ac:dyDescent="0.2">
      <c r="A51" s="20" t="s">
        <v>87</v>
      </c>
      <c r="B51" s="19" t="s">
        <v>101</v>
      </c>
      <c r="C51" s="19" t="s">
        <v>35</v>
      </c>
      <c r="D51" s="19" t="s">
        <v>50</v>
      </c>
      <c r="E51" s="19" t="s">
        <v>64</v>
      </c>
      <c r="F51" s="22" t="s">
        <v>72</v>
      </c>
      <c r="G51" s="22" t="s">
        <v>37</v>
      </c>
      <c r="H51" s="19" t="s">
        <v>38</v>
      </c>
      <c r="I51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1" s="23">
        <v>0.25</v>
      </c>
      <c r="K51" s="24">
        <f>Table1[[#This Row],[Recurring Amount]]+Table1[[#This Row],[Non Recurring Amount]]</f>
        <v>150000</v>
      </c>
      <c r="L51" s="24">
        <v>150000</v>
      </c>
      <c r="M51" s="24">
        <v>0</v>
      </c>
      <c r="N51" s="3"/>
      <c r="O51" s="3"/>
      <c r="P51" s="4">
        <f>Table1[[#This Row],[Total Amount]]*Table1[[#This Row],[Conservative Probability]]</f>
        <v>37500</v>
      </c>
      <c r="Q51" s="24"/>
      <c r="R51" s="24"/>
      <c r="S51" s="24"/>
      <c r="T51" s="24"/>
      <c r="U51" s="24"/>
      <c r="V51" s="19"/>
    </row>
    <row r="52" spans="1:22" ht="17" x14ac:dyDescent="0.2">
      <c r="A52" s="20" t="s">
        <v>87</v>
      </c>
      <c r="B52" s="19" t="s">
        <v>102</v>
      </c>
      <c r="C52" s="19" t="s">
        <v>35</v>
      </c>
      <c r="D52" s="19" t="s">
        <v>50</v>
      </c>
      <c r="E52" s="19" t="s">
        <v>64</v>
      </c>
      <c r="F52" s="22" t="s">
        <v>72</v>
      </c>
      <c r="G52" s="22" t="s">
        <v>37</v>
      </c>
      <c r="H52" s="19" t="s">
        <v>38</v>
      </c>
      <c r="I5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2" s="23">
        <v>0.25</v>
      </c>
      <c r="K52" s="24">
        <f>Table1[[#This Row],[Recurring Amount]]+Table1[[#This Row],[Non Recurring Amount]]</f>
        <v>150000</v>
      </c>
      <c r="L52" s="24">
        <v>150000</v>
      </c>
      <c r="M52" s="24">
        <v>0</v>
      </c>
      <c r="N52" s="3"/>
      <c r="O52" s="3"/>
      <c r="P52" s="4">
        <f>Table1[[#This Row],[Total Amount]]*Table1[[#This Row],[Conservative Probability]]</f>
        <v>37500</v>
      </c>
      <c r="Q52" s="24"/>
      <c r="R52" s="24"/>
      <c r="S52" s="24"/>
      <c r="T52" s="24"/>
      <c r="U52" s="24"/>
      <c r="V52" s="19"/>
    </row>
    <row r="53" spans="1:22" ht="17" x14ac:dyDescent="0.2">
      <c r="A53" s="20" t="s">
        <v>87</v>
      </c>
      <c r="B53" s="19" t="s">
        <v>103</v>
      </c>
      <c r="C53" s="19" t="s">
        <v>35</v>
      </c>
      <c r="D53" s="19" t="s">
        <v>50</v>
      </c>
      <c r="E53" s="22" t="s">
        <v>74</v>
      </c>
      <c r="F53" s="22" t="s">
        <v>32</v>
      </c>
      <c r="G53" s="19" t="s">
        <v>37</v>
      </c>
      <c r="H53" s="19" t="s">
        <v>69</v>
      </c>
      <c r="I5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53" s="23">
        <v>0.25</v>
      </c>
      <c r="K53" s="24">
        <f>Table1[[#This Row],[Recurring Amount]]+Table1[[#This Row],[Non Recurring Amount]]</f>
        <v>200000</v>
      </c>
      <c r="L53" s="24">
        <v>200000</v>
      </c>
      <c r="M53" s="24">
        <v>0</v>
      </c>
      <c r="N53" s="3"/>
      <c r="O53" s="3"/>
      <c r="P53" s="4">
        <f>Table1[[#This Row],[Total Amount]]*Table1[[#This Row],[Conservative Probability]]</f>
        <v>50000</v>
      </c>
      <c r="Q53" s="24"/>
      <c r="R53" s="24"/>
      <c r="S53" s="24"/>
      <c r="T53" s="24"/>
      <c r="U53" s="24"/>
      <c r="V53" s="19"/>
    </row>
    <row r="54" spans="1:22" ht="17" x14ac:dyDescent="0.2">
      <c r="A54" s="20" t="s">
        <v>87</v>
      </c>
      <c r="B54" s="19" t="s">
        <v>104</v>
      </c>
      <c r="C54" s="19" t="s">
        <v>35</v>
      </c>
      <c r="D54" s="19" t="s">
        <v>50</v>
      </c>
      <c r="E54" s="19" t="s">
        <v>64</v>
      </c>
      <c r="F54" s="19" t="s">
        <v>72</v>
      </c>
      <c r="G54" s="19" t="s">
        <v>37</v>
      </c>
      <c r="H54" s="19" t="s">
        <v>69</v>
      </c>
      <c r="I54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4" s="28">
        <v>0.25</v>
      </c>
      <c r="K54" s="24">
        <f>Table1[[#This Row],[Recurring Amount]]+Table1[[#This Row],[Non Recurring Amount]]</f>
        <v>200000</v>
      </c>
      <c r="L54" s="24">
        <v>200000</v>
      </c>
      <c r="M54" s="24">
        <v>0</v>
      </c>
      <c r="N54" s="3"/>
      <c r="O54" s="3"/>
      <c r="P54" s="4">
        <f>Table1[[#This Row],[Total Amount]]*Table1[[#This Row],[Conservative Probability]]</f>
        <v>50000</v>
      </c>
      <c r="Q54" s="24"/>
      <c r="R54" s="24"/>
      <c r="S54" s="24"/>
      <c r="T54" s="24"/>
      <c r="U54" s="24"/>
      <c r="V54" s="19"/>
    </row>
    <row r="55" spans="1:22" ht="17" x14ac:dyDescent="0.2">
      <c r="A55" s="20" t="s">
        <v>87</v>
      </c>
      <c r="B55" s="19" t="s">
        <v>105</v>
      </c>
      <c r="C55" s="19" t="s">
        <v>35</v>
      </c>
      <c r="D55" s="19" t="s">
        <v>50</v>
      </c>
      <c r="E55" s="22" t="s">
        <v>64</v>
      </c>
      <c r="F55" s="22" t="s">
        <v>72</v>
      </c>
      <c r="G55" s="19" t="s">
        <v>37</v>
      </c>
      <c r="H55" s="22" t="s">
        <v>38</v>
      </c>
      <c r="I5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5" s="23">
        <v>0.25</v>
      </c>
      <c r="K55" s="24">
        <f>Table1[[#This Row],[Recurring Amount]]+Table1[[#This Row],[Non Recurring Amount]]</f>
        <v>400000</v>
      </c>
      <c r="L55" s="24">
        <v>400000</v>
      </c>
      <c r="M55" s="24">
        <v>0</v>
      </c>
      <c r="N55" s="3"/>
      <c r="O55" s="3"/>
      <c r="P55" s="4">
        <f>Table1[[#This Row],[Total Amount]]*Table1[[#This Row],[Conservative Probability]]</f>
        <v>100000</v>
      </c>
      <c r="Q55" s="24"/>
      <c r="R55" s="24"/>
      <c r="S55" s="24"/>
      <c r="T55" s="24"/>
      <c r="U55" s="24"/>
      <c r="V55" s="41"/>
    </row>
    <row r="56" spans="1:22" ht="34.5" customHeight="1" x14ac:dyDescent="0.2">
      <c r="A56" s="20" t="s">
        <v>87</v>
      </c>
      <c r="B56" s="21" t="s">
        <v>106</v>
      </c>
      <c r="C56" s="22" t="s">
        <v>24</v>
      </c>
      <c r="D56" s="34" t="s">
        <v>50</v>
      </c>
      <c r="E56" s="22" t="s">
        <v>64</v>
      </c>
      <c r="F56" s="22"/>
      <c r="G56" s="19" t="s">
        <v>27</v>
      </c>
      <c r="H56" s="22" t="s">
        <v>28</v>
      </c>
      <c r="I5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6" s="23">
        <v>0.25</v>
      </c>
      <c r="K56" s="24">
        <f>Table1[[#This Row],[Recurring Amount]]+Table1[[#This Row],[Non Recurring Amount]]</f>
        <v>150000</v>
      </c>
      <c r="L56" s="25">
        <v>150000</v>
      </c>
      <c r="M56" s="24">
        <v>0</v>
      </c>
      <c r="N56" s="3"/>
      <c r="O56" s="3"/>
      <c r="P56" s="4">
        <f>Table1[[#This Row],[Total Amount]]*Table1[[#This Row],[Conservative Probability]]</f>
        <v>37500</v>
      </c>
      <c r="Q56" s="24"/>
      <c r="R56" s="24"/>
      <c r="S56" s="24"/>
      <c r="T56" s="24"/>
      <c r="U56" s="24"/>
      <c r="V56" s="19"/>
    </row>
    <row r="57" spans="1:22" ht="17" x14ac:dyDescent="0.2">
      <c r="A57" s="20" t="s">
        <v>87</v>
      </c>
      <c r="B57" s="21" t="s">
        <v>107</v>
      </c>
      <c r="C57" s="22" t="s">
        <v>24</v>
      </c>
      <c r="D57" s="34" t="s">
        <v>50</v>
      </c>
      <c r="E57" s="22" t="s">
        <v>74</v>
      </c>
      <c r="F57" s="22"/>
      <c r="G57" s="19" t="s">
        <v>27</v>
      </c>
      <c r="H57" s="22" t="s">
        <v>28</v>
      </c>
      <c r="I5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57" s="23">
        <v>0.25</v>
      </c>
      <c r="K57" s="24">
        <f>Table1[[#This Row],[Recurring Amount]]+Table1[[#This Row],[Non Recurring Amount]]</f>
        <v>75000</v>
      </c>
      <c r="L57" s="25">
        <v>75000</v>
      </c>
      <c r="M57" s="24">
        <v>0</v>
      </c>
      <c r="N57" s="3"/>
      <c r="O57" s="3"/>
      <c r="P57" s="4">
        <f>Table1[[#This Row],[Total Amount]]*Table1[[#This Row],[Conservative Probability]]</f>
        <v>18750</v>
      </c>
      <c r="Q57" s="24"/>
      <c r="R57" s="24"/>
      <c r="S57" s="24"/>
      <c r="T57" s="24"/>
      <c r="U57" s="24"/>
      <c r="V57" s="19"/>
    </row>
    <row r="58" spans="1:22" ht="17" x14ac:dyDescent="0.2">
      <c r="A58" s="20" t="s">
        <v>87</v>
      </c>
      <c r="B58" s="21" t="s">
        <v>108</v>
      </c>
      <c r="C58" s="22" t="s">
        <v>24</v>
      </c>
      <c r="D58" s="34" t="s">
        <v>50</v>
      </c>
      <c r="E58" s="22" t="s">
        <v>74</v>
      </c>
      <c r="F58" s="22"/>
      <c r="G58" s="19" t="s">
        <v>109</v>
      </c>
      <c r="H58" s="22" t="s">
        <v>28</v>
      </c>
      <c r="I5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58" s="23">
        <v>0.25</v>
      </c>
      <c r="K58" s="24">
        <f>Table1[[#This Row],[Recurring Amount]]+Table1[[#This Row],[Non Recurring Amount]]</f>
        <v>200000</v>
      </c>
      <c r="L58" s="29">
        <v>200000</v>
      </c>
      <c r="M58" s="24">
        <v>0</v>
      </c>
      <c r="N58" s="3"/>
      <c r="O58" s="3"/>
      <c r="P58" s="4">
        <f>Table1[[#This Row],[Total Amount]]*Table1[[#This Row],[Conservative Probability]]</f>
        <v>50000</v>
      </c>
      <c r="Q58" s="24"/>
      <c r="R58" s="33"/>
      <c r="S58" s="33"/>
      <c r="T58" s="33"/>
      <c r="U58" s="33"/>
      <c r="V58" s="19"/>
    </row>
    <row r="59" spans="1:22" ht="17" x14ac:dyDescent="0.2">
      <c r="A59" s="20" t="s">
        <v>87</v>
      </c>
      <c r="B59" s="19" t="s">
        <v>110</v>
      </c>
      <c r="C59" s="19" t="s">
        <v>35</v>
      </c>
      <c r="D59" s="19" t="s">
        <v>67</v>
      </c>
      <c r="E59" s="22" t="s">
        <v>64</v>
      </c>
      <c r="F59" s="22" t="s">
        <v>72</v>
      </c>
      <c r="G59" s="19" t="s">
        <v>37</v>
      </c>
      <c r="H59" s="19" t="s">
        <v>38</v>
      </c>
      <c r="I59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9" s="23">
        <v>0.25</v>
      </c>
      <c r="K59" s="24">
        <f>Table1[[#This Row],[Recurring Amount]]+Table1[[#This Row],[Non Recurring Amount]]</f>
        <v>200000</v>
      </c>
      <c r="L59" s="24">
        <v>200000</v>
      </c>
      <c r="M59" s="24">
        <v>0</v>
      </c>
      <c r="N59" s="3"/>
      <c r="O59" s="3"/>
      <c r="P59" s="4">
        <f>Table1[[#This Row],[Total Amount]]*Table1[[#This Row],[Conservative Probability]]</f>
        <v>50000</v>
      </c>
      <c r="Q59" s="24"/>
      <c r="R59" s="24"/>
      <c r="S59" s="24"/>
      <c r="T59" s="19"/>
      <c r="U59" s="24"/>
      <c r="V59" s="19"/>
    </row>
    <row r="60" spans="1:22" ht="17" x14ac:dyDescent="0.2">
      <c r="A60" s="20" t="s">
        <v>87</v>
      </c>
      <c r="B60" s="19" t="s">
        <v>111</v>
      </c>
      <c r="C60" s="19" t="s">
        <v>35</v>
      </c>
      <c r="D60" s="19" t="s">
        <v>55</v>
      </c>
      <c r="E60" s="19" t="s">
        <v>74</v>
      </c>
      <c r="F60" s="22"/>
      <c r="G60" s="22" t="s">
        <v>37</v>
      </c>
      <c r="H60" s="19" t="s">
        <v>38</v>
      </c>
      <c r="I60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0" s="23">
        <v>0.25</v>
      </c>
      <c r="K60" s="24">
        <f>Table1[[#This Row],[Recurring Amount]]+Table1[[#This Row],[Non Recurring Amount]]</f>
        <v>30000</v>
      </c>
      <c r="L60" s="24">
        <v>0</v>
      </c>
      <c r="M60" s="24">
        <v>30000</v>
      </c>
      <c r="N60" s="3"/>
      <c r="O60" s="3"/>
      <c r="P60" s="4">
        <f>Table1[[#This Row],[Total Amount]]*Table1[[#This Row],[Conservative Probability]]</f>
        <v>7500</v>
      </c>
      <c r="Q60" s="24"/>
      <c r="R60" s="24"/>
      <c r="S60" s="24"/>
      <c r="T60" s="24"/>
      <c r="U60" s="24"/>
      <c r="V60" s="19"/>
    </row>
    <row r="61" spans="1:22" ht="17" x14ac:dyDescent="0.2">
      <c r="A61" s="20" t="s">
        <v>87</v>
      </c>
      <c r="B61" s="19" t="s">
        <v>112</v>
      </c>
      <c r="C61" s="19" t="s">
        <v>35</v>
      </c>
      <c r="D61" s="19" t="s">
        <v>55</v>
      </c>
      <c r="E61" s="19" t="s">
        <v>74</v>
      </c>
      <c r="F61" s="22"/>
      <c r="G61" s="19" t="s">
        <v>37</v>
      </c>
      <c r="H61" s="22" t="s">
        <v>69</v>
      </c>
      <c r="I61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1" s="23">
        <v>0.25</v>
      </c>
      <c r="K61" s="24">
        <f>Table1[[#This Row],[Recurring Amount]]+Table1[[#This Row],[Non Recurring Amount]]</f>
        <v>25000</v>
      </c>
      <c r="L61" s="24">
        <v>0</v>
      </c>
      <c r="M61" s="24">
        <v>25000</v>
      </c>
      <c r="N61" s="3"/>
      <c r="O61" s="3"/>
      <c r="P61" s="4">
        <f>Table1[[#This Row],[Total Amount]]*Table1[[#This Row],[Conservative Probability]]</f>
        <v>6250</v>
      </c>
      <c r="Q61" s="24"/>
      <c r="R61" s="24"/>
      <c r="S61" s="24"/>
      <c r="T61" s="24"/>
      <c r="U61" s="24"/>
      <c r="V61" s="19"/>
    </row>
    <row r="62" spans="1:22" ht="17" x14ac:dyDescent="0.2">
      <c r="A62" s="20" t="s">
        <v>87</v>
      </c>
      <c r="B62" s="22" t="s">
        <v>113</v>
      </c>
      <c r="C62" s="22" t="s">
        <v>24</v>
      </c>
      <c r="D62" s="22" t="s">
        <v>55</v>
      </c>
      <c r="E62" s="22" t="s">
        <v>74</v>
      </c>
      <c r="F62" s="22"/>
      <c r="G62" s="19" t="s">
        <v>37</v>
      </c>
      <c r="H62" s="22" t="s">
        <v>28</v>
      </c>
      <c r="I62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2" s="23">
        <v>0.25</v>
      </c>
      <c r="K62" s="24">
        <f>Table1[[#This Row],[Recurring Amount]]+Table1[[#This Row],[Non Recurring Amount]]</f>
        <v>30000</v>
      </c>
      <c r="L62" s="24">
        <v>0</v>
      </c>
      <c r="M62" s="33">
        <v>30000</v>
      </c>
      <c r="N62" s="3"/>
      <c r="O62" s="3"/>
      <c r="P62" s="4">
        <f>Table1[[#This Row],[Total Amount]]*Table1[[#This Row],[Conservative Probability]]</f>
        <v>7500</v>
      </c>
      <c r="Q62" s="33"/>
      <c r="R62" s="33"/>
      <c r="S62" s="33"/>
      <c r="T62" s="33"/>
      <c r="U62" s="24"/>
      <c r="V62" s="19"/>
    </row>
    <row r="63" spans="1:22" ht="17" x14ac:dyDescent="0.2">
      <c r="A63" s="20" t="s">
        <v>87</v>
      </c>
      <c r="B63" s="22" t="s">
        <v>114</v>
      </c>
      <c r="C63" s="22" t="s">
        <v>24</v>
      </c>
      <c r="D63" s="22" t="s">
        <v>55</v>
      </c>
      <c r="E63" s="22" t="s">
        <v>74</v>
      </c>
      <c r="F63" s="22"/>
      <c r="G63" s="19" t="s">
        <v>37</v>
      </c>
      <c r="H63" s="22" t="s">
        <v>28</v>
      </c>
      <c r="I63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3" s="23">
        <v>0.25</v>
      </c>
      <c r="K63" s="24">
        <f>Table1[[#This Row],[Recurring Amount]]+Table1[[#This Row],[Non Recurring Amount]]</f>
        <v>30000</v>
      </c>
      <c r="L63" s="24">
        <v>0</v>
      </c>
      <c r="M63" s="33">
        <v>30000</v>
      </c>
      <c r="N63" s="3"/>
      <c r="O63" s="3"/>
      <c r="P63" s="4">
        <f>Table1[[#This Row],[Total Amount]]*Table1[[#This Row],[Conservative Probability]]</f>
        <v>7500</v>
      </c>
      <c r="Q63" s="33"/>
      <c r="R63" s="33"/>
      <c r="S63" s="33"/>
      <c r="T63" s="33"/>
      <c r="U63" s="24"/>
      <c r="V63" s="19"/>
    </row>
    <row r="64" spans="1:22" ht="17" x14ac:dyDescent="0.2">
      <c r="A64" s="20" t="s">
        <v>87</v>
      </c>
      <c r="B64" s="22" t="s">
        <v>115</v>
      </c>
      <c r="C64" s="22" t="s">
        <v>24</v>
      </c>
      <c r="D64" s="22" t="s">
        <v>55</v>
      </c>
      <c r="E64" s="22" t="s">
        <v>74</v>
      </c>
      <c r="F64" s="22"/>
      <c r="G64" s="19" t="s">
        <v>37</v>
      </c>
      <c r="H64" s="22" t="s">
        <v>28</v>
      </c>
      <c r="I6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4" s="23">
        <v>0.25</v>
      </c>
      <c r="K64" s="24">
        <f>Table1[[#This Row],[Recurring Amount]]+Table1[[#This Row],[Non Recurring Amount]]</f>
        <v>30000</v>
      </c>
      <c r="L64" s="24">
        <v>0</v>
      </c>
      <c r="M64" s="33">
        <v>30000</v>
      </c>
      <c r="N64" s="3"/>
      <c r="O64" s="3"/>
      <c r="P64" s="4">
        <f>Table1[[#This Row],[Total Amount]]*Table1[[#This Row],[Conservative Probability]]</f>
        <v>7500</v>
      </c>
      <c r="Q64" s="33"/>
      <c r="R64" s="33"/>
      <c r="S64" s="33"/>
      <c r="T64" s="33"/>
      <c r="U64" s="24"/>
      <c r="V64" s="19"/>
    </row>
    <row r="65" spans="1:22" ht="17" x14ac:dyDescent="0.2">
      <c r="A65" s="20" t="s">
        <v>87</v>
      </c>
      <c r="B65" s="22" t="s">
        <v>116</v>
      </c>
      <c r="C65" s="22" t="s">
        <v>24</v>
      </c>
      <c r="D65" s="22" t="s">
        <v>55</v>
      </c>
      <c r="E65" s="22" t="s">
        <v>74</v>
      </c>
      <c r="F65" s="22"/>
      <c r="G65" s="19" t="s">
        <v>37</v>
      </c>
      <c r="H65" s="22" t="s">
        <v>28</v>
      </c>
      <c r="I6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5" s="23">
        <v>0.25</v>
      </c>
      <c r="K65" s="24">
        <f>Table1[[#This Row],[Recurring Amount]]+Table1[[#This Row],[Non Recurring Amount]]</f>
        <v>30000</v>
      </c>
      <c r="L65" s="24">
        <v>0</v>
      </c>
      <c r="M65" s="33">
        <v>30000</v>
      </c>
      <c r="N65" s="3"/>
      <c r="O65" s="3"/>
      <c r="P65" s="4">
        <f>Table1[[#This Row],[Total Amount]]*Table1[[#This Row],[Conservative Probability]]</f>
        <v>7500</v>
      </c>
      <c r="Q65" s="33"/>
      <c r="R65" s="33"/>
      <c r="S65" s="33"/>
      <c r="T65" s="33"/>
      <c r="U65" s="24"/>
      <c r="V65" s="19"/>
    </row>
    <row r="66" spans="1:22" ht="39" customHeight="1" x14ac:dyDescent="0.2">
      <c r="A66" s="20" t="s">
        <v>87</v>
      </c>
      <c r="B66" s="21" t="s">
        <v>117</v>
      </c>
      <c r="C66" s="22" t="s">
        <v>24</v>
      </c>
      <c r="D66" s="19" t="s">
        <v>55</v>
      </c>
      <c r="E66" s="19" t="s">
        <v>64</v>
      </c>
      <c r="F66" s="22"/>
      <c r="G66" s="22" t="s">
        <v>27</v>
      </c>
      <c r="H66" s="22" t="s">
        <v>28</v>
      </c>
      <c r="I6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66" s="23">
        <v>0.25</v>
      </c>
      <c r="K66" s="24">
        <f>Table1[[#This Row],[Recurring Amount]]+Table1[[#This Row],[Non Recurring Amount]]</f>
        <v>25000</v>
      </c>
      <c r="L66" s="24">
        <v>0</v>
      </c>
      <c r="M66" s="29">
        <v>25000</v>
      </c>
      <c r="N66" s="3"/>
      <c r="O66" s="3"/>
      <c r="P66" s="4">
        <f>Table1[[#This Row],[Total Amount]]*Table1[[#This Row],[Conservative Probability]]</f>
        <v>6250</v>
      </c>
      <c r="Q66" s="24"/>
      <c r="R66" s="24"/>
      <c r="S66" s="24"/>
      <c r="T66" s="24"/>
      <c r="U66" s="24"/>
      <c r="V66" s="19"/>
    </row>
    <row r="67" spans="1:22" ht="45" customHeight="1" x14ac:dyDescent="0.2">
      <c r="A67" s="20" t="s">
        <v>87</v>
      </c>
      <c r="B67" s="21" t="s">
        <v>118</v>
      </c>
      <c r="C67" s="22" t="s">
        <v>24</v>
      </c>
      <c r="D67" s="19" t="s">
        <v>55</v>
      </c>
      <c r="E67" s="19" t="s">
        <v>64</v>
      </c>
      <c r="F67" s="22"/>
      <c r="G67" s="22" t="s">
        <v>27</v>
      </c>
      <c r="H67" s="22" t="s">
        <v>38</v>
      </c>
      <c r="I6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67" s="23">
        <v>0.25</v>
      </c>
      <c r="K67" s="24">
        <f>Table1[[#This Row],[Recurring Amount]]+Table1[[#This Row],[Non Recurring Amount]]</f>
        <v>25000</v>
      </c>
      <c r="L67" s="24">
        <v>0</v>
      </c>
      <c r="M67" s="29">
        <v>25000</v>
      </c>
      <c r="N67" s="3"/>
      <c r="O67" s="3"/>
      <c r="P67" s="4">
        <f>Table1[[#This Row],[Total Amount]]*Table1[[#This Row],[Conservative Probability]]</f>
        <v>6250</v>
      </c>
      <c r="Q67" s="24"/>
      <c r="R67" s="24"/>
      <c r="S67" s="24"/>
      <c r="T67" s="24"/>
      <c r="U67" s="24"/>
      <c r="V67" s="19"/>
    </row>
    <row r="68" spans="1:22" ht="17" x14ac:dyDescent="0.2">
      <c r="A68" s="20" t="s">
        <v>87</v>
      </c>
      <c r="B68" s="21" t="s">
        <v>119</v>
      </c>
      <c r="C68" s="22" t="s">
        <v>24</v>
      </c>
      <c r="D68" s="19" t="s">
        <v>55</v>
      </c>
      <c r="E68" s="19" t="s">
        <v>64</v>
      </c>
      <c r="F68" s="22"/>
      <c r="G68" s="22" t="s">
        <v>27</v>
      </c>
      <c r="H68" s="22" t="s">
        <v>28</v>
      </c>
      <c r="I6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68" s="23">
        <v>0.25</v>
      </c>
      <c r="K68" s="24">
        <f>Table1[[#This Row],[Recurring Amount]]+Table1[[#This Row],[Non Recurring Amount]]</f>
        <v>25000</v>
      </c>
      <c r="L68" s="24">
        <v>0</v>
      </c>
      <c r="M68" s="29">
        <v>25000</v>
      </c>
      <c r="N68" s="3"/>
      <c r="O68" s="3"/>
      <c r="P68" s="4">
        <f>Table1[[#This Row],[Total Amount]]*Table1[[#This Row],[Conservative Probability]]</f>
        <v>6250</v>
      </c>
      <c r="Q68" s="24"/>
      <c r="R68" s="24"/>
      <c r="S68" s="24"/>
      <c r="T68" s="24"/>
      <c r="U68" s="24"/>
      <c r="V68" s="19"/>
    </row>
    <row r="69" spans="1:22" ht="17" x14ac:dyDescent="0.2">
      <c r="A69" s="20" t="s">
        <v>87</v>
      </c>
      <c r="B69" s="21" t="s">
        <v>120</v>
      </c>
      <c r="C69" s="22" t="s">
        <v>24</v>
      </c>
      <c r="D69" s="19" t="s">
        <v>55</v>
      </c>
      <c r="E69" s="19" t="s">
        <v>64</v>
      </c>
      <c r="F69" s="22"/>
      <c r="G69" s="22" t="s">
        <v>33</v>
      </c>
      <c r="H69" s="22" t="s">
        <v>28</v>
      </c>
      <c r="I6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69" s="23">
        <v>0.25</v>
      </c>
      <c r="K69" s="24">
        <f>Table1[[#This Row],[Recurring Amount]]+Table1[[#This Row],[Non Recurring Amount]]</f>
        <v>25000</v>
      </c>
      <c r="L69" s="24">
        <v>0</v>
      </c>
      <c r="M69" s="29">
        <v>25000</v>
      </c>
      <c r="N69" s="3"/>
      <c r="O69" s="3"/>
      <c r="P69" s="4">
        <f>Table1[[#This Row],[Total Amount]]*Table1[[#This Row],[Conservative Probability]]</f>
        <v>6250</v>
      </c>
      <c r="Q69" s="24"/>
      <c r="R69" s="24"/>
      <c r="S69" s="24"/>
      <c r="T69" s="24"/>
      <c r="U69" s="24"/>
      <c r="V69" s="19"/>
    </row>
    <row r="70" spans="1:22" ht="17" x14ac:dyDescent="0.2">
      <c r="A70" s="20" t="s">
        <v>87</v>
      </c>
      <c r="B70" s="21" t="s">
        <v>121</v>
      </c>
      <c r="C70" s="22" t="s">
        <v>24</v>
      </c>
      <c r="D70" s="19" t="s">
        <v>55</v>
      </c>
      <c r="E70" s="19" t="s">
        <v>74</v>
      </c>
      <c r="F70" s="22"/>
      <c r="G70" s="22" t="s">
        <v>33</v>
      </c>
      <c r="H70" s="22" t="s">
        <v>38</v>
      </c>
      <c r="I7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70" s="23">
        <v>0.25</v>
      </c>
      <c r="K70" s="24">
        <f>Table1[[#This Row],[Recurring Amount]]+Table1[[#This Row],[Non Recurring Amount]]</f>
        <v>25000</v>
      </c>
      <c r="L70" s="24">
        <v>0</v>
      </c>
      <c r="M70" s="29">
        <v>25000</v>
      </c>
      <c r="N70" s="3"/>
      <c r="O70" s="3"/>
      <c r="P70" s="4">
        <f>Table1[[#This Row],[Total Amount]]*Table1[[#This Row],[Conservative Probability]]</f>
        <v>6250</v>
      </c>
      <c r="Q70" s="24"/>
      <c r="R70" s="24"/>
      <c r="S70" s="24"/>
      <c r="T70" s="24"/>
      <c r="U70" s="24"/>
      <c r="V70" s="19"/>
    </row>
    <row r="71" spans="1:22" ht="16" customHeight="1" x14ac:dyDescent="0.2">
      <c r="A71" s="20" t="s">
        <v>87</v>
      </c>
      <c r="B71" s="19" t="s">
        <v>122</v>
      </c>
      <c r="C71" s="19" t="s">
        <v>35</v>
      </c>
      <c r="D71" s="19" t="s">
        <v>50</v>
      </c>
      <c r="E71" s="19" t="s">
        <v>64</v>
      </c>
      <c r="F71" s="22" t="s">
        <v>51</v>
      </c>
      <c r="G71" s="22" t="s">
        <v>37</v>
      </c>
      <c r="H71" s="19" t="s">
        <v>38</v>
      </c>
      <c r="I71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71" s="23">
        <v>0.25</v>
      </c>
      <c r="K71" s="24">
        <f>Table1[[#This Row],[Recurring Amount]]+Table1[[#This Row],[Non Recurring Amount]]</f>
        <v>250000</v>
      </c>
      <c r="L71" s="24">
        <v>125000</v>
      </c>
      <c r="M71" s="24">
        <v>125000</v>
      </c>
      <c r="N71" s="3"/>
      <c r="O71" s="3"/>
      <c r="P71" s="4">
        <f>Table1[[#This Row],[Total Amount]]*Table1[[#This Row],[Conservative Probability]]</f>
        <v>62500</v>
      </c>
      <c r="Q71" s="24"/>
      <c r="R71" s="24"/>
      <c r="S71" s="24"/>
      <c r="T71" s="24"/>
      <c r="U71" s="24"/>
      <c r="V71" s="19"/>
    </row>
    <row r="72" spans="1:22" ht="17" x14ac:dyDescent="0.2">
      <c r="A72" s="20" t="s">
        <v>87</v>
      </c>
      <c r="B72" s="19" t="s">
        <v>123</v>
      </c>
      <c r="C72" s="19" t="s">
        <v>35</v>
      </c>
      <c r="D72" s="19" t="s">
        <v>55</v>
      </c>
      <c r="E72" s="19" t="s">
        <v>74</v>
      </c>
      <c r="F72" s="22" t="s">
        <v>72</v>
      </c>
      <c r="G72" s="22" t="s">
        <v>37</v>
      </c>
      <c r="H72" s="19" t="s">
        <v>38</v>
      </c>
      <c r="I7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72" s="23">
        <f>Table1[[#This Row],[Auto Probability (by deal stage)]]</f>
        <v>0.15</v>
      </c>
      <c r="K72" s="24">
        <f>Table1[[#This Row],[Recurring Amount]]+Table1[[#This Row],[Non Recurring Amount]]</f>
        <v>30000</v>
      </c>
      <c r="L72" s="24">
        <v>0</v>
      </c>
      <c r="M72" s="24">
        <v>30000</v>
      </c>
      <c r="N72" s="3"/>
      <c r="O72" s="3"/>
      <c r="P72" s="4">
        <f>Table1[[#This Row],[Total Amount]]*Table1[[#This Row],[Conservative Probability]]</f>
        <v>4500</v>
      </c>
      <c r="Q72" s="24"/>
      <c r="R72" s="24"/>
      <c r="S72" s="24"/>
      <c r="T72" s="24"/>
      <c r="U72" s="24"/>
      <c r="V72" s="19"/>
    </row>
    <row r="73" spans="1:22" ht="16" customHeight="1" x14ac:dyDescent="0.2">
      <c r="A73" s="20" t="s">
        <v>87</v>
      </c>
      <c r="B73" s="34" t="s">
        <v>124</v>
      </c>
      <c r="C73" s="34" t="s">
        <v>35</v>
      </c>
      <c r="D73" s="34" t="s">
        <v>30</v>
      </c>
      <c r="E73" s="22" t="s">
        <v>74</v>
      </c>
      <c r="F73" s="22" t="s">
        <v>51</v>
      </c>
      <c r="G73" s="19" t="s">
        <v>37</v>
      </c>
      <c r="H73" s="19" t="s">
        <v>69</v>
      </c>
      <c r="I7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73" s="23">
        <v>0.05</v>
      </c>
      <c r="K73" s="24">
        <f>Table1[[#This Row],[Recurring Amount]]+Table1[[#This Row],[Non Recurring Amount]]</f>
        <v>210000</v>
      </c>
      <c r="L73" s="24">
        <v>210000</v>
      </c>
      <c r="M73" s="24">
        <v>0</v>
      </c>
      <c r="N73" s="3"/>
      <c r="O73" s="3"/>
      <c r="P73" s="4">
        <f>Table1[[#This Row],[Total Amount]]*Table1[[#This Row],[Conservative Probability]]</f>
        <v>10500</v>
      </c>
      <c r="Q73" s="24"/>
      <c r="R73" s="24"/>
      <c r="S73" s="24"/>
      <c r="T73" s="24"/>
      <c r="U73" s="24"/>
      <c r="V73" s="19"/>
    </row>
    <row r="74" spans="1:22" x14ac:dyDescent="0.2">
      <c r="A74" s="42"/>
      <c r="B74" s="43"/>
      <c r="C74" s="43"/>
      <c r="D74" s="43"/>
      <c r="E74" s="43"/>
      <c r="F74" s="43"/>
      <c r="G74" s="43"/>
      <c r="H74" s="43"/>
      <c r="I74" s="44" t="e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#N/A</v>
      </c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14"/>
      <c r="U74" s="17"/>
      <c r="V74" s="19"/>
    </row>
    <row r="75" spans="1:22" ht="16" customHeight="1" x14ac:dyDescent="0.2">
      <c r="A75" s="45" t="s">
        <v>125</v>
      </c>
      <c r="B75" s="19" t="s">
        <v>126</v>
      </c>
      <c r="C75" s="19" t="s">
        <v>35</v>
      </c>
      <c r="D75" s="19" t="s">
        <v>25</v>
      </c>
      <c r="E75" s="22" t="s">
        <v>26</v>
      </c>
      <c r="F75" s="22" t="s">
        <v>51</v>
      </c>
      <c r="G75" s="22" t="s">
        <v>37</v>
      </c>
      <c r="H75" s="22" t="s">
        <v>28</v>
      </c>
      <c r="I7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75" s="23">
        <v>1</v>
      </c>
      <c r="K75" s="24">
        <f>Table1[[#This Row],[Recurring Amount]]+Table1[[#This Row],[Non Recurring Amount]]</f>
        <v>75000</v>
      </c>
      <c r="L75" s="25">
        <v>75000</v>
      </c>
      <c r="M75" s="24">
        <v>0</v>
      </c>
      <c r="N75" s="7"/>
      <c r="O75" s="7"/>
      <c r="P75" s="4">
        <f>Table1[[#This Row],[Total Amount]]*Table1[[#This Row],[Conservative Probability]]</f>
        <v>75000</v>
      </c>
      <c r="Q75" s="24"/>
      <c r="R75" s="24"/>
      <c r="S75" s="24"/>
      <c r="T75" s="24"/>
      <c r="U75" s="24"/>
      <c r="V75" s="19"/>
    </row>
    <row r="76" spans="1:22" ht="16" customHeight="1" x14ac:dyDescent="0.2">
      <c r="A76" s="45" t="s">
        <v>125</v>
      </c>
      <c r="B76" s="19" t="s">
        <v>127</v>
      </c>
      <c r="C76" s="19" t="s">
        <v>35</v>
      </c>
      <c r="D76" s="19" t="s">
        <v>25</v>
      </c>
      <c r="E76" s="22" t="s">
        <v>26</v>
      </c>
      <c r="F76" s="22" t="s">
        <v>128</v>
      </c>
      <c r="G76" s="22" t="s">
        <v>37</v>
      </c>
      <c r="H76" s="22" t="s">
        <v>28</v>
      </c>
      <c r="I7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76" s="23">
        <v>1</v>
      </c>
      <c r="K76" s="24">
        <f>Table1[[#This Row],[Recurring Amount]]+Table1[[#This Row],[Non Recurring Amount]]</f>
        <v>50000</v>
      </c>
      <c r="L76" s="29">
        <v>50000</v>
      </c>
      <c r="M76" s="24">
        <v>0</v>
      </c>
      <c r="N76" s="7"/>
      <c r="O76" s="7"/>
      <c r="P76" s="4">
        <f>Table1[[#This Row],[Total Amount]]*Table1[[#This Row],[Conservative Probability]]</f>
        <v>50000</v>
      </c>
      <c r="Q76" s="24"/>
      <c r="R76" s="24"/>
      <c r="S76" s="24"/>
      <c r="T76" s="24"/>
      <c r="U76" s="24"/>
      <c r="V76" s="19"/>
    </row>
    <row r="77" spans="1:22" ht="17" x14ac:dyDescent="0.2">
      <c r="A77" s="45" t="s">
        <v>125</v>
      </c>
      <c r="B77" s="19" t="s">
        <v>129</v>
      </c>
      <c r="C77" s="19" t="s">
        <v>35</v>
      </c>
      <c r="D77" s="19" t="s">
        <v>25</v>
      </c>
      <c r="E77" s="19" t="s">
        <v>26</v>
      </c>
      <c r="F77" s="22" t="s">
        <v>51</v>
      </c>
      <c r="G77" s="22" t="s">
        <v>37</v>
      </c>
      <c r="H77" s="22" t="s">
        <v>28</v>
      </c>
      <c r="I7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77" s="23">
        <v>1</v>
      </c>
      <c r="K77" s="24">
        <f>Table1[[#This Row],[Recurring Amount]]+Table1[[#This Row],[Non Recurring Amount]]</f>
        <v>50000</v>
      </c>
      <c r="L77" s="26">
        <v>50000</v>
      </c>
      <c r="M77" s="24">
        <v>0</v>
      </c>
      <c r="N77" s="3"/>
      <c r="O77" s="3"/>
      <c r="P77" s="4">
        <f>Table1[[#This Row],[Total Amount]]*Table1[[#This Row],[Conservative Probability]]</f>
        <v>50000</v>
      </c>
      <c r="Q77" s="24"/>
      <c r="R77" s="24"/>
      <c r="S77" s="24"/>
      <c r="T77" s="24"/>
      <c r="U77" s="24"/>
      <c r="V77" s="19"/>
    </row>
    <row r="78" spans="1:22" ht="17" x14ac:dyDescent="0.2">
      <c r="A78" s="20" t="s">
        <v>125</v>
      </c>
      <c r="B78" s="19" t="s">
        <v>130</v>
      </c>
      <c r="C78" s="19" t="s">
        <v>35</v>
      </c>
      <c r="D78" s="19" t="s">
        <v>30</v>
      </c>
      <c r="E78" s="19" t="s">
        <v>64</v>
      </c>
      <c r="F78" s="22" t="s">
        <v>131</v>
      </c>
      <c r="G78" s="22" t="s">
        <v>37</v>
      </c>
      <c r="H78" s="19" t="s">
        <v>38</v>
      </c>
      <c r="I78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78" s="23">
        <v>0.35</v>
      </c>
      <c r="K78" s="24">
        <f>Table1[[#This Row],[Recurring Amount]]+Table1[[#This Row],[Non Recurring Amount]]</f>
        <v>108000</v>
      </c>
      <c r="L78" s="24">
        <v>108000</v>
      </c>
      <c r="M78" s="24">
        <v>0</v>
      </c>
      <c r="N78" s="3"/>
      <c r="O78" s="3"/>
      <c r="P78" s="4">
        <f>Table1[[#This Row],[Total Amount]]*Table1[[#This Row],[Conservative Probability]]</f>
        <v>37800</v>
      </c>
      <c r="Q78" s="24"/>
      <c r="R78" s="24"/>
      <c r="S78" s="24"/>
      <c r="T78" s="24"/>
      <c r="U78" s="24"/>
      <c r="V78" s="19"/>
    </row>
    <row r="79" spans="1:22" ht="17" x14ac:dyDescent="0.2">
      <c r="A79" s="20" t="s">
        <v>125</v>
      </c>
      <c r="B79" s="19" t="s">
        <v>132</v>
      </c>
      <c r="C79" s="34" t="s">
        <v>35</v>
      </c>
      <c r="D79" s="34" t="s">
        <v>30</v>
      </c>
      <c r="E79" s="19" t="s">
        <v>58</v>
      </c>
      <c r="F79" s="22" t="s">
        <v>51</v>
      </c>
      <c r="G79" s="22" t="s">
        <v>37</v>
      </c>
      <c r="H79" s="19" t="s">
        <v>38</v>
      </c>
      <c r="I79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79" s="23">
        <v>0.35</v>
      </c>
      <c r="K79" s="24">
        <f>Table1[[#This Row],[Recurring Amount]]+Table1[[#This Row],[Non Recurring Amount]]</f>
        <v>48500</v>
      </c>
      <c r="L79" s="24">
        <v>48500</v>
      </c>
      <c r="M79" s="24">
        <v>0</v>
      </c>
      <c r="N79" s="3"/>
      <c r="O79" s="3"/>
      <c r="P79" s="4">
        <f>Table1[[#This Row],[Total Amount]]*Table1[[#This Row],[Conservative Probability]]</f>
        <v>16975</v>
      </c>
      <c r="Q79" s="24"/>
      <c r="R79" s="24"/>
      <c r="S79" s="24"/>
      <c r="T79" s="24"/>
      <c r="U79" s="24"/>
      <c r="V79" s="19"/>
    </row>
    <row r="80" spans="1:22" ht="17" x14ac:dyDescent="0.2">
      <c r="A80" s="45" t="s">
        <v>125</v>
      </c>
      <c r="B80" s="19" t="s">
        <v>133</v>
      </c>
      <c r="C80" s="34" t="s">
        <v>35</v>
      </c>
      <c r="D80" s="34" t="s">
        <v>30</v>
      </c>
      <c r="E80" s="22" t="s">
        <v>74</v>
      </c>
      <c r="F80" s="22" t="s">
        <v>51</v>
      </c>
      <c r="G80" s="22" t="s">
        <v>37</v>
      </c>
      <c r="H80" s="19" t="s">
        <v>38</v>
      </c>
      <c r="I80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0" s="23">
        <v>0.25</v>
      </c>
      <c r="K80" s="24">
        <f>Table1[[#This Row],[Recurring Amount]]+Table1[[#This Row],[Non Recurring Amount]]</f>
        <v>250000</v>
      </c>
      <c r="L80" s="24">
        <v>250000</v>
      </c>
      <c r="M80" s="24">
        <v>0</v>
      </c>
      <c r="N80" s="3"/>
      <c r="O80" s="3"/>
      <c r="P80" s="4">
        <f>Table1[[#This Row],[Total Amount]]*Table1[[#This Row],[Conservative Probability]]</f>
        <v>62500</v>
      </c>
      <c r="Q80" s="24"/>
      <c r="R80" s="24"/>
      <c r="S80" s="24"/>
      <c r="T80" s="24"/>
      <c r="U80" s="24"/>
      <c r="V80" s="19"/>
    </row>
    <row r="81" spans="1:22" ht="17" x14ac:dyDescent="0.2">
      <c r="A81" s="45" t="s">
        <v>125</v>
      </c>
      <c r="B81" s="19" t="s">
        <v>134</v>
      </c>
      <c r="C81" s="34" t="s">
        <v>35</v>
      </c>
      <c r="D81" s="34" t="s">
        <v>40</v>
      </c>
      <c r="E81" s="22" t="s">
        <v>74</v>
      </c>
      <c r="F81" s="22"/>
      <c r="G81" s="22"/>
      <c r="H81" s="19"/>
      <c r="I81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1" s="23">
        <v>0.25</v>
      </c>
      <c r="K81" s="24">
        <f>Table1[[#This Row],[Recurring Amount]]+Table1[[#This Row],[Non Recurring Amount]]</f>
        <v>75000</v>
      </c>
      <c r="L81" s="24">
        <v>75000</v>
      </c>
      <c r="M81" s="24">
        <v>0</v>
      </c>
      <c r="N81" s="3"/>
      <c r="O81" s="3"/>
      <c r="P81" s="4">
        <f>Table1[[#This Row],[Total Amount]]*Table1[[#This Row],[Conservative Probability]]</f>
        <v>18750</v>
      </c>
      <c r="Q81" s="24"/>
      <c r="R81" s="24"/>
      <c r="S81" s="24"/>
      <c r="T81" s="24"/>
      <c r="U81" s="24"/>
      <c r="V81" s="19"/>
    </row>
    <row r="82" spans="1:22" ht="17" x14ac:dyDescent="0.2">
      <c r="A82" s="36" t="s">
        <v>125</v>
      </c>
      <c r="B82" s="21" t="s">
        <v>135</v>
      </c>
      <c r="C82" s="22" t="s">
        <v>24</v>
      </c>
      <c r="D82" s="37" t="s">
        <v>40</v>
      </c>
      <c r="E82" s="38" t="s">
        <v>64</v>
      </c>
      <c r="F82" s="38"/>
      <c r="G82" s="38" t="s">
        <v>27</v>
      </c>
      <c r="H82" s="22" t="s">
        <v>28</v>
      </c>
      <c r="I82" s="39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82" s="39">
        <v>0.25</v>
      </c>
      <c r="K82" s="24">
        <f>Table1[[#This Row],[Recurring Amount]]+Table1[[#This Row],[Non Recurring Amount]]</f>
        <v>250000</v>
      </c>
      <c r="L82" s="29">
        <v>250000</v>
      </c>
      <c r="M82" s="24">
        <v>0</v>
      </c>
      <c r="N82" s="5"/>
      <c r="O82" s="5"/>
      <c r="P82" s="6">
        <f>Table1[[#This Row],[Total Amount]]*Table1[[#This Row],[Conservative Probability]]</f>
        <v>62500</v>
      </c>
      <c r="Q82" s="40"/>
      <c r="R82" s="40"/>
      <c r="S82" s="40"/>
      <c r="T82" s="40"/>
      <c r="U82" s="40"/>
      <c r="V82" s="37"/>
    </row>
    <row r="83" spans="1:22" ht="15" customHeight="1" x14ac:dyDescent="0.2">
      <c r="A83" s="20" t="s">
        <v>125</v>
      </c>
      <c r="B83" s="19" t="s">
        <v>136</v>
      </c>
      <c r="C83" s="19" t="s">
        <v>35</v>
      </c>
      <c r="D83" s="19" t="s">
        <v>50</v>
      </c>
      <c r="E83" s="19" t="s">
        <v>74</v>
      </c>
      <c r="F83" s="22" t="s">
        <v>68</v>
      </c>
      <c r="G83" s="22" t="s">
        <v>37</v>
      </c>
      <c r="H83" s="19" t="s">
        <v>69</v>
      </c>
      <c r="I8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3" s="23">
        <v>0.25</v>
      </c>
      <c r="K83" s="24">
        <f>Table1[[#This Row],[Recurring Amount]]+Table1[[#This Row],[Non Recurring Amount]]</f>
        <v>500000</v>
      </c>
      <c r="L83" s="24">
        <v>500000</v>
      </c>
      <c r="M83" s="24">
        <v>0</v>
      </c>
      <c r="N83" s="3"/>
      <c r="O83" s="3"/>
      <c r="P83" s="4">
        <f>Table1[[#This Row],[Total Amount]]*Table1[[#This Row],[Conservative Probability]]</f>
        <v>125000</v>
      </c>
      <c r="Q83" s="24"/>
      <c r="R83" s="24"/>
      <c r="S83" s="24"/>
      <c r="T83" s="24"/>
      <c r="U83" s="24"/>
      <c r="V83" s="19"/>
    </row>
    <row r="84" spans="1:22" ht="17" x14ac:dyDescent="0.2">
      <c r="A84" s="20" t="s">
        <v>125</v>
      </c>
      <c r="B84" s="19" t="s">
        <v>137</v>
      </c>
      <c r="C84" s="19" t="s">
        <v>35</v>
      </c>
      <c r="D84" s="19" t="s">
        <v>50</v>
      </c>
      <c r="E84" s="19" t="s">
        <v>74</v>
      </c>
      <c r="F84" s="22" t="s">
        <v>72</v>
      </c>
      <c r="G84" s="22" t="s">
        <v>37</v>
      </c>
      <c r="H84" s="19" t="s">
        <v>38</v>
      </c>
      <c r="I84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4" s="23">
        <v>0.25</v>
      </c>
      <c r="K84" s="24">
        <f>Table1[[#This Row],[Recurring Amount]]+Table1[[#This Row],[Non Recurring Amount]]</f>
        <v>150000</v>
      </c>
      <c r="L84" s="26">
        <v>150000</v>
      </c>
      <c r="M84" s="24">
        <v>0</v>
      </c>
      <c r="N84" s="3"/>
      <c r="O84" s="3"/>
      <c r="P84" s="4">
        <f>Table1[[#This Row],[Total Amount]]*Table1[[#This Row],[Conservative Probability]]</f>
        <v>37500</v>
      </c>
      <c r="Q84" s="24"/>
      <c r="R84" s="24"/>
      <c r="S84" s="24"/>
      <c r="T84" s="24"/>
      <c r="U84" s="24"/>
      <c r="V84" s="19"/>
    </row>
    <row r="85" spans="1:22" ht="17" x14ac:dyDescent="0.2">
      <c r="A85" s="20" t="s">
        <v>125</v>
      </c>
      <c r="B85" s="19" t="s">
        <v>138</v>
      </c>
      <c r="C85" s="19" t="s">
        <v>35</v>
      </c>
      <c r="D85" s="19" t="s">
        <v>50</v>
      </c>
      <c r="E85" s="22" t="s">
        <v>74</v>
      </c>
      <c r="F85" s="22" t="s">
        <v>72</v>
      </c>
      <c r="G85" s="19" t="s">
        <v>37</v>
      </c>
      <c r="H85" s="22" t="s">
        <v>38</v>
      </c>
      <c r="I8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5" s="23">
        <v>0.25</v>
      </c>
      <c r="K85" s="24">
        <f>Table1[[#This Row],[Recurring Amount]]+Table1[[#This Row],[Non Recurring Amount]]</f>
        <v>250000</v>
      </c>
      <c r="L85" s="33">
        <v>250000</v>
      </c>
      <c r="M85" s="24">
        <v>0</v>
      </c>
      <c r="N85" s="3"/>
      <c r="O85" s="3"/>
      <c r="P85" s="4">
        <f>Table1[[#This Row],[Total Amount]]*Table1[[#This Row],[Conservative Probability]]</f>
        <v>62500</v>
      </c>
      <c r="Q85" s="24"/>
      <c r="R85" s="24"/>
      <c r="S85" s="24"/>
      <c r="T85" s="24"/>
      <c r="U85" s="24"/>
      <c r="V85" s="19"/>
    </row>
    <row r="86" spans="1:22" ht="17" x14ac:dyDescent="0.2">
      <c r="A86" s="45" t="s">
        <v>125</v>
      </c>
      <c r="B86" s="19" t="s">
        <v>139</v>
      </c>
      <c r="C86" s="19" t="s">
        <v>35</v>
      </c>
      <c r="D86" s="19" t="s">
        <v>50</v>
      </c>
      <c r="E86" s="22" t="s">
        <v>74</v>
      </c>
      <c r="F86" s="22" t="s">
        <v>72</v>
      </c>
      <c r="G86" s="19" t="s">
        <v>37</v>
      </c>
      <c r="H86" s="19" t="s">
        <v>38</v>
      </c>
      <c r="I86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6" s="28">
        <v>0.25</v>
      </c>
      <c r="K86" s="24">
        <f>Table1[[#This Row],[Recurring Amount]]+Table1[[#This Row],[Non Recurring Amount]]</f>
        <v>200000</v>
      </c>
      <c r="L86" s="24">
        <v>200000</v>
      </c>
      <c r="M86" s="24">
        <v>0</v>
      </c>
      <c r="N86" s="3"/>
      <c r="O86" s="3"/>
      <c r="P86" s="4">
        <f>Table1[[#This Row],[Total Amount]]*Table1[[#This Row],[Conservative Probability]]</f>
        <v>50000</v>
      </c>
      <c r="Q86" s="24"/>
      <c r="R86" s="24"/>
      <c r="S86" s="24"/>
      <c r="T86" s="24"/>
      <c r="U86" s="24"/>
      <c r="V86" s="19"/>
    </row>
    <row r="87" spans="1:22" ht="17" x14ac:dyDescent="0.2">
      <c r="A87" s="45" t="s">
        <v>125</v>
      </c>
      <c r="B87" s="19" t="s">
        <v>140</v>
      </c>
      <c r="C87" s="34" t="s">
        <v>35</v>
      </c>
      <c r="D87" s="34" t="s">
        <v>50</v>
      </c>
      <c r="E87" s="22" t="s">
        <v>74</v>
      </c>
      <c r="F87" s="22" t="s">
        <v>72</v>
      </c>
      <c r="G87" s="22" t="s">
        <v>37</v>
      </c>
      <c r="H87" s="19" t="s">
        <v>38</v>
      </c>
      <c r="I87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7" s="23">
        <v>0.25</v>
      </c>
      <c r="K87" s="24">
        <f>Table1[[#This Row],[Recurring Amount]]+Table1[[#This Row],[Non Recurring Amount]]</f>
        <v>250000</v>
      </c>
      <c r="L87" s="24">
        <v>250000</v>
      </c>
      <c r="M87" s="24">
        <v>0</v>
      </c>
      <c r="N87" s="3"/>
      <c r="O87" s="3"/>
      <c r="P87" s="4">
        <f>Table1[[#This Row],[Total Amount]]*Table1[[#This Row],[Conservative Probability]]</f>
        <v>62500</v>
      </c>
      <c r="Q87" s="24"/>
      <c r="R87" s="24"/>
      <c r="S87" s="24"/>
      <c r="T87" s="24"/>
      <c r="U87" s="24"/>
      <c r="V87" s="19"/>
    </row>
    <row r="88" spans="1:22" ht="17" x14ac:dyDescent="0.2">
      <c r="A88" s="45" t="s">
        <v>125</v>
      </c>
      <c r="B88" s="22" t="s">
        <v>141</v>
      </c>
      <c r="C88" s="22" t="s">
        <v>24</v>
      </c>
      <c r="D88" s="34" t="s">
        <v>50</v>
      </c>
      <c r="E88" s="22" t="s">
        <v>74</v>
      </c>
      <c r="F88" s="22"/>
      <c r="G88" s="22" t="s">
        <v>37</v>
      </c>
      <c r="H88" s="22" t="s">
        <v>28</v>
      </c>
      <c r="I8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8" s="23">
        <v>0.25</v>
      </c>
      <c r="K88" s="24">
        <f>Table1[[#This Row],[Recurring Amount]]+Table1[[#This Row],[Non Recurring Amount]]</f>
        <v>100000</v>
      </c>
      <c r="L88" s="25">
        <v>100000</v>
      </c>
      <c r="M88" s="24">
        <v>0</v>
      </c>
      <c r="N88" s="3"/>
      <c r="O88" s="3"/>
      <c r="P88" s="4">
        <f>Table1[[#This Row],[Total Amount]]*Table1[[#This Row],[Conservative Probability]]</f>
        <v>25000</v>
      </c>
      <c r="Q88" s="24"/>
      <c r="R88" s="24"/>
      <c r="S88" s="24"/>
      <c r="T88" s="24"/>
      <c r="U88" s="24"/>
      <c r="V88" s="19"/>
    </row>
    <row r="89" spans="1:22" ht="17" x14ac:dyDescent="0.2">
      <c r="A89" s="45" t="s">
        <v>125</v>
      </c>
      <c r="B89" s="21" t="s">
        <v>142</v>
      </c>
      <c r="C89" s="22" t="s">
        <v>24</v>
      </c>
      <c r="D89" s="34" t="s">
        <v>50</v>
      </c>
      <c r="E89" s="22" t="s">
        <v>64</v>
      </c>
      <c r="F89" s="22"/>
      <c r="G89" s="19" t="s">
        <v>27</v>
      </c>
      <c r="H89" s="22" t="s">
        <v>28</v>
      </c>
      <c r="I8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89" s="23">
        <v>0.25</v>
      </c>
      <c r="K89" s="24">
        <f>Table1[[#This Row],[Recurring Amount]]+Table1[[#This Row],[Non Recurring Amount]]</f>
        <v>75000</v>
      </c>
      <c r="L89" s="25">
        <v>75000</v>
      </c>
      <c r="M89" s="24">
        <v>0</v>
      </c>
      <c r="N89" s="3"/>
      <c r="O89" s="3"/>
      <c r="P89" s="4">
        <f>Table1[[#This Row],[Total Amount]]*Table1[[#This Row],[Conservative Probability]]</f>
        <v>18750</v>
      </c>
      <c r="Q89" s="24"/>
      <c r="R89" s="24"/>
      <c r="S89" s="24"/>
      <c r="T89" s="24"/>
      <c r="U89" s="24"/>
      <c r="V89" s="19"/>
    </row>
    <row r="90" spans="1:22" ht="35.25" customHeight="1" x14ac:dyDescent="0.2">
      <c r="A90" s="45" t="s">
        <v>125</v>
      </c>
      <c r="B90" s="21" t="s">
        <v>143</v>
      </c>
      <c r="C90" s="22" t="s">
        <v>24</v>
      </c>
      <c r="D90" s="34" t="s">
        <v>50</v>
      </c>
      <c r="E90" s="22" t="s">
        <v>64</v>
      </c>
      <c r="F90" s="22"/>
      <c r="G90" s="19" t="s">
        <v>27</v>
      </c>
      <c r="H90" s="22" t="s">
        <v>28</v>
      </c>
      <c r="I9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0" s="23">
        <v>0.25</v>
      </c>
      <c r="K90" s="24">
        <f>Table1[[#This Row],[Recurring Amount]]+Table1[[#This Row],[Non Recurring Amount]]</f>
        <v>200000</v>
      </c>
      <c r="L90" s="25">
        <v>200000</v>
      </c>
      <c r="M90" s="24">
        <v>0</v>
      </c>
      <c r="N90" s="3"/>
      <c r="O90" s="3"/>
      <c r="P90" s="4">
        <f>Table1[[#This Row],[Total Amount]]*Table1[[#This Row],[Conservative Probability]]</f>
        <v>50000</v>
      </c>
      <c r="Q90" s="24"/>
      <c r="R90" s="24"/>
      <c r="S90" s="24"/>
      <c r="T90" s="24"/>
      <c r="U90" s="24"/>
      <c r="V90" s="19"/>
    </row>
    <row r="91" spans="1:22" ht="36" customHeight="1" x14ac:dyDescent="0.2">
      <c r="A91" s="45" t="s">
        <v>125</v>
      </c>
      <c r="B91" s="21" t="s">
        <v>144</v>
      </c>
      <c r="C91" s="22" t="s">
        <v>24</v>
      </c>
      <c r="D91" s="34" t="s">
        <v>50</v>
      </c>
      <c r="E91" s="22" t="s">
        <v>64</v>
      </c>
      <c r="F91" s="22"/>
      <c r="G91" s="19" t="s">
        <v>27</v>
      </c>
      <c r="H91" s="22" t="s">
        <v>28</v>
      </c>
      <c r="I91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1" s="23">
        <v>0.25</v>
      </c>
      <c r="K91" s="24">
        <f>Table1[[#This Row],[Recurring Amount]]+Table1[[#This Row],[Non Recurring Amount]]</f>
        <v>200000</v>
      </c>
      <c r="L91" s="25">
        <v>200000</v>
      </c>
      <c r="M91" s="24">
        <v>0</v>
      </c>
      <c r="N91" s="3"/>
      <c r="O91" s="3"/>
      <c r="P91" s="4">
        <f>Table1[[#This Row],[Total Amount]]*Table1[[#This Row],[Conservative Probability]]</f>
        <v>50000</v>
      </c>
      <c r="Q91" s="24"/>
      <c r="R91" s="24"/>
      <c r="S91" s="24"/>
      <c r="T91" s="24"/>
      <c r="U91" s="24"/>
      <c r="V91" s="19"/>
    </row>
    <row r="92" spans="1:22" ht="17" x14ac:dyDescent="0.2">
      <c r="A92" s="45" t="s">
        <v>125</v>
      </c>
      <c r="B92" s="19" t="s">
        <v>145</v>
      </c>
      <c r="C92" s="19" t="s">
        <v>24</v>
      </c>
      <c r="D92" s="19" t="s">
        <v>50</v>
      </c>
      <c r="E92" s="22" t="s">
        <v>64</v>
      </c>
      <c r="F92" s="22"/>
      <c r="G92" s="19" t="s">
        <v>27</v>
      </c>
      <c r="H92" s="22" t="s">
        <v>28</v>
      </c>
      <c r="I92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2" s="23">
        <v>0.25</v>
      </c>
      <c r="K92" s="24">
        <f>Table1[[#This Row],[Recurring Amount]]+Table1[[#This Row],[Non Recurring Amount]]</f>
        <v>750000</v>
      </c>
      <c r="L92" s="26">
        <v>750000</v>
      </c>
      <c r="M92" s="24">
        <v>0</v>
      </c>
      <c r="N92" s="3"/>
      <c r="O92" s="3"/>
      <c r="P92" s="4">
        <f>Table1[[#This Row],[Total Amount]]*Table1[[#This Row],[Conservative Probability]]</f>
        <v>187500</v>
      </c>
      <c r="Q92" s="24"/>
      <c r="R92" s="24"/>
      <c r="S92" s="24"/>
      <c r="T92" s="24"/>
      <c r="U92" s="24"/>
      <c r="V92" s="19"/>
    </row>
    <row r="93" spans="1:22" ht="17" x14ac:dyDescent="0.2">
      <c r="A93" s="45" t="s">
        <v>125</v>
      </c>
      <c r="B93" s="19" t="s">
        <v>146</v>
      </c>
      <c r="C93" s="22" t="s">
        <v>24</v>
      </c>
      <c r="D93" s="22" t="s">
        <v>50</v>
      </c>
      <c r="E93" s="22" t="s">
        <v>64</v>
      </c>
      <c r="F93" s="22"/>
      <c r="G93" s="19" t="s">
        <v>109</v>
      </c>
      <c r="H93" s="22" t="s">
        <v>38</v>
      </c>
      <c r="I93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3" s="23">
        <v>0.25</v>
      </c>
      <c r="K93" s="24">
        <f>Table1[[#This Row],[Recurring Amount]]+Table1[[#This Row],[Non Recurring Amount]]</f>
        <v>200000</v>
      </c>
      <c r="L93" s="29">
        <v>200000</v>
      </c>
      <c r="M93" s="24">
        <v>0</v>
      </c>
      <c r="N93" s="3"/>
      <c r="O93" s="3"/>
      <c r="P93" s="4">
        <f>Table1[[#This Row],[Total Amount]]*Table1[[#This Row],[Conservative Probability]]</f>
        <v>50000</v>
      </c>
      <c r="Q93" s="24"/>
      <c r="R93" s="24"/>
      <c r="S93" s="24"/>
      <c r="T93" s="24"/>
      <c r="U93" s="24"/>
      <c r="V93" s="19"/>
    </row>
    <row r="94" spans="1:22" ht="17" x14ac:dyDescent="0.2">
      <c r="A94" s="45" t="s">
        <v>125</v>
      </c>
      <c r="B94" s="19" t="s">
        <v>147</v>
      </c>
      <c r="C94" s="22" t="s">
        <v>24</v>
      </c>
      <c r="D94" s="22" t="s">
        <v>50</v>
      </c>
      <c r="E94" s="22" t="s">
        <v>64</v>
      </c>
      <c r="F94" s="22"/>
      <c r="G94" s="19" t="s">
        <v>109</v>
      </c>
      <c r="H94" s="22" t="s">
        <v>38</v>
      </c>
      <c r="I9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4" s="23">
        <v>0.25</v>
      </c>
      <c r="K94" s="24">
        <f>Table1[[#This Row],[Recurring Amount]]+Table1[[#This Row],[Non Recurring Amount]]</f>
        <v>200000</v>
      </c>
      <c r="L94" s="29">
        <v>200000</v>
      </c>
      <c r="M94" s="24">
        <v>0</v>
      </c>
      <c r="N94" s="3"/>
      <c r="O94" s="3"/>
      <c r="P94" s="4">
        <f>Table1[[#This Row],[Total Amount]]*Table1[[#This Row],[Conservative Probability]]</f>
        <v>50000</v>
      </c>
      <c r="Q94" s="24"/>
      <c r="R94" s="24"/>
      <c r="S94" s="24"/>
      <c r="T94" s="24"/>
      <c r="U94" s="24"/>
      <c r="V94" s="19"/>
    </row>
    <row r="95" spans="1:22" ht="17" x14ac:dyDescent="0.2">
      <c r="A95" s="45" t="s">
        <v>125</v>
      </c>
      <c r="B95" s="21" t="s">
        <v>148</v>
      </c>
      <c r="C95" s="22" t="s">
        <v>24</v>
      </c>
      <c r="D95" s="19" t="s">
        <v>55</v>
      </c>
      <c r="E95" s="22" t="s">
        <v>64</v>
      </c>
      <c r="F95" s="22"/>
      <c r="G95" s="22" t="s">
        <v>27</v>
      </c>
      <c r="H95" s="22" t="s">
        <v>28</v>
      </c>
      <c r="I9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5" s="23">
        <v>0.25</v>
      </c>
      <c r="K95" s="24">
        <f>Table1[[#This Row],[Recurring Amount]]+Table1[[#This Row],[Non Recurring Amount]]</f>
        <v>25000</v>
      </c>
      <c r="L95" s="24">
        <v>0</v>
      </c>
      <c r="M95" s="29">
        <v>25000</v>
      </c>
      <c r="N95" s="3"/>
      <c r="O95" s="3"/>
      <c r="P95" s="4">
        <f>Table1[[#This Row],[Total Amount]]*Table1[[#This Row],[Conservative Probability]]</f>
        <v>6250</v>
      </c>
      <c r="Q95" s="24"/>
      <c r="R95" s="24"/>
      <c r="S95" s="24"/>
      <c r="T95" s="24"/>
      <c r="U95" s="24"/>
      <c r="V95" s="19"/>
    </row>
    <row r="96" spans="1:22" ht="36.75" customHeight="1" x14ac:dyDescent="0.2">
      <c r="A96" s="45" t="s">
        <v>125</v>
      </c>
      <c r="B96" s="21" t="s">
        <v>149</v>
      </c>
      <c r="C96" s="22" t="s">
        <v>24</v>
      </c>
      <c r="D96" s="19" t="s">
        <v>55</v>
      </c>
      <c r="E96" s="22" t="s">
        <v>64</v>
      </c>
      <c r="F96" s="22"/>
      <c r="G96" s="22" t="s">
        <v>27</v>
      </c>
      <c r="H96" s="22" t="s">
        <v>28</v>
      </c>
      <c r="I9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6" s="23">
        <v>0.25</v>
      </c>
      <c r="K96" s="24">
        <f>Table1[[#This Row],[Recurring Amount]]+Table1[[#This Row],[Non Recurring Amount]]</f>
        <v>25000</v>
      </c>
      <c r="L96" s="24">
        <v>0</v>
      </c>
      <c r="M96" s="29">
        <v>25000</v>
      </c>
      <c r="N96" s="3"/>
      <c r="O96" s="3"/>
      <c r="P96" s="4">
        <f>Table1[[#This Row],[Total Amount]]*Table1[[#This Row],[Conservative Probability]]</f>
        <v>6250</v>
      </c>
      <c r="Q96" s="24"/>
      <c r="R96" s="24"/>
      <c r="S96" s="24"/>
      <c r="T96" s="24"/>
      <c r="U96" s="24"/>
      <c r="V96" s="19"/>
    </row>
    <row r="97" spans="1:22" ht="27.75" customHeight="1" x14ac:dyDescent="0.2">
      <c r="A97" s="45" t="s">
        <v>125</v>
      </c>
      <c r="B97" s="21" t="s">
        <v>150</v>
      </c>
      <c r="C97" s="22" t="s">
        <v>24</v>
      </c>
      <c r="D97" s="19" t="s">
        <v>55</v>
      </c>
      <c r="E97" s="22" t="s">
        <v>64</v>
      </c>
      <c r="F97" s="22"/>
      <c r="G97" s="22" t="s">
        <v>27</v>
      </c>
      <c r="H97" s="22" t="s">
        <v>28</v>
      </c>
      <c r="I9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7" s="23">
        <v>0.25</v>
      </c>
      <c r="K97" s="24">
        <f>Table1[[#This Row],[Recurring Amount]]+Table1[[#This Row],[Non Recurring Amount]]</f>
        <v>25000</v>
      </c>
      <c r="L97" s="24">
        <v>0</v>
      </c>
      <c r="M97" s="29">
        <v>25000</v>
      </c>
      <c r="N97" s="3"/>
      <c r="O97" s="3"/>
      <c r="P97" s="4">
        <f>Table1[[#This Row],[Total Amount]]*Table1[[#This Row],[Conservative Probability]]</f>
        <v>6250</v>
      </c>
      <c r="Q97" s="24"/>
      <c r="R97" s="24"/>
      <c r="S97" s="24"/>
      <c r="T97" s="24"/>
      <c r="U97" s="24"/>
      <c r="V97" s="19"/>
    </row>
    <row r="98" spans="1:22" ht="17" x14ac:dyDescent="0.2">
      <c r="A98" s="45" t="s">
        <v>125</v>
      </c>
      <c r="B98" s="21" t="s">
        <v>151</v>
      </c>
      <c r="C98" s="22" t="s">
        <v>24</v>
      </c>
      <c r="D98" s="19" t="s">
        <v>55</v>
      </c>
      <c r="E98" s="22" t="s">
        <v>64</v>
      </c>
      <c r="F98" s="22"/>
      <c r="G98" s="22" t="s">
        <v>33</v>
      </c>
      <c r="H98" s="22" t="s">
        <v>28</v>
      </c>
      <c r="I9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8" s="23">
        <v>0.25</v>
      </c>
      <c r="K98" s="24">
        <f>Table1[[#This Row],[Recurring Amount]]+Table1[[#This Row],[Non Recurring Amount]]</f>
        <v>25000</v>
      </c>
      <c r="L98" s="24">
        <v>0</v>
      </c>
      <c r="M98" s="29">
        <v>25000</v>
      </c>
      <c r="N98" s="3"/>
      <c r="O98" s="3"/>
      <c r="P98" s="4">
        <f>Table1[[#This Row],[Total Amount]]*Table1[[#This Row],[Conservative Probability]]</f>
        <v>6250</v>
      </c>
      <c r="Q98" s="24"/>
      <c r="R98" s="24"/>
      <c r="S98" s="24"/>
      <c r="T98" s="24"/>
      <c r="U98" s="24"/>
      <c r="V98" s="19"/>
    </row>
    <row r="99" spans="1:22" ht="17" x14ac:dyDescent="0.2">
      <c r="A99" s="45" t="s">
        <v>125</v>
      </c>
      <c r="B99" s="21" t="s">
        <v>152</v>
      </c>
      <c r="C99" s="22" t="s">
        <v>24</v>
      </c>
      <c r="D99" s="19" t="s">
        <v>55</v>
      </c>
      <c r="E99" s="22" t="s">
        <v>64</v>
      </c>
      <c r="F99" s="22"/>
      <c r="G99" s="22" t="s">
        <v>33</v>
      </c>
      <c r="H99" s="22" t="s">
        <v>38</v>
      </c>
      <c r="I9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9" s="23">
        <v>0.25</v>
      </c>
      <c r="K99" s="24">
        <f>Table1[[#This Row],[Recurring Amount]]+Table1[[#This Row],[Non Recurring Amount]]</f>
        <v>25000</v>
      </c>
      <c r="L99" s="24">
        <v>0</v>
      </c>
      <c r="M99" s="29">
        <v>25000</v>
      </c>
      <c r="N99" s="3"/>
      <c r="O99" s="3"/>
      <c r="P99" s="4">
        <f>Table1[[#This Row],[Total Amount]]*Table1[[#This Row],[Conservative Probability]]</f>
        <v>6250</v>
      </c>
      <c r="Q99" s="24"/>
      <c r="R99" s="24"/>
      <c r="S99" s="24"/>
      <c r="T99" s="24"/>
      <c r="U99" s="24"/>
      <c r="V99" s="19"/>
    </row>
    <row r="100" spans="1:22" ht="16" customHeight="1" x14ac:dyDescent="0.2">
      <c r="A100" s="20" t="s">
        <v>125</v>
      </c>
      <c r="B100" s="19" t="s">
        <v>153</v>
      </c>
      <c r="C100" s="19" t="s">
        <v>35</v>
      </c>
      <c r="D100" s="19" t="s">
        <v>50</v>
      </c>
      <c r="E100" s="22" t="s">
        <v>64</v>
      </c>
      <c r="F100" s="22" t="s">
        <v>68</v>
      </c>
      <c r="G100" s="22" t="s">
        <v>37</v>
      </c>
      <c r="H100" s="19" t="s">
        <v>38</v>
      </c>
      <c r="I100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00" s="23">
        <v>0.25</v>
      </c>
      <c r="K100" s="24">
        <f>Table1[[#This Row],[Recurring Amount]]+Table1[[#This Row],[Non Recurring Amount]]</f>
        <v>200000</v>
      </c>
      <c r="L100" s="24">
        <v>200000</v>
      </c>
      <c r="M100" s="24">
        <v>0</v>
      </c>
      <c r="N100" s="3"/>
      <c r="O100" s="3"/>
      <c r="P100" s="4">
        <f>Table1[[#This Row],[Total Amount]]*Table1[[#This Row],[Conservative Probability]]</f>
        <v>50000</v>
      </c>
      <c r="Q100" s="24"/>
      <c r="R100" s="24"/>
      <c r="S100" s="24"/>
      <c r="T100" s="24"/>
      <c r="U100" s="24"/>
      <c r="V100" s="19"/>
    </row>
    <row r="101" spans="1:22" ht="17" x14ac:dyDescent="0.2">
      <c r="A101" s="45" t="s">
        <v>125</v>
      </c>
      <c r="B101" s="34" t="s">
        <v>154</v>
      </c>
      <c r="C101" s="34" t="s">
        <v>35</v>
      </c>
      <c r="D101" s="34" t="s">
        <v>50</v>
      </c>
      <c r="E101" s="19" t="s">
        <v>74</v>
      </c>
      <c r="F101" s="22" t="s">
        <v>72</v>
      </c>
      <c r="G101" s="19" t="s">
        <v>37</v>
      </c>
      <c r="H101" s="19" t="s">
        <v>38</v>
      </c>
      <c r="I101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01" s="23">
        <v>0.25</v>
      </c>
      <c r="K101" s="24">
        <f>Table1[[#This Row],[Recurring Amount]]+Table1[[#This Row],[Non Recurring Amount]]</f>
        <v>400000</v>
      </c>
      <c r="L101" s="24">
        <v>400000</v>
      </c>
      <c r="M101" s="24">
        <v>0</v>
      </c>
      <c r="N101" s="3"/>
      <c r="O101" s="3"/>
      <c r="P101" s="24">
        <f>Table1[[#This Row],[Total Amount]]*Table1[[#This Row],[Conservative Probability]]</f>
        <v>100000</v>
      </c>
      <c r="Q101" s="24"/>
      <c r="R101" s="24"/>
      <c r="S101" s="24"/>
      <c r="T101" s="19"/>
      <c r="U101" s="24"/>
      <c r="V101" s="19"/>
    </row>
    <row r="102" spans="1:22" ht="17" x14ac:dyDescent="0.2">
      <c r="A102" s="20" t="s">
        <v>125</v>
      </c>
      <c r="B102" s="19" t="s">
        <v>155</v>
      </c>
      <c r="C102" s="19" t="s">
        <v>35</v>
      </c>
      <c r="D102" s="19" t="s">
        <v>50</v>
      </c>
      <c r="E102" s="19" t="s">
        <v>74</v>
      </c>
      <c r="F102" s="22" t="s">
        <v>72</v>
      </c>
      <c r="G102" s="22" t="s">
        <v>27</v>
      </c>
      <c r="H102" s="19" t="s">
        <v>38</v>
      </c>
      <c r="I10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02" s="23">
        <v>0.15</v>
      </c>
      <c r="K102" s="24">
        <f>Table1[[#This Row],[Recurring Amount]]+Table1[[#This Row],[Non Recurring Amount]]</f>
        <v>300000</v>
      </c>
      <c r="L102" s="24">
        <v>300000</v>
      </c>
      <c r="M102" s="24">
        <v>0</v>
      </c>
      <c r="N102" s="3"/>
      <c r="O102" s="3"/>
      <c r="P102" s="4">
        <f>Table1[[#This Row],[Total Amount]]*Table1[[#This Row],[Conservative Probability]]</f>
        <v>45000</v>
      </c>
      <c r="Q102" s="24"/>
      <c r="R102" s="24"/>
      <c r="S102" s="24"/>
      <c r="T102" s="24"/>
      <c r="U102" s="24"/>
      <c r="V102" s="19"/>
    </row>
    <row r="103" spans="1:22" ht="17" x14ac:dyDescent="0.2">
      <c r="A103" s="20" t="s">
        <v>125</v>
      </c>
      <c r="B103" s="19" t="s">
        <v>156</v>
      </c>
      <c r="C103" s="19" t="s">
        <v>35</v>
      </c>
      <c r="D103" s="19" t="s">
        <v>50</v>
      </c>
      <c r="E103" s="19" t="s">
        <v>74</v>
      </c>
      <c r="F103" s="22" t="s">
        <v>72</v>
      </c>
      <c r="G103" s="22" t="s">
        <v>37</v>
      </c>
      <c r="H103" s="19" t="s">
        <v>69</v>
      </c>
      <c r="I10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03" s="23">
        <v>0.15</v>
      </c>
      <c r="K103" s="24">
        <f>Table1[[#This Row],[Recurring Amount]]+Table1[[#This Row],[Non Recurring Amount]]</f>
        <v>250000</v>
      </c>
      <c r="L103" s="26">
        <v>250000</v>
      </c>
      <c r="M103" s="24">
        <v>0</v>
      </c>
      <c r="N103" s="3"/>
      <c r="O103" s="3"/>
      <c r="P103" s="4">
        <f>Table1[[#This Row],[Total Amount]]*Table1[[#This Row],[Conservative Probability]]</f>
        <v>37500</v>
      </c>
      <c r="Q103" s="24"/>
      <c r="R103" s="24"/>
      <c r="S103" s="24"/>
      <c r="T103" s="24"/>
      <c r="U103" s="24"/>
      <c r="V103" s="19"/>
    </row>
    <row r="104" spans="1:22" ht="17" x14ac:dyDescent="0.2">
      <c r="A104" s="20" t="s">
        <v>125</v>
      </c>
      <c r="B104" s="19" t="s">
        <v>157</v>
      </c>
      <c r="C104" s="19" t="s">
        <v>35</v>
      </c>
      <c r="D104" s="22" t="s">
        <v>40</v>
      </c>
      <c r="E104" s="19" t="s">
        <v>74</v>
      </c>
      <c r="F104" s="22"/>
      <c r="G104" s="22" t="s">
        <v>37</v>
      </c>
      <c r="H104" s="19" t="s">
        <v>38</v>
      </c>
      <c r="I104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04" s="23">
        <v>0.15</v>
      </c>
      <c r="K104" s="24">
        <f>Table1[[#This Row],[Recurring Amount]]+Table1[[#This Row],[Non Recurring Amount]]</f>
        <v>100000</v>
      </c>
      <c r="L104" s="24">
        <v>100000</v>
      </c>
      <c r="M104" s="24">
        <v>0</v>
      </c>
      <c r="N104" s="3"/>
      <c r="O104" s="3"/>
      <c r="P104" s="4">
        <f>Table1[[#This Row],[Total Amount]]*Table1[[#This Row],[Conservative Probability]]</f>
        <v>15000</v>
      </c>
      <c r="Q104" s="24"/>
      <c r="R104" s="24"/>
      <c r="S104" s="24"/>
      <c r="T104" s="24"/>
      <c r="U104" s="24"/>
      <c r="V104" s="19"/>
    </row>
    <row r="105" spans="1:22" x14ac:dyDescent="0.2">
      <c r="A105" s="42"/>
      <c r="B105" s="43"/>
      <c r="C105" s="43"/>
      <c r="D105" s="43"/>
      <c r="E105" s="43"/>
      <c r="F105" s="43"/>
      <c r="G105" s="43"/>
      <c r="H105" s="43"/>
      <c r="I105" s="44" t="e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#N/A</v>
      </c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14"/>
      <c r="U105" s="17"/>
      <c r="V105" s="19"/>
    </row>
    <row r="106" spans="1:22" ht="17" x14ac:dyDescent="0.2">
      <c r="A106" s="45" t="s">
        <v>158</v>
      </c>
      <c r="B106" s="21" t="s">
        <v>159</v>
      </c>
      <c r="C106" s="19" t="s">
        <v>35</v>
      </c>
      <c r="D106" s="19" t="s">
        <v>25</v>
      </c>
      <c r="E106" s="22" t="s">
        <v>26</v>
      </c>
      <c r="F106" s="22"/>
      <c r="G106" s="22" t="s">
        <v>37</v>
      </c>
      <c r="H106" s="22" t="s">
        <v>28</v>
      </c>
      <c r="I10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106" s="23">
        <v>1</v>
      </c>
      <c r="K106" s="24">
        <f>Table1[[#This Row],[Recurring Amount]]+Table1[[#This Row],[Non Recurring Amount]]</f>
        <v>110000</v>
      </c>
      <c r="L106" s="29">
        <v>110000</v>
      </c>
      <c r="M106" s="24">
        <v>0</v>
      </c>
      <c r="N106" s="7"/>
      <c r="O106" s="7"/>
      <c r="P106" s="4">
        <f>Table1[[#This Row],[Total Amount]]*Table1[[#This Row],[Conservative Probability]]</f>
        <v>110000</v>
      </c>
      <c r="Q106" s="24"/>
      <c r="R106" s="24"/>
      <c r="S106" s="24"/>
      <c r="T106" s="24"/>
      <c r="U106" s="24"/>
      <c r="V106" s="19"/>
    </row>
    <row r="107" spans="1:22" ht="17" x14ac:dyDescent="0.2">
      <c r="A107" s="45" t="s">
        <v>158</v>
      </c>
      <c r="B107" s="19" t="s">
        <v>160</v>
      </c>
      <c r="C107" s="19" t="s">
        <v>35</v>
      </c>
      <c r="D107" s="19" t="s">
        <v>25</v>
      </c>
      <c r="E107" s="22" t="s">
        <v>26</v>
      </c>
      <c r="F107" s="22" t="s">
        <v>51</v>
      </c>
      <c r="G107" s="19" t="s">
        <v>37</v>
      </c>
      <c r="H107" s="19" t="s">
        <v>38</v>
      </c>
      <c r="I107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107" s="23">
        <v>1</v>
      </c>
      <c r="K107" s="24">
        <f>Table1[[#This Row],[Recurring Amount]]+Table1[[#This Row],[Non Recurring Amount]]</f>
        <v>3400000</v>
      </c>
      <c r="L107" s="24">
        <v>3400000</v>
      </c>
      <c r="M107" s="24">
        <v>0</v>
      </c>
      <c r="N107" s="3"/>
      <c r="O107" s="3"/>
      <c r="P107" s="4">
        <f>Table1[[#This Row],[Total Amount]]*Table1[[#This Row],[Conservative Probability]]</f>
        <v>3400000</v>
      </c>
      <c r="Q107" s="24"/>
      <c r="R107" s="24"/>
      <c r="S107" s="24"/>
      <c r="T107" s="19"/>
      <c r="U107" s="24"/>
      <c r="V107" s="19"/>
    </row>
    <row r="108" spans="1:22" ht="17" x14ac:dyDescent="0.2">
      <c r="A108" s="45" t="s">
        <v>158</v>
      </c>
      <c r="B108" s="19" t="s">
        <v>161</v>
      </c>
      <c r="C108" s="19" t="s">
        <v>35</v>
      </c>
      <c r="D108" s="19" t="s">
        <v>25</v>
      </c>
      <c r="E108" s="22" t="s">
        <v>26</v>
      </c>
      <c r="F108" s="22"/>
      <c r="G108" s="22"/>
      <c r="H108" s="19"/>
      <c r="I10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108" s="23">
        <v>1</v>
      </c>
      <c r="K108" s="24">
        <f>Table1[[#This Row],[Recurring Amount]]+Table1[[#This Row],[Non Recurring Amount]]</f>
        <v>130000</v>
      </c>
      <c r="L108" s="24">
        <v>130000</v>
      </c>
      <c r="M108" s="24"/>
      <c r="N108" s="3"/>
      <c r="O108" s="3"/>
      <c r="P108" s="4">
        <f>Table1[[#This Row],[Total Amount]]*Table1[[#This Row],[Conservative Probability]]</f>
        <v>130000</v>
      </c>
      <c r="Q108" s="24"/>
      <c r="R108" s="24"/>
      <c r="S108" s="24"/>
      <c r="T108" s="19"/>
      <c r="U108" s="24"/>
      <c r="V108" s="19"/>
    </row>
    <row r="109" spans="1:22" ht="17" x14ac:dyDescent="0.2">
      <c r="A109" s="45" t="s">
        <v>158</v>
      </c>
      <c r="B109" s="21" t="s">
        <v>162</v>
      </c>
      <c r="C109" s="19" t="s">
        <v>24</v>
      </c>
      <c r="D109" s="19" t="s">
        <v>25</v>
      </c>
      <c r="E109" s="22" t="s">
        <v>26</v>
      </c>
      <c r="F109" s="22"/>
      <c r="G109" s="19" t="s">
        <v>37</v>
      </c>
      <c r="H109" s="22" t="s">
        <v>28</v>
      </c>
      <c r="I10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109" s="23">
        <v>1</v>
      </c>
      <c r="K109" s="24">
        <f>Table1[[#This Row],[Recurring Amount]]+Table1[[#This Row],[Non Recurring Amount]]</f>
        <v>275000</v>
      </c>
      <c r="L109" s="29">
        <v>275000</v>
      </c>
      <c r="M109" s="24">
        <v>0</v>
      </c>
      <c r="N109" s="7"/>
      <c r="O109" s="3"/>
      <c r="P109" s="4">
        <f>Table1[[#This Row],[Total Amount]]*Table1[[#This Row],[Conservative Probability]]</f>
        <v>275000</v>
      </c>
      <c r="Q109" s="24"/>
      <c r="R109" s="24"/>
      <c r="S109" s="24"/>
      <c r="T109" s="19"/>
      <c r="U109" s="24"/>
      <c r="V109" s="19"/>
    </row>
    <row r="110" spans="1:22" ht="17" x14ac:dyDescent="0.2">
      <c r="A110" s="46" t="s">
        <v>158</v>
      </c>
      <c r="B110" s="34" t="s">
        <v>163</v>
      </c>
      <c r="C110" s="34" t="s">
        <v>35</v>
      </c>
      <c r="D110" s="34" t="s">
        <v>25</v>
      </c>
      <c r="E110" s="19" t="s">
        <v>26</v>
      </c>
      <c r="F110" s="22" t="s">
        <v>56</v>
      </c>
      <c r="G110" s="19" t="s">
        <v>37</v>
      </c>
      <c r="H110" s="19" t="s">
        <v>38</v>
      </c>
      <c r="I110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110" s="23">
        <v>1</v>
      </c>
      <c r="K110" s="24">
        <f>Table1[[#This Row],[Recurring Amount]]+Table1[[#This Row],[Non Recurring Amount]]</f>
        <v>110000</v>
      </c>
      <c r="L110" s="24">
        <v>110000</v>
      </c>
      <c r="M110" s="24">
        <v>0</v>
      </c>
      <c r="N110" s="3"/>
      <c r="O110" s="3"/>
      <c r="P110" s="24">
        <f>Table1[[#This Row],[Total Amount]]*Table1[[#This Row],[Conservative Probability]]</f>
        <v>110000</v>
      </c>
      <c r="Q110" s="24"/>
      <c r="R110" s="24"/>
      <c r="S110" s="24"/>
      <c r="T110" s="19"/>
      <c r="U110" s="24"/>
      <c r="V110" s="19"/>
    </row>
    <row r="111" spans="1:22" ht="17" x14ac:dyDescent="0.2">
      <c r="A111" s="45" t="s">
        <v>158</v>
      </c>
      <c r="B111" s="22" t="s">
        <v>164</v>
      </c>
      <c r="C111" s="19" t="s">
        <v>24</v>
      </c>
      <c r="D111" s="19" t="s">
        <v>30</v>
      </c>
      <c r="E111" s="22" t="s">
        <v>31</v>
      </c>
      <c r="F111" s="22"/>
      <c r="G111" s="19" t="s">
        <v>27</v>
      </c>
      <c r="H111" s="22" t="s">
        <v>28</v>
      </c>
      <c r="I111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1" s="23">
        <v>0.5</v>
      </c>
      <c r="K111" s="24">
        <f>Table1[[#This Row],[Recurring Amount]]+Table1[[#This Row],[Non Recurring Amount]]</f>
        <v>14800</v>
      </c>
      <c r="L111" s="29">
        <v>14800</v>
      </c>
      <c r="M111" s="24">
        <v>0</v>
      </c>
      <c r="N111" s="7"/>
      <c r="O111" s="3"/>
      <c r="P111" s="4">
        <f>Table1[[#This Row],[Total Amount]]*Table1[[#This Row],[Conservative Probability]]</f>
        <v>7400</v>
      </c>
      <c r="Q111" s="24"/>
      <c r="R111" s="24"/>
      <c r="S111" s="24"/>
      <c r="T111" s="19"/>
      <c r="U111" s="24"/>
      <c r="V111" s="19"/>
    </row>
    <row r="112" spans="1:22" ht="17" x14ac:dyDescent="0.2">
      <c r="A112" s="20" t="s">
        <v>158</v>
      </c>
      <c r="B112" s="19" t="s">
        <v>165</v>
      </c>
      <c r="C112" s="19" t="s">
        <v>24</v>
      </c>
      <c r="D112" s="19" t="s">
        <v>30</v>
      </c>
      <c r="E112" s="22" t="s">
        <v>31</v>
      </c>
      <c r="F112" s="22"/>
      <c r="G112" s="22" t="s">
        <v>27</v>
      </c>
      <c r="H112" s="19" t="s">
        <v>28</v>
      </c>
      <c r="I112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2" s="23">
        <v>0.5</v>
      </c>
      <c r="K112" s="24">
        <f>Table1[[#This Row],[Recurring Amount]]+Table1[[#This Row],[Non Recurring Amount]]</f>
        <v>9900</v>
      </c>
      <c r="L112" s="26">
        <v>9900</v>
      </c>
      <c r="M112" s="24">
        <v>0</v>
      </c>
      <c r="N112" s="3"/>
      <c r="O112" s="3"/>
      <c r="P112" s="4">
        <f>Table1[[#This Row],[Total Amount]]*Table1[[#This Row],[Conservative Probability]]</f>
        <v>4950</v>
      </c>
      <c r="Q112" s="24"/>
      <c r="R112" s="24"/>
      <c r="S112" s="24"/>
      <c r="T112" s="19"/>
      <c r="U112" s="24"/>
      <c r="V112" s="19"/>
    </row>
    <row r="113" spans="1:22" ht="17" x14ac:dyDescent="0.2">
      <c r="A113" s="20" t="s">
        <v>158</v>
      </c>
      <c r="B113" s="19" t="s">
        <v>166</v>
      </c>
      <c r="C113" s="19" t="s">
        <v>24</v>
      </c>
      <c r="D113" s="19" t="s">
        <v>30</v>
      </c>
      <c r="E113" s="22" t="s">
        <v>31</v>
      </c>
      <c r="F113" s="22"/>
      <c r="G113" s="22" t="s">
        <v>27</v>
      </c>
      <c r="H113" s="19" t="s">
        <v>28</v>
      </c>
      <c r="I113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3" s="23">
        <v>0.5</v>
      </c>
      <c r="K113" s="24">
        <f>Table1[[#This Row],[Recurring Amount]]+Table1[[#This Row],[Non Recurring Amount]]</f>
        <v>19900</v>
      </c>
      <c r="L113" s="26">
        <v>19900</v>
      </c>
      <c r="M113" s="24">
        <v>0</v>
      </c>
      <c r="N113" s="3"/>
      <c r="O113" s="3"/>
      <c r="P113" s="4">
        <f>Table1[[#This Row],[Total Amount]]*Table1[[#This Row],[Conservative Probability]]</f>
        <v>9950</v>
      </c>
      <c r="Q113" s="24"/>
      <c r="R113" s="24"/>
      <c r="S113" s="24"/>
      <c r="T113" s="19"/>
      <c r="U113" s="24"/>
      <c r="V113" s="19"/>
    </row>
    <row r="114" spans="1:22" ht="17" x14ac:dyDescent="0.2">
      <c r="A114" s="20" t="s">
        <v>158</v>
      </c>
      <c r="B114" s="19" t="s">
        <v>167</v>
      </c>
      <c r="C114" s="19" t="s">
        <v>24</v>
      </c>
      <c r="D114" s="19" t="s">
        <v>30</v>
      </c>
      <c r="E114" s="22" t="s">
        <v>31</v>
      </c>
      <c r="F114" s="22"/>
      <c r="G114" s="22" t="s">
        <v>27</v>
      </c>
      <c r="H114" s="19" t="s">
        <v>28</v>
      </c>
      <c r="I11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4" s="23">
        <v>0.5</v>
      </c>
      <c r="K114" s="24">
        <f>Table1[[#This Row],[Recurring Amount]]+Table1[[#This Row],[Non Recurring Amount]]</f>
        <v>10000</v>
      </c>
      <c r="L114" s="26">
        <v>10000</v>
      </c>
      <c r="M114" s="24">
        <v>0</v>
      </c>
      <c r="N114" s="3"/>
      <c r="O114" s="3"/>
      <c r="P114" s="4">
        <f>Table1[[#This Row],[Total Amount]]*Table1[[#This Row],[Conservative Probability]]</f>
        <v>5000</v>
      </c>
      <c r="Q114" s="24"/>
      <c r="R114" s="24"/>
      <c r="S114" s="24"/>
      <c r="T114" s="19"/>
      <c r="U114" s="24"/>
      <c r="V114" s="19"/>
    </row>
    <row r="115" spans="1:22" ht="17" x14ac:dyDescent="0.2">
      <c r="A115" s="20" t="s">
        <v>158</v>
      </c>
      <c r="B115" s="19" t="s">
        <v>168</v>
      </c>
      <c r="C115" s="19" t="s">
        <v>24</v>
      </c>
      <c r="D115" s="19" t="s">
        <v>30</v>
      </c>
      <c r="E115" s="22" t="s">
        <v>31</v>
      </c>
      <c r="F115" s="22"/>
      <c r="G115" s="22" t="s">
        <v>27</v>
      </c>
      <c r="H115" s="19" t="s">
        <v>28</v>
      </c>
      <c r="I11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5" s="23">
        <v>0.5</v>
      </c>
      <c r="K115" s="24">
        <f>Table1[[#This Row],[Recurring Amount]]+Table1[[#This Row],[Non Recurring Amount]]</f>
        <v>23900</v>
      </c>
      <c r="L115" s="26">
        <v>23900</v>
      </c>
      <c r="M115" s="24">
        <v>0</v>
      </c>
      <c r="N115" s="3"/>
      <c r="O115" s="3"/>
      <c r="P115" s="4">
        <f>Table1[[#This Row],[Total Amount]]*Table1[[#This Row],[Conservative Probability]]</f>
        <v>11950</v>
      </c>
      <c r="Q115" s="24"/>
      <c r="R115" s="24"/>
      <c r="S115" s="24"/>
      <c r="T115" s="19"/>
      <c r="U115" s="24"/>
      <c r="V115" s="19"/>
    </row>
    <row r="116" spans="1:22" ht="17" x14ac:dyDescent="0.2">
      <c r="A116" s="20" t="s">
        <v>158</v>
      </c>
      <c r="B116" s="19" t="s">
        <v>169</v>
      </c>
      <c r="C116" s="19" t="s">
        <v>24</v>
      </c>
      <c r="D116" s="19" t="s">
        <v>30</v>
      </c>
      <c r="E116" s="22" t="s">
        <v>31</v>
      </c>
      <c r="F116" s="22"/>
      <c r="G116" s="22" t="s">
        <v>33</v>
      </c>
      <c r="H116" s="19" t="s">
        <v>28</v>
      </c>
      <c r="I11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6" s="23">
        <v>0.5</v>
      </c>
      <c r="K116" s="24">
        <f>Table1[[#This Row],[Recurring Amount]]+Table1[[#This Row],[Non Recurring Amount]]</f>
        <v>9900</v>
      </c>
      <c r="L116" s="26">
        <v>9900</v>
      </c>
      <c r="M116" s="24">
        <v>0</v>
      </c>
      <c r="N116" s="3"/>
      <c r="O116" s="3"/>
      <c r="P116" s="4">
        <f>Table1[[#This Row],[Total Amount]]*Table1[[#This Row],[Conservative Probability]]</f>
        <v>4950</v>
      </c>
      <c r="Q116" s="24"/>
      <c r="R116" s="24"/>
      <c r="S116" s="24"/>
      <c r="T116" s="19"/>
      <c r="U116" s="24"/>
      <c r="V116" s="19"/>
    </row>
    <row r="117" spans="1:22" ht="17" x14ac:dyDescent="0.2">
      <c r="A117" s="20" t="s">
        <v>158</v>
      </c>
      <c r="B117" s="19" t="s">
        <v>170</v>
      </c>
      <c r="C117" s="19" t="s">
        <v>35</v>
      </c>
      <c r="D117" s="19" t="s">
        <v>40</v>
      </c>
      <c r="E117" s="19" t="s">
        <v>58</v>
      </c>
      <c r="F117" s="22" t="s">
        <v>51</v>
      </c>
      <c r="G117" s="19" t="s">
        <v>37</v>
      </c>
      <c r="H117" s="19" t="s">
        <v>38</v>
      </c>
      <c r="I117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17" s="28">
        <v>0.35</v>
      </c>
      <c r="K117" s="24">
        <f>Table1[[#This Row],[Recurring Amount]]+Table1[[#This Row],[Non Recurring Amount]]</f>
        <v>150000</v>
      </c>
      <c r="L117" s="24">
        <v>0</v>
      </c>
      <c r="M117" s="24">
        <v>150000</v>
      </c>
      <c r="N117" s="3"/>
      <c r="O117" s="3"/>
      <c r="P117" s="4">
        <f>Table1[[#This Row],[Total Amount]]*Table1[[#This Row],[Conservative Probability]]</f>
        <v>52500</v>
      </c>
      <c r="Q117" s="4"/>
      <c r="R117" s="4"/>
      <c r="S117" s="4"/>
      <c r="T117" s="4"/>
      <c r="U117" s="4"/>
      <c r="V117" s="19"/>
    </row>
    <row r="118" spans="1:22" ht="17" x14ac:dyDescent="0.2">
      <c r="A118" s="45" t="s">
        <v>158</v>
      </c>
      <c r="B118" s="22" t="s">
        <v>171</v>
      </c>
      <c r="C118" s="19" t="s">
        <v>24</v>
      </c>
      <c r="D118" s="19" t="s">
        <v>40</v>
      </c>
      <c r="E118" s="19" t="s">
        <v>58</v>
      </c>
      <c r="F118" s="22"/>
      <c r="G118" s="19" t="s">
        <v>172</v>
      </c>
      <c r="H118" s="22" t="s">
        <v>28</v>
      </c>
      <c r="I11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18" s="23">
        <v>0.35</v>
      </c>
      <c r="K118" s="24">
        <f>Table1[[#This Row],[Recurring Amount]]+Table1[[#This Row],[Non Recurring Amount]]</f>
        <v>900000</v>
      </c>
      <c r="L118" s="29">
        <v>900000</v>
      </c>
      <c r="M118" s="24">
        <v>0</v>
      </c>
      <c r="N118" s="7"/>
      <c r="O118" s="7"/>
      <c r="P118" s="4">
        <f>Table1[[#This Row],[Total Amount]]*Table1[[#This Row],[Conservative Probability]]</f>
        <v>315000</v>
      </c>
      <c r="Q118" s="33"/>
      <c r="R118" s="33"/>
      <c r="S118" s="24"/>
      <c r="T118" s="24"/>
      <c r="U118" s="24"/>
      <c r="V118" s="19"/>
    </row>
    <row r="119" spans="1:22" ht="17" x14ac:dyDescent="0.2">
      <c r="A119" s="20" t="s">
        <v>158</v>
      </c>
      <c r="B119" s="19" t="s">
        <v>173</v>
      </c>
      <c r="C119" s="19" t="s">
        <v>35</v>
      </c>
      <c r="D119" s="19" t="s">
        <v>40</v>
      </c>
      <c r="E119" s="19" t="s">
        <v>64</v>
      </c>
      <c r="F119" s="22" t="s">
        <v>32</v>
      </c>
      <c r="G119" s="19" t="s">
        <v>37</v>
      </c>
      <c r="H119" s="19" t="s">
        <v>38</v>
      </c>
      <c r="I119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19" s="28">
        <v>0.25</v>
      </c>
      <c r="K119" s="24">
        <f>Table1[[#This Row],[Recurring Amount]]+Table1[[#This Row],[Non Recurring Amount]]</f>
        <v>350000</v>
      </c>
      <c r="L119" s="24">
        <v>0</v>
      </c>
      <c r="M119" s="24">
        <v>350000</v>
      </c>
      <c r="N119" s="3"/>
      <c r="O119" s="3"/>
      <c r="P119" s="4">
        <f>Table1[[#This Row],[Total Amount]]*Table1[[#This Row],[Conservative Probability]]</f>
        <v>87500</v>
      </c>
      <c r="Q119" s="4"/>
      <c r="R119" s="4"/>
      <c r="S119" s="4"/>
      <c r="T119" s="4"/>
      <c r="U119" s="4"/>
      <c r="V119" s="19"/>
    </row>
    <row r="120" spans="1:22" ht="17" x14ac:dyDescent="0.2">
      <c r="A120" s="46" t="s">
        <v>158</v>
      </c>
      <c r="B120" s="22" t="s">
        <v>174</v>
      </c>
      <c r="C120" s="19" t="s">
        <v>24</v>
      </c>
      <c r="D120" s="34" t="s">
        <v>50</v>
      </c>
      <c r="E120" s="22" t="s">
        <v>64</v>
      </c>
      <c r="F120" s="22"/>
      <c r="G120" s="22" t="s">
        <v>27</v>
      </c>
      <c r="H120" s="22" t="s">
        <v>28</v>
      </c>
      <c r="I12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0" s="23">
        <v>0.25</v>
      </c>
      <c r="K120" s="24">
        <f>Table1[[#This Row],[Recurring Amount]]+Table1[[#This Row],[Non Recurring Amount]]</f>
        <v>200000</v>
      </c>
      <c r="L120" s="29">
        <v>200000</v>
      </c>
      <c r="M120" s="24">
        <v>0</v>
      </c>
      <c r="N120" s="3"/>
      <c r="O120" s="3"/>
      <c r="P120" s="4">
        <f>Table1[[#This Row],[Total Amount]]*Table1[[#This Row],[Conservative Probability]]</f>
        <v>50000</v>
      </c>
      <c r="Q120" s="24"/>
      <c r="R120" s="24"/>
      <c r="S120" s="24"/>
      <c r="T120" s="24"/>
      <c r="U120" s="24"/>
      <c r="V120" s="19"/>
    </row>
    <row r="121" spans="1:22" ht="17" x14ac:dyDescent="0.2">
      <c r="A121" s="36" t="s">
        <v>158</v>
      </c>
      <c r="B121" s="22" t="s">
        <v>175</v>
      </c>
      <c r="C121" s="19" t="s">
        <v>24</v>
      </c>
      <c r="D121" s="37" t="s">
        <v>40</v>
      </c>
      <c r="E121" s="38" t="s">
        <v>64</v>
      </c>
      <c r="F121" s="38"/>
      <c r="G121" s="38" t="s">
        <v>27</v>
      </c>
      <c r="H121" s="22" t="s">
        <v>28</v>
      </c>
      <c r="I121" s="39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1" s="39">
        <v>0.25</v>
      </c>
      <c r="K121" s="24">
        <f>Table1[[#This Row],[Recurring Amount]]+Table1[[#This Row],[Non Recurring Amount]]</f>
        <v>250000</v>
      </c>
      <c r="L121" s="29">
        <v>250000</v>
      </c>
      <c r="M121" s="24">
        <v>0</v>
      </c>
      <c r="N121" s="5"/>
      <c r="O121" s="5"/>
      <c r="P121" s="6">
        <f>Table1[[#This Row],[Total Amount]]*Table1[[#This Row],[Conservative Probability]]</f>
        <v>62500</v>
      </c>
      <c r="Q121" s="40"/>
      <c r="R121" s="40"/>
      <c r="S121" s="40"/>
      <c r="T121" s="40"/>
      <c r="U121" s="40"/>
      <c r="V121" s="37"/>
    </row>
    <row r="122" spans="1:22" ht="17" x14ac:dyDescent="0.2">
      <c r="A122" s="20" t="s">
        <v>158</v>
      </c>
      <c r="B122" s="34" t="s">
        <v>176</v>
      </c>
      <c r="C122" s="34" t="s">
        <v>35</v>
      </c>
      <c r="D122" s="34" t="s">
        <v>50</v>
      </c>
      <c r="E122" s="19" t="s">
        <v>64</v>
      </c>
      <c r="F122" s="19" t="s">
        <v>72</v>
      </c>
      <c r="G122" s="19" t="s">
        <v>37</v>
      </c>
      <c r="H122" s="19" t="s">
        <v>28</v>
      </c>
      <c r="I12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2" s="23">
        <v>0.25</v>
      </c>
      <c r="K122" s="24">
        <f>Table1[[#This Row],[Recurring Amount]]+Table1[[#This Row],[Non Recurring Amount]]</f>
        <v>200000</v>
      </c>
      <c r="L122" s="24">
        <v>200000</v>
      </c>
      <c r="M122" s="24">
        <v>0</v>
      </c>
      <c r="N122" s="3"/>
      <c r="O122" s="3"/>
      <c r="P122" s="4">
        <f>Table1[[#This Row],[Total Amount]]*Table1[[#This Row],[Conservative Probability]]</f>
        <v>50000</v>
      </c>
      <c r="Q122" s="24"/>
      <c r="R122" s="24"/>
      <c r="S122" s="24"/>
      <c r="T122" s="24"/>
      <c r="U122" s="24"/>
      <c r="V122" s="19"/>
    </row>
    <row r="123" spans="1:22" ht="17" x14ac:dyDescent="0.2">
      <c r="A123" s="20" t="s">
        <v>158</v>
      </c>
      <c r="B123" s="34" t="s">
        <v>177</v>
      </c>
      <c r="C123" s="34" t="s">
        <v>35</v>
      </c>
      <c r="D123" s="34" t="s">
        <v>50</v>
      </c>
      <c r="E123" s="19" t="s">
        <v>64</v>
      </c>
      <c r="F123" s="19" t="s">
        <v>72</v>
      </c>
      <c r="G123" s="19" t="s">
        <v>37</v>
      </c>
      <c r="H123" s="19" t="s">
        <v>28</v>
      </c>
      <c r="I12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3" s="23">
        <v>0.25</v>
      </c>
      <c r="K123" s="24">
        <f>Table1[[#This Row],[Recurring Amount]]+Table1[[#This Row],[Non Recurring Amount]]</f>
        <v>200000</v>
      </c>
      <c r="L123" s="24">
        <v>200000</v>
      </c>
      <c r="M123" s="24">
        <v>0</v>
      </c>
      <c r="N123" s="3"/>
      <c r="O123" s="3"/>
      <c r="P123" s="4">
        <f>Table1[[#This Row],[Total Amount]]*Table1[[#This Row],[Conservative Probability]]</f>
        <v>50000</v>
      </c>
      <c r="Q123" s="24"/>
      <c r="R123" s="24"/>
      <c r="S123" s="24"/>
      <c r="T123" s="24"/>
      <c r="U123" s="24"/>
      <c r="V123" s="19"/>
    </row>
    <row r="124" spans="1:22" ht="17" x14ac:dyDescent="0.2">
      <c r="A124" s="20" t="s">
        <v>158</v>
      </c>
      <c r="B124" s="34" t="s">
        <v>178</v>
      </c>
      <c r="C124" s="34" t="s">
        <v>35</v>
      </c>
      <c r="D124" s="34" t="s">
        <v>50</v>
      </c>
      <c r="E124" s="19" t="s">
        <v>64</v>
      </c>
      <c r="F124" s="19" t="s">
        <v>72</v>
      </c>
      <c r="G124" s="19" t="s">
        <v>37</v>
      </c>
      <c r="H124" s="19" t="s">
        <v>28</v>
      </c>
      <c r="I124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4" s="23">
        <v>0.25</v>
      </c>
      <c r="K124" s="24">
        <f>Table1[[#This Row],[Recurring Amount]]+Table1[[#This Row],[Non Recurring Amount]]</f>
        <v>200000</v>
      </c>
      <c r="L124" s="24">
        <v>200000</v>
      </c>
      <c r="M124" s="24">
        <v>0</v>
      </c>
      <c r="N124" s="3"/>
      <c r="O124" s="3"/>
      <c r="P124" s="4">
        <f>Table1[[#This Row],[Total Amount]]*Table1[[#This Row],[Conservative Probability]]</f>
        <v>50000</v>
      </c>
      <c r="Q124" s="24"/>
      <c r="R124" s="24"/>
      <c r="S124" s="24"/>
      <c r="T124" s="24"/>
      <c r="U124" s="24"/>
      <c r="V124" s="19"/>
    </row>
    <row r="125" spans="1:22" ht="17" x14ac:dyDescent="0.2">
      <c r="A125" s="20" t="s">
        <v>158</v>
      </c>
      <c r="B125" s="34" t="s">
        <v>179</v>
      </c>
      <c r="C125" s="34" t="s">
        <v>35</v>
      </c>
      <c r="D125" s="34" t="s">
        <v>50</v>
      </c>
      <c r="E125" s="19" t="s">
        <v>64</v>
      </c>
      <c r="F125" s="19" t="s">
        <v>72</v>
      </c>
      <c r="G125" s="19" t="s">
        <v>37</v>
      </c>
      <c r="H125" s="19" t="s">
        <v>28</v>
      </c>
      <c r="I125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5" s="23">
        <v>0.25</v>
      </c>
      <c r="K125" s="24">
        <f>Table1[[#This Row],[Recurring Amount]]+Table1[[#This Row],[Non Recurring Amount]]</f>
        <v>100000</v>
      </c>
      <c r="L125" s="24">
        <v>100000</v>
      </c>
      <c r="M125" s="24">
        <v>0</v>
      </c>
      <c r="N125" s="3"/>
      <c r="O125" s="3"/>
      <c r="P125" s="4">
        <f>Table1[[#This Row],[Total Amount]]*Table1[[#This Row],[Conservative Probability]]</f>
        <v>25000</v>
      </c>
      <c r="Q125" s="24"/>
      <c r="R125" s="24"/>
      <c r="S125" s="24"/>
      <c r="T125" s="24"/>
      <c r="U125" s="24"/>
      <c r="V125" s="19"/>
    </row>
    <row r="126" spans="1:22" ht="17" x14ac:dyDescent="0.2">
      <c r="A126" s="20" t="s">
        <v>158</v>
      </c>
      <c r="B126" s="22" t="s">
        <v>180</v>
      </c>
      <c r="C126" s="34" t="s">
        <v>35</v>
      </c>
      <c r="D126" s="22" t="s">
        <v>50</v>
      </c>
      <c r="E126" s="22" t="s">
        <v>74</v>
      </c>
      <c r="F126" s="22"/>
      <c r="G126" s="19" t="s">
        <v>37</v>
      </c>
      <c r="H126" s="22" t="s">
        <v>38</v>
      </c>
      <c r="I12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26" s="28">
        <v>0.25</v>
      </c>
      <c r="K126" s="24">
        <f>Table1[[#This Row],[Recurring Amount]]+Table1[[#This Row],[Non Recurring Amount]]</f>
        <v>150000</v>
      </c>
      <c r="L126" s="33">
        <v>150000</v>
      </c>
      <c r="M126" s="24">
        <v>0</v>
      </c>
      <c r="N126" s="3"/>
      <c r="O126" s="3"/>
      <c r="P126" s="4">
        <f>Table1[[#This Row],[Total Amount]]*Table1[[#This Row],[Conservative Probability]]</f>
        <v>37500</v>
      </c>
      <c r="Q126" s="33"/>
      <c r="R126" s="33"/>
      <c r="S126" s="33"/>
      <c r="T126" s="4"/>
      <c r="U126" s="24"/>
      <c r="V126" s="19"/>
    </row>
    <row r="127" spans="1:22" ht="17" x14ac:dyDescent="0.2">
      <c r="A127" s="45" t="s">
        <v>158</v>
      </c>
      <c r="B127" s="22" t="s">
        <v>181</v>
      </c>
      <c r="C127" s="19" t="s">
        <v>24</v>
      </c>
      <c r="D127" s="19" t="s">
        <v>50</v>
      </c>
      <c r="E127" s="22" t="s">
        <v>74</v>
      </c>
      <c r="F127" s="22"/>
      <c r="G127" s="19" t="s">
        <v>27</v>
      </c>
      <c r="H127" s="22" t="s">
        <v>28</v>
      </c>
      <c r="I12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27" s="23">
        <v>0.25</v>
      </c>
      <c r="K127" s="24">
        <f>Table1[[#This Row],[Recurring Amount]]+Table1[[#This Row],[Non Recurring Amount]]</f>
        <v>250000</v>
      </c>
      <c r="L127" s="29">
        <v>250000</v>
      </c>
      <c r="M127" s="24">
        <v>0</v>
      </c>
      <c r="N127" s="3"/>
      <c r="O127" s="3"/>
      <c r="P127" s="4">
        <f>Table1[[#This Row],[Total Amount]]*Table1[[#This Row],[Conservative Probability]]</f>
        <v>62500</v>
      </c>
      <c r="Q127" s="24"/>
      <c r="R127" s="24"/>
      <c r="S127" s="24"/>
      <c r="T127" s="24"/>
      <c r="U127" s="24"/>
      <c r="V127" s="19"/>
    </row>
    <row r="128" spans="1:22" ht="17" x14ac:dyDescent="0.2">
      <c r="A128" s="45" t="s">
        <v>158</v>
      </c>
      <c r="B128" s="22" t="s">
        <v>182</v>
      </c>
      <c r="C128" s="19" t="s">
        <v>24</v>
      </c>
      <c r="D128" s="19" t="s">
        <v>50</v>
      </c>
      <c r="E128" s="19" t="s">
        <v>74</v>
      </c>
      <c r="F128" s="22"/>
      <c r="G128" s="19" t="s">
        <v>27</v>
      </c>
      <c r="H128" s="22" t="s">
        <v>28</v>
      </c>
      <c r="I12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28" s="23">
        <v>0.25</v>
      </c>
      <c r="K128" s="24">
        <f>Table1[[#This Row],[Recurring Amount]]+Table1[[#This Row],[Non Recurring Amount]]</f>
        <v>500000</v>
      </c>
      <c r="L128" s="26">
        <v>500000</v>
      </c>
      <c r="M128" s="24">
        <v>0</v>
      </c>
      <c r="N128" s="3"/>
      <c r="O128" s="3"/>
      <c r="P128" s="4">
        <f>Table1[[#This Row],[Total Amount]]*Table1[[#This Row],[Conservative Probability]]</f>
        <v>125000</v>
      </c>
      <c r="Q128" s="24"/>
      <c r="R128" s="24"/>
      <c r="S128" s="24"/>
      <c r="T128" s="19"/>
      <c r="U128" s="24"/>
      <c r="V128" s="19"/>
    </row>
    <row r="129" spans="1:22" ht="17" x14ac:dyDescent="0.2">
      <c r="A129" s="20" t="s">
        <v>158</v>
      </c>
      <c r="B129" s="22" t="s">
        <v>183</v>
      </c>
      <c r="C129" s="19" t="s">
        <v>35</v>
      </c>
      <c r="D129" s="19" t="s">
        <v>50</v>
      </c>
      <c r="E129" s="19" t="s">
        <v>64</v>
      </c>
      <c r="F129" s="19" t="s">
        <v>51</v>
      </c>
      <c r="G129" s="19" t="s">
        <v>37</v>
      </c>
      <c r="H129" s="19" t="s">
        <v>69</v>
      </c>
      <c r="I129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9" s="28">
        <v>0.25</v>
      </c>
      <c r="K129" s="24">
        <f>Table1[[#This Row],[Recurring Amount]]+Table1[[#This Row],[Non Recurring Amount]]</f>
        <v>200000</v>
      </c>
      <c r="L129" s="24">
        <v>200000</v>
      </c>
      <c r="M129" s="24">
        <v>0</v>
      </c>
      <c r="N129" s="3"/>
      <c r="O129" s="3"/>
      <c r="P129" s="4">
        <f>Table1[[#This Row],[Total Amount]]*Table1[[#This Row],[Conservative Probability]]</f>
        <v>50000</v>
      </c>
      <c r="Q129" s="24"/>
      <c r="R129" s="24"/>
      <c r="S129" s="24"/>
      <c r="T129" s="24"/>
      <c r="U129" s="24"/>
      <c r="V129" s="19"/>
    </row>
    <row r="130" spans="1:22" ht="17" x14ac:dyDescent="0.2">
      <c r="A130" s="45" t="s">
        <v>158</v>
      </c>
      <c r="B130" s="22" t="s">
        <v>184</v>
      </c>
      <c r="C130" s="19" t="s">
        <v>185</v>
      </c>
      <c r="D130" s="19" t="s">
        <v>50</v>
      </c>
      <c r="E130" s="19" t="s">
        <v>74</v>
      </c>
      <c r="F130" s="22"/>
      <c r="G130" s="22" t="s">
        <v>37</v>
      </c>
      <c r="H130" s="19" t="s">
        <v>69</v>
      </c>
      <c r="I130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30" s="23">
        <v>0.25</v>
      </c>
      <c r="K130" s="24">
        <f>Table1[[#This Row],[Recurring Amount]]+Table1[[#This Row],[Non Recurring Amount]]</f>
        <v>130000</v>
      </c>
      <c r="L130" s="26">
        <v>130000</v>
      </c>
      <c r="M130" s="24">
        <v>0</v>
      </c>
      <c r="N130" s="3"/>
      <c r="O130" s="3"/>
      <c r="P130" s="4">
        <f>Table1[[#This Row],[Total Amount]]*Table1[[#This Row],[Conservative Probability]]</f>
        <v>32500</v>
      </c>
      <c r="Q130" s="24"/>
      <c r="R130" s="24"/>
      <c r="S130" s="24"/>
      <c r="T130" s="24"/>
      <c r="U130" s="24"/>
      <c r="V130" s="19"/>
    </row>
    <row r="131" spans="1:22" ht="17" x14ac:dyDescent="0.2">
      <c r="A131" s="45" t="s">
        <v>158</v>
      </c>
      <c r="B131" s="22" t="s">
        <v>186</v>
      </c>
      <c r="C131" s="34" t="s">
        <v>185</v>
      </c>
      <c r="D131" s="34" t="s">
        <v>50</v>
      </c>
      <c r="E131" s="19" t="s">
        <v>64</v>
      </c>
      <c r="F131" s="22"/>
      <c r="G131" s="19" t="s">
        <v>27</v>
      </c>
      <c r="H131" s="22" t="s">
        <v>28</v>
      </c>
      <c r="I131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1" s="23">
        <v>0.25</v>
      </c>
      <c r="K131" s="24">
        <f>Table1[[#This Row],[Recurring Amount]]+Table1[[#This Row],[Non Recurring Amount]]</f>
        <v>75000</v>
      </c>
      <c r="L131" s="25">
        <v>75000</v>
      </c>
      <c r="M131" s="24">
        <v>0</v>
      </c>
      <c r="N131" s="3"/>
      <c r="O131" s="3"/>
      <c r="P131" s="4">
        <f>Table1[[#This Row],[Total Amount]]*Table1[[#This Row],[Conservative Probability]]</f>
        <v>18750</v>
      </c>
      <c r="Q131" s="24"/>
      <c r="R131" s="24"/>
      <c r="S131" s="24"/>
      <c r="T131" s="24"/>
      <c r="U131" s="24"/>
      <c r="V131" s="19"/>
    </row>
    <row r="132" spans="1:22" ht="17" x14ac:dyDescent="0.2">
      <c r="A132" s="45" t="s">
        <v>158</v>
      </c>
      <c r="B132" s="22" t="s">
        <v>187</v>
      </c>
      <c r="C132" s="34" t="s">
        <v>185</v>
      </c>
      <c r="D132" s="34" t="s">
        <v>50</v>
      </c>
      <c r="E132" s="19" t="s">
        <v>64</v>
      </c>
      <c r="F132" s="22"/>
      <c r="G132" s="19" t="s">
        <v>27</v>
      </c>
      <c r="H132" s="22" t="s">
        <v>28</v>
      </c>
      <c r="I132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2" s="23">
        <v>0.25</v>
      </c>
      <c r="K132" s="24">
        <f>Table1[[#This Row],[Recurring Amount]]+Table1[[#This Row],[Non Recurring Amount]]</f>
        <v>200000</v>
      </c>
      <c r="L132" s="25">
        <v>200000</v>
      </c>
      <c r="M132" s="24">
        <v>0</v>
      </c>
      <c r="N132" s="3"/>
      <c r="O132" s="3"/>
      <c r="P132" s="4">
        <f>Table1[[#This Row],[Total Amount]]*Table1[[#This Row],[Conservative Probability]]</f>
        <v>50000</v>
      </c>
      <c r="Q132" s="24"/>
      <c r="R132" s="24"/>
      <c r="S132" s="24"/>
      <c r="T132" s="24"/>
      <c r="U132" s="24"/>
      <c r="V132" s="19"/>
    </row>
    <row r="133" spans="1:22" ht="17" x14ac:dyDescent="0.2">
      <c r="A133" s="45" t="s">
        <v>158</v>
      </c>
      <c r="B133" s="22" t="s">
        <v>188</v>
      </c>
      <c r="C133" s="34" t="s">
        <v>185</v>
      </c>
      <c r="D133" s="34" t="s">
        <v>50</v>
      </c>
      <c r="E133" s="19" t="s">
        <v>64</v>
      </c>
      <c r="F133" s="22"/>
      <c r="G133" s="19" t="s">
        <v>27</v>
      </c>
      <c r="H133" s="22" t="s">
        <v>28</v>
      </c>
      <c r="I133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3" s="23">
        <v>0.25</v>
      </c>
      <c r="K133" s="24">
        <f>Table1[[#This Row],[Recurring Amount]]+Table1[[#This Row],[Non Recurring Amount]]</f>
        <v>200000</v>
      </c>
      <c r="L133" s="25">
        <v>200000</v>
      </c>
      <c r="M133" s="24">
        <v>0</v>
      </c>
      <c r="N133" s="3"/>
      <c r="O133" s="3"/>
      <c r="P133" s="4">
        <f>Table1[[#This Row],[Total Amount]]*Table1[[#This Row],[Conservative Probability]]</f>
        <v>50000</v>
      </c>
      <c r="Q133" s="24"/>
      <c r="R133" s="24"/>
      <c r="S133" s="24"/>
      <c r="T133" s="24"/>
      <c r="U133" s="24"/>
      <c r="V133" s="19"/>
    </row>
    <row r="134" spans="1:22" ht="17" x14ac:dyDescent="0.2">
      <c r="A134" s="45" t="s">
        <v>158</v>
      </c>
      <c r="B134" s="19" t="s">
        <v>189</v>
      </c>
      <c r="C134" s="22" t="s">
        <v>185</v>
      </c>
      <c r="D134" s="34" t="s">
        <v>50</v>
      </c>
      <c r="E134" s="19" t="s">
        <v>64</v>
      </c>
      <c r="F134" s="22"/>
      <c r="G134" s="19" t="s">
        <v>109</v>
      </c>
      <c r="H134" s="22" t="s">
        <v>38</v>
      </c>
      <c r="I13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4" s="23">
        <v>0.25</v>
      </c>
      <c r="K134" s="24">
        <f>Table1[[#This Row],[Recurring Amount]]+Table1[[#This Row],[Non Recurring Amount]]</f>
        <v>200000</v>
      </c>
      <c r="L134" s="29">
        <v>200000</v>
      </c>
      <c r="M134" s="24">
        <v>0</v>
      </c>
      <c r="N134" s="3"/>
      <c r="O134" s="3"/>
      <c r="P134" s="4">
        <f>Table1[[#This Row],[Total Amount]]*Table1[[#This Row],[Conservative Probability]]</f>
        <v>50000</v>
      </c>
      <c r="Q134" s="24"/>
      <c r="R134" s="24"/>
      <c r="S134" s="24"/>
      <c r="T134" s="24"/>
      <c r="U134" s="24"/>
      <c r="V134" s="19"/>
    </row>
    <row r="135" spans="1:22" ht="17" x14ac:dyDescent="0.2">
      <c r="A135" s="45" t="s">
        <v>158</v>
      </c>
      <c r="B135" s="19" t="s">
        <v>190</v>
      </c>
      <c r="C135" s="22" t="s">
        <v>185</v>
      </c>
      <c r="D135" s="34" t="s">
        <v>50</v>
      </c>
      <c r="E135" s="19" t="s">
        <v>64</v>
      </c>
      <c r="F135" s="22"/>
      <c r="G135" s="19" t="s">
        <v>109</v>
      </c>
      <c r="H135" s="22" t="s">
        <v>38</v>
      </c>
      <c r="I13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5" s="23">
        <v>0.25</v>
      </c>
      <c r="K135" s="24">
        <f>Table1[[#This Row],[Recurring Amount]]+Table1[[#This Row],[Non Recurring Amount]]</f>
        <v>200000</v>
      </c>
      <c r="L135" s="29">
        <v>200000</v>
      </c>
      <c r="M135" s="24">
        <v>0</v>
      </c>
      <c r="N135" s="3"/>
      <c r="O135" s="3"/>
      <c r="P135" s="4">
        <f>Table1[[#This Row],[Total Amount]]*Table1[[#This Row],[Conservative Probability]]</f>
        <v>50000</v>
      </c>
      <c r="Q135" s="24"/>
      <c r="R135" s="24"/>
      <c r="S135" s="24"/>
      <c r="T135" s="24"/>
      <c r="U135" s="24"/>
      <c r="V135" s="19"/>
    </row>
    <row r="136" spans="1:22" ht="17" x14ac:dyDescent="0.2">
      <c r="A136" s="36" t="s">
        <v>158</v>
      </c>
      <c r="B136" s="22" t="s">
        <v>191</v>
      </c>
      <c r="C136" s="19" t="s">
        <v>185</v>
      </c>
      <c r="D136" s="19" t="s">
        <v>55</v>
      </c>
      <c r="E136" s="19" t="s">
        <v>64</v>
      </c>
      <c r="F136" s="22"/>
      <c r="G136" s="22" t="s">
        <v>27</v>
      </c>
      <c r="H136" s="22" t="s">
        <v>28</v>
      </c>
      <c r="I13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6" s="23">
        <v>0.25</v>
      </c>
      <c r="K136" s="24">
        <f>Table1[[#This Row],[Recurring Amount]]+Table1[[#This Row],[Non Recurring Amount]]</f>
        <v>25000</v>
      </c>
      <c r="L136" s="24">
        <v>0</v>
      </c>
      <c r="M136" s="29">
        <v>25000</v>
      </c>
      <c r="N136" s="3"/>
      <c r="O136" s="3"/>
      <c r="P136" s="4">
        <f>Table1[[#This Row],[Total Amount]]*Table1[[#This Row],[Conservative Probability]]</f>
        <v>6250</v>
      </c>
      <c r="Q136" s="24"/>
      <c r="R136" s="24"/>
      <c r="S136" s="24"/>
      <c r="T136" s="24"/>
      <c r="U136" s="24"/>
      <c r="V136" s="19"/>
    </row>
    <row r="137" spans="1:22" ht="17" x14ac:dyDescent="0.2">
      <c r="A137" s="36" t="s">
        <v>158</v>
      </c>
      <c r="B137" s="22" t="s">
        <v>192</v>
      </c>
      <c r="C137" s="19" t="s">
        <v>185</v>
      </c>
      <c r="D137" s="19" t="s">
        <v>55</v>
      </c>
      <c r="E137" s="19" t="s">
        <v>64</v>
      </c>
      <c r="F137" s="22"/>
      <c r="G137" s="22" t="s">
        <v>27</v>
      </c>
      <c r="H137" s="22" t="s">
        <v>28</v>
      </c>
      <c r="I13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7" s="23">
        <v>0.25</v>
      </c>
      <c r="K137" s="24">
        <f>Table1[[#This Row],[Recurring Amount]]+Table1[[#This Row],[Non Recurring Amount]]</f>
        <v>25000</v>
      </c>
      <c r="L137" s="24">
        <v>0</v>
      </c>
      <c r="M137" s="29">
        <v>25000</v>
      </c>
      <c r="N137" s="3"/>
      <c r="O137" s="3"/>
      <c r="P137" s="4">
        <f>Table1[[#This Row],[Total Amount]]*Table1[[#This Row],[Conservative Probability]]</f>
        <v>6250</v>
      </c>
      <c r="Q137" s="24"/>
      <c r="R137" s="24"/>
      <c r="S137" s="24"/>
      <c r="T137" s="24"/>
      <c r="U137" s="24"/>
      <c r="V137" s="19"/>
    </row>
    <row r="138" spans="1:22" ht="17" x14ac:dyDescent="0.2">
      <c r="A138" s="36" t="s">
        <v>158</v>
      </c>
      <c r="B138" s="21" t="s">
        <v>193</v>
      </c>
      <c r="C138" s="19" t="s">
        <v>185</v>
      </c>
      <c r="D138" s="19" t="s">
        <v>55</v>
      </c>
      <c r="E138" s="19" t="s">
        <v>64</v>
      </c>
      <c r="F138" s="22"/>
      <c r="G138" s="22" t="s">
        <v>27</v>
      </c>
      <c r="H138" s="22" t="s">
        <v>28</v>
      </c>
      <c r="I13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8" s="23">
        <v>0.25</v>
      </c>
      <c r="K138" s="24">
        <f>Table1[[#This Row],[Recurring Amount]]+Table1[[#This Row],[Non Recurring Amount]]</f>
        <v>25000</v>
      </c>
      <c r="L138" s="24">
        <v>0</v>
      </c>
      <c r="M138" s="29">
        <v>25000</v>
      </c>
      <c r="N138" s="3"/>
      <c r="O138" s="3"/>
      <c r="P138" s="4">
        <f>Table1[[#This Row],[Total Amount]]*Table1[[#This Row],[Conservative Probability]]</f>
        <v>6250</v>
      </c>
      <c r="Q138" s="24"/>
      <c r="R138" s="24"/>
      <c r="S138" s="24"/>
      <c r="T138" s="24"/>
      <c r="U138" s="24"/>
      <c r="V138" s="19"/>
    </row>
    <row r="139" spans="1:22" ht="17" x14ac:dyDescent="0.2">
      <c r="A139" s="45" t="s">
        <v>158</v>
      </c>
      <c r="B139" s="21" t="s">
        <v>194</v>
      </c>
      <c r="C139" s="19" t="s">
        <v>185</v>
      </c>
      <c r="D139" s="19" t="s">
        <v>55</v>
      </c>
      <c r="E139" s="19" t="s">
        <v>64</v>
      </c>
      <c r="F139" s="22"/>
      <c r="G139" s="22" t="s">
        <v>33</v>
      </c>
      <c r="H139" s="22" t="s">
        <v>28</v>
      </c>
      <c r="I13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9" s="23">
        <v>0.25</v>
      </c>
      <c r="K139" s="24">
        <f>Table1[[#This Row],[Recurring Amount]]+Table1[[#This Row],[Non Recurring Amount]]</f>
        <v>25000</v>
      </c>
      <c r="L139" s="24">
        <v>0</v>
      </c>
      <c r="M139" s="29">
        <v>25000</v>
      </c>
      <c r="N139" s="3"/>
      <c r="O139" s="3"/>
      <c r="P139" s="4">
        <f>Table1[[#This Row],[Total Amount]]*Table1[[#This Row],[Conservative Probability]]</f>
        <v>6250</v>
      </c>
      <c r="Q139" s="24"/>
      <c r="R139" s="24"/>
      <c r="S139" s="24"/>
      <c r="T139" s="24"/>
      <c r="U139" s="24"/>
      <c r="V139" s="19"/>
    </row>
    <row r="140" spans="1:22" ht="17" x14ac:dyDescent="0.2">
      <c r="A140" s="45" t="s">
        <v>158</v>
      </c>
      <c r="B140" s="21" t="s">
        <v>195</v>
      </c>
      <c r="C140" s="19" t="s">
        <v>185</v>
      </c>
      <c r="D140" s="19" t="s">
        <v>55</v>
      </c>
      <c r="E140" s="19" t="s">
        <v>64</v>
      </c>
      <c r="F140" s="22"/>
      <c r="G140" s="22" t="s">
        <v>33</v>
      </c>
      <c r="H140" s="22" t="s">
        <v>38</v>
      </c>
      <c r="I14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40" s="23">
        <v>0.25</v>
      </c>
      <c r="K140" s="24">
        <f>Table1[[#This Row],[Recurring Amount]]+Table1[[#This Row],[Non Recurring Amount]]</f>
        <v>25000</v>
      </c>
      <c r="L140" s="24">
        <v>0</v>
      </c>
      <c r="M140" s="29">
        <v>25000</v>
      </c>
      <c r="N140" s="3"/>
      <c r="O140" s="3"/>
      <c r="P140" s="4">
        <f>Table1[[#This Row],[Total Amount]]*Table1[[#This Row],[Conservative Probability]]</f>
        <v>6250</v>
      </c>
      <c r="Q140" s="24"/>
      <c r="R140" s="24"/>
      <c r="S140" s="24"/>
      <c r="T140" s="24"/>
      <c r="U140" s="24"/>
      <c r="V140" s="19"/>
    </row>
    <row r="141" spans="1:22" ht="17" x14ac:dyDescent="0.2">
      <c r="A141" s="45" t="s">
        <v>158</v>
      </c>
      <c r="B141" s="22" t="s">
        <v>196</v>
      </c>
      <c r="C141" s="19" t="s">
        <v>185</v>
      </c>
      <c r="D141" s="19" t="s">
        <v>40</v>
      </c>
      <c r="E141" s="22" t="s">
        <v>74</v>
      </c>
      <c r="F141" s="22"/>
      <c r="G141" s="19" t="s">
        <v>172</v>
      </c>
      <c r="H141" s="22" t="s">
        <v>28</v>
      </c>
      <c r="I141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41" s="23">
        <v>0.25</v>
      </c>
      <c r="K141" s="24">
        <f>Table1[[#This Row],[Recurring Amount]]+Table1[[#This Row],[Non Recurring Amount]]</f>
        <v>300000</v>
      </c>
      <c r="L141" s="29">
        <v>300000</v>
      </c>
      <c r="M141" s="24">
        <v>0</v>
      </c>
      <c r="N141" s="7"/>
      <c r="O141" s="7"/>
      <c r="P141" s="4">
        <f>Table1[[#This Row],[Total Amount]]*Table1[[#This Row],[Conservative Probability]]</f>
        <v>75000</v>
      </c>
      <c r="Q141" s="33"/>
      <c r="R141" s="33"/>
      <c r="S141" s="24"/>
      <c r="T141" s="24"/>
      <c r="U141" s="24"/>
      <c r="V141" s="19"/>
    </row>
    <row r="142" spans="1:22" ht="16" customHeight="1" x14ac:dyDescent="0.2">
      <c r="A142" s="45" t="s">
        <v>158</v>
      </c>
      <c r="B142" s="19" t="s">
        <v>197</v>
      </c>
      <c r="C142" s="19" t="s">
        <v>35</v>
      </c>
      <c r="D142" s="19" t="s">
        <v>50</v>
      </c>
      <c r="E142" s="19" t="s">
        <v>74</v>
      </c>
      <c r="F142" s="22" t="s">
        <v>72</v>
      </c>
      <c r="G142" s="22" t="s">
        <v>37</v>
      </c>
      <c r="H142" s="19" t="s">
        <v>38</v>
      </c>
      <c r="I14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42" s="23">
        <f>Table1[[#This Row],[Auto Probability (by deal stage)]]</f>
        <v>0.15</v>
      </c>
      <c r="K142" s="24">
        <f>Table1[[#This Row],[Recurring Amount]]+Table1[[#This Row],[Non Recurring Amount]]</f>
        <v>200000</v>
      </c>
      <c r="L142" s="24">
        <v>200000</v>
      </c>
      <c r="M142" s="24">
        <v>0</v>
      </c>
      <c r="N142" s="3"/>
      <c r="O142" s="3"/>
      <c r="P142" s="4">
        <f>Table1[[#This Row],[Total Amount]]*Table1[[#This Row],[Conservative Probability]]</f>
        <v>30000</v>
      </c>
      <c r="Q142" s="24"/>
      <c r="R142" s="24"/>
      <c r="S142" s="24"/>
      <c r="T142" s="24"/>
      <c r="U142" s="24"/>
      <c r="V142" s="19"/>
    </row>
    <row r="144" spans="1:22" x14ac:dyDescent="0.2">
      <c r="A144" s="47"/>
      <c r="B144" s="48"/>
      <c r="C144" s="48"/>
      <c r="D144" s="48"/>
      <c r="E144" s="49"/>
      <c r="F144" s="49"/>
      <c r="G144" s="48"/>
      <c r="H144" s="49"/>
      <c r="I144" s="49"/>
      <c r="J144" s="50"/>
      <c r="K144" s="51"/>
      <c r="L144" s="51"/>
      <c r="M144" s="51"/>
      <c r="N144" s="8"/>
      <c r="O144" s="8"/>
      <c r="P144" s="9"/>
      <c r="Q144" s="51"/>
      <c r="R144" s="51"/>
      <c r="S144" s="51"/>
      <c r="T144" s="48"/>
      <c r="U144" s="51"/>
    </row>
    <row r="145" spans="2:16" x14ac:dyDescent="0.2">
      <c r="B145" s="52"/>
      <c r="C145" s="52"/>
      <c r="D145" s="52"/>
      <c r="K145" s="53">
        <f>SUM(Table1[Total Amount])</f>
        <v>21288300</v>
      </c>
      <c r="L145" s="53">
        <f>SUM(Table1[Recurring Amount])</f>
        <v>18728300</v>
      </c>
      <c r="M145" s="53">
        <f>SUM(Table1[Non Recurring Amount])</f>
        <v>2560000</v>
      </c>
      <c r="P145" s="53">
        <f>SUM(Table1[[Weighted Amount Conservative ]])</f>
        <v>9259525</v>
      </c>
    </row>
  </sheetData>
  <phoneticPr fontId="2" type="noConversion"/>
  <dataValidations count="2">
    <dataValidation type="list" allowBlank="1" showInputMessage="1" showErrorMessage="1" sqref="D3:D142" xr:uid="{D4CFFF2A-EA25-C34F-A5FF-F465B2A9410D}">
      <formula1>"PoC, Pilot, New Business, Renewal, Recurring, Upsell"</formula1>
    </dataValidation>
    <dataValidation type="list" allowBlank="1" showInputMessage="1" showErrorMessage="1" sqref="E3:E142" xr:uid="{64219F67-E4C4-A04B-914C-0AD1378EE209}">
      <formula1>"no indication (low), no indication (high), interested, purchasing engaged, win"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f8aca8-897a-4785-9985-8038fe724b0a">
      <Terms xmlns="http://schemas.microsoft.com/office/infopath/2007/PartnerControls"/>
    </lcf76f155ced4ddcb4097134ff3c332f>
    <TaxCatchAll xmlns="38854951-7bca-4b93-b53b-325dccf2ad6b" xsi:nil="true"/>
    <SharedWithUsers xmlns="38854951-7bca-4b93-b53b-325dccf2ad6b">
      <UserInfo>
        <DisplayName>Dvir Reznik</DisplayName>
        <AccountId>11</AccountId>
        <AccountType/>
      </UserInfo>
      <UserInfo>
        <DisplayName>Roy Fridman</DisplayName>
        <AccountId>18</AccountId>
        <AccountType/>
      </UserInfo>
      <UserInfo>
        <DisplayName>Dror Haiblum</DisplayName>
        <AccountId>24</AccountId>
        <AccountType/>
      </UserInfo>
      <UserInfo>
        <DisplayName>Ohad Rabinovich</DisplayName>
        <AccountId>340</AccountId>
        <AccountType/>
      </UserInfo>
      <UserInfo>
        <DisplayName>Michael Dick</DisplayName>
        <AccountId>15</AccountId>
        <AccountType/>
      </UserInfo>
      <UserInfo>
        <DisplayName>Stephane Khelifi</DisplayName>
        <AccountId>28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03CB875478104095B43D29B51DB9A8" ma:contentTypeVersion="16" ma:contentTypeDescription="Create a new document." ma:contentTypeScope="" ma:versionID="d0b89eb6d9b1b68397d483024a365e13">
  <xsd:schema xmlns:xsd="http://www.w3.org/2001/XMLSchema" xmlns:xs="http://www.w3.org/2001/XMLSchema" xmlns:p="http://schemas.microsoft.com/office/2006/metadata/properties" xmlns:ns2="56f8aca8-897a-4785-9985-8038fe724b0a" xmlns:ns3="38854951-7bca-4b93-b53b-325dccf2ad6b" targetNamespace="http://schemas.microsoft.com/office/2006/metadata/properties" ma:root="true" ma:fieldsID="ba779a19ab3563c7a6abb8bca4b714b4" ns2:_="" ns3:_="">
    <xsd:import namespace="56f8aca8-897a-4785-9985-8038fe724b0a"/>
    <xsd:import namespace="38854951-7bca-4b93-b53b-325dccf2a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8aca8-897a-4785-9985-8038fe724b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e51a649-2181-4364-9a57-d0e4599c4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54951-7bca-4b93-b53b-325dccf2ad6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3599714-5c75-4c58-be37-8c90bc338b21}" ma:internalName="TaxCatchAll" ma:showField="CatchAllData" ma:web="38854951-7bca-4b93-b53b-325dccf2ad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19CBEA-7655-4E0F-8A10-B323C3E188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4CCBD5-AE0E-4E0E-A056-A42F03FA1EDD}">
  <ds:schemaRefs>
    <ds:schemaRef ds:uri="http://schemas.microsoft.com/office/2006/metadata/properties"/>
    <ds:schemaRef ds:uri="http://schemas.microsoft.com/office/infopath/2007/PartnerControls"/>
    <ds:schemaRef ds:uri="56f8aca8-897a-4785-9985-8038fe724b0a"/>
    <ds:schemaRef ds:uri="38854951-7bca-4b93-b53b-325dccf2ad6b"/>
  </ds:schemaRefs>
</ds:datastoreItem>
</file>

<file path=customXml/itemProps3.xml><?xml version="1.0" encoding="utf-8"?>
<ds:datastoreItem xmlns:ds="http://schemas.openxmlformats.org/officeDocument/2006/customXml" ds:itemID="{31D4FB64-AB91-465D-884F-B029ECE5EF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f8aca8-897a-4785-9985-8038fe724b0a"/>
    <ds:schemaRef ds:uri="38854951-7bca-4b93-b53b-325dccf2ad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John Auld</cp:lastModifiedBy>
  <cp:revision/>
  <dcterms:created xsi:type="dcterms:W3CDTF">2024-03-12T11:21:53Z</dcterms:created>
  <dcterms:modified xsi:type="dcterms:W3CDTF">2026-01-04T23:34:00Z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0x0101007E03CB875478104095B43D29B51DB9A8</vt:lpwstr>
  </property>
  <property fmtid="{D5CDD505-2E9C-101B-9397-08002B2CF9AE}" pid="3" name="MediaServiceImageTags">
    <vt:lpwstr/>
  </property>
</Properties>
</file>