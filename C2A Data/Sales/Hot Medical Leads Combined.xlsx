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ca-c2a/Downloads/"/>
    </mc:Choice>
  </mc:AlternateContent>
  <xr:revisionPtr revIDLastSave="0" documentId="13_ncr:1_{754B3FAB-5148-4A48-A77E-B48C60B7D2D7}" xr6:coauthVersionLast="47" xr6:coauthVersionMax="47" xr10:uidLastSave="{00000000-0000-0000-0000-000000000000}"/>
  <bookViews>
    <workbookView xWindow="9040" yWindow="1820" windowWidth="33000" windowHeight="21180" xr2:uid="{00000000-000D-0000-FFFF-FFFF00000000}"/>
  </bookViews>
  <sheets>
    <sheet name="Use this Tab - Merg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87" i="1" l="1"/>
  <c r="B1587" i="1"/>
  <c r="P1586" i="1"/>
  <c r="B1586" i="1"/>
  <c r="P1585" i="1"/>
  <c r="B1585" i="1"/>
  <c r="P1584" i="1"/>
  <c r="B1584" i="1"/>
  <c r="P1583" i="1"/>
  <c r="B1583" i="1"/>
  <c r="P1582" i="1"/>
  <c r="B1582" i="1"/>
  <c r="P1581" i="1"/>
  <c r="B1581" i="1"/>
  <c r="P1580" i="1"/>
  <c r="B1580" i="1"/>
  <c r="P1579" i="1"/>
  <c r="B1579" i="1"/>
  <c r="P1578" i="1"/>
  <c r="B1578" i="1"/>
  <c r="P1577" i="1"/>
  <c r="B1577" i="1"/>
  <c r="P1576" i="1"/>
  <c r="B1576" i="1"/>
  <c r="P1575" i="1"/>
  <c r="B1575" i="1"/>
  <c r="P1574" i="1"/>
  <c r="B1574" i="1"/>
  <c r="P1573" i="1"/>
  <c r="B1573" i="1"/>
  <c r="P1572" i="1"/>
  <c r="B1572" i="1"/>
  <c r="P1571" i="1"/>
  <c r="B1571" i="1"/>
  <c r="P1570" i="1"/>
  <c r="B1570" i="1"/>
  <c r="P1569" i="1"/>
  <c r="B1569" i="1"/>
  <c r="P1568" i="1"/>
  <c r="B1568" i="1"/>
  <c r="P1567" i="1"/>
  <c r="B1567" i="1"/>
  <c r="P1566" i="1"/>
  <c r="B1566" i="1"/>
  <c r="P1565" i="1"/>
  <c r="B1565" i="1"/>
  <c r="P1564" i="1"/>
  <c r="B1564" i="1"/>
  <c r="P1563" i="1"/>
  <c r="B1563" i="1"/>
  <c r="P1562" i="1"/>
  <c r="B1562" i="1"/>
  <c r="P1561" i="1"/>
  <c r="B1561" i="1"/>
  <c r="P1560" i="1"/>
  <c r="B1560" i="1"/>
  <c r="P1559" i="1"/>
  <c r="B1559" i="1"/>
  <c r="P1558" i="1"/>
  <c r="B1558" i="1"/>
  <c r="P1557" i="1"/>
  <c r="B1557" i="1"/>
  <c r="P1556" i="1"/>
  <c r="B1556" i="1"/>
  <c r="P1555" i="1"/>
  <c r="B1555" i="1"/>
  <c r="P1554" i="1"/>
  <c r="B1554" i="1"/>
  <c r="P1553" i="1"/>
  <c r="B1553" i="1"/>
  <c r="P1552" i="1"/>
  <c r="B1552" i="1"/>
  <c r="P1551" i="1"/>
  <c r="B1551" i="1"/>
  <c r="P1550" i="1"/>
  <c r="B1550" i="1"/>
  <c r="P1549" i="1"/>
  <c r="B1549" i="1"/>
  <c r="P1548" i="1"/>
  <c r="B1548" i="1"/>
  <c r="P1547" i="1"/>
  <c r="B1547" i="1"/>
  <c r="P1546" i="1"/>
  <c r="B1546" i="1"/>
  <c r="P1545" i="1"/>
  <c r="B1545" i="1"/>
  <c r="P1544" i="1"/>
  <c r="B1544" i="1"/>
  <c r="P1543" i="1"/>
  <c r="B1543" i="1"/>
  <c r="P1542" i="1"/>
  <c r="B1542" i="1"/>
  <c r="P1541" i="1"/>
  <c r="B1541" i="1"/>
  <c r="P1540" i="1"/>
  <c r="B1540" i="1"/>
  <c r="P1539" i="1"/>
  <c r="B1539" i="1"/>
  <c r="P1538" i="1"/>
  <c r="B1538" i="1"/>
  <c r="P1537" i="1"/>
  <c r="B1537" i="1"/>
  <c r="P1536" i="1"/>
  <c r="B1536" i="1"/>
  <c r="P1535" i="1"/>
  <c r="B1535" i="1"/>
  <c r="P1534" i="1"/>
  <c r="B1534" i="1"/>
  <c r="P1533" i="1"/>
  <c r="B1533" i="1"/>
  <c r="P1532" i="1"/>
  <c r="B1532" i="1"/>
  <c r="P1531" i="1"/>
  <c r="B1531" i="1"/>
  <c r="P1530" i="1"/>
  <c r="B1530" i="1"/>
  <c r="P1529" i="1"/>
  <c r="B1529" i="1"/>
  <c r="P1528" i="1"/>
  <c r="B1528" i="1"/>
  <c r="P1527" i="1"/>
  <c r="B1527" i="1"/>
  <c r="P1526" i="1"/>
  <c r="B1526" i="1"/>
  <c r="P1525" i="1"/>
  <c r="B1525" i="1"/>
  <c r="P1524" i="1"/>
  <c r="B1524" i="1"/>
  <c r="P1523" i="1"/>
  <c r="B1523" i="1"/>
  <c r="P1522" i="1"/>
  <c r="B1522" i="1"/>
  <c r="P1521" i="1"/>
  <c r="B1521" i="1"/>
  <c r="P1520" i="1"/>
  <c r="B1520" i="1"/>
  <c r="P1519" i="1"/>
  <c r="B1519" i="1"/>
  <c r="P1518" i="1"/>
  <c r="B1518" i="1"/>
  <c r="P1517" i="1"/>
  <c r="B1517" i="1"/>
  <c r="P1516" i="1"/>
  <c r="B1516" i="1"/>
  <c r="P1515" i="1"/>
  <c r="B1515" i="1"/>
  <c r="P1514" i="1"/>
  <c r="B1514" i="1"/>
  <c r="P1513" i="1"/>
  <c r="B1513" i="1"/>
  <c r="P1512" i="1"/>
  <c r="B1512" i="1"/>
  <c r="P1511" i="1"/>
  <c r="B1511" i="1"/>
  <c r="P1510" i="1"/>
  <c r="B1510" i="1"/>
  <c r="P1509" i="1"/>
  <c r="B1509" i="1"/>
  <c r="P1508" i="1"/>
  <c r="B1508" i="1"/>
  <c r="P1507" i="1"/>
  <c r="B1507" i="1"/>
  <c r="P1506" i="1"/>
  <c r="B1506" i="1"/>
  <c r="P1505" i="1"/>
  <c r="B1505" i="1"/>
  <c r="P1504" i="1"/>
  <c r="B1504" i="1"/>
  <c r="P1503" i="1"/>
  <c r="B1503" i="1"/>
  <c r="P1502" i="1"/>
  <c r="B1502" i="1"/>
  <c r="P1501" i="1"/>
  <c r="B1501" i="1"/>
  <c r="P1500" i="1"/>
  <c r="B1500" i="1"/>
  <c r="B1499" i="1"/>
  <c r="P1498" i="1"/>
  <c r="B1498" i="1"/>
  <c r="P1497" i="1"/>
  <c r="B1497" i="1"/>
  <c r="P1496" i="1"/>
  <c r="B1496" i="1"/>
  <c r="P1495" i="1"/>
  <c r="B1495" i="1"/>
  <c r="B1494" i="1"/>
  <c r="B1493" i="1"/>
  <c r="P1492" i="1"/>
  <c r="B1492" i="1"/>
  <c r="P1491" i="1"/>
  <c r="B1491" i="1"/>
  <c r="P1490" i="1"/>
  <c r="B1490" i="1"/>
  <c r="P1489" i="1"/>
  <c r="B1489" i="1"/>
  <c r="B1488" i="1"/>
  <c r="P1487" i="1"/>
  <c r="B1487" i="1"/>
  <c r="P1486" i="1"/>
  <c r="B1486" i="1"/>
  <c r="P1485" i="1"/>
  <c r="B1485" i="1"/>
  <c r="P1484" i="1"/>
  <c r="B1484" i="1"/>
  <c r="B1483" i="1"/>
  <c r="B1482" i="1"/>
  <c r="B1481" i="1"/>
  <c r="P1480" i="1"/>
  <c r="B1480" i="1"/>
  <c r="P1479" i="1"/>
  <c r="B1479" i="1"/>
  <c r="P1478" i="1"/>
  <c r="B1478" i="1"/>
  <c r="P1477" i="1"/>
  <c r="B1477" i="1"/>
  <c r="P1476" i="1"/>
  <c r="B1476" i="1"/>
  <c r="B1475" i="1"/>
  <c r="P1474" i="1"/>
  <c r="B1474" i="1"/>
  <c r="P1473" i="1"/>
  <c r="B1473" i="1"/>
  <c r="P1472" i="1"/>
  <c r="B1472" i="1"/>
  <c r="P1471" i="1"/>
  <c r="B1471" i="1"/>
  <c r="P1470" i="1"/>
  <c r="B1470" i="1"/>
  <c r="P1469" i="1"/>
  <c r="B1469" i="1"/>
  <c r="P1468" i="1"/>
  <c r="B1468" i="1"/>
  <c r="P1467" i="1"/>
  <c r="B1467" i="1"/>
  <c r="P1466" i="1"/>
  <c r="B1466" i="1"/>
  <c r="P1465" i="1"/>
  <c r="B1465" i="1"/>
  <c r="P1464" i="1"/>
  <c r="B1464" i="1"/>
  <c r="P1463" i="1"/>
  <c r="B1463" i="1"/>
  <c r="P1462" i="1"/>
  <c r="B1462" i="1"/>
  <c r="P1461" i="1"/>
  <c r="B1461" i="1"/>
  <c r="P1460" i="1"/>
  <c r="B1460" i="1"/>
  <c r="P1459" i="1"/>
  <c r="B1459" i="1"/>
  <c r="P1458" i="1"/>
  <c r="B1458" i="1"/>
  <c r="P1457" i="1"/>
  <c r="B1457" i="1"/>
  <c r="P1456" i="1"/>
  <c r="B1456" i="1"/>
  <c r="P1455" i="1"/>
  <c r="B1455" i="1"/>
  <c r="P1454" i="1"/>
  <c r="B1454" i="1"/>
  <c r="P1453" i="1"/>
  <c r="B1453" i="1"/>
  <c r="P1452" i="1"/>
  <c r="B1452" i="1"/>
  <c r="P1451" i="1"/>
  <c r="B1451" i="1"/>
  <c r="P1450" i="1"/>
  <c r="B1450" i="1"/>
  <c r="P1449" i="1"/>
  <c r="B1449" i="1"/>
  <c r="P1448" i="1"/>
  <c r="B1448" i="1"/>
  <c r="P1447" i="1"/>
  <c r="B1447" i="1"/>
  <c r="P1446" i="1"/>
  <c r="B1446" i="1"/>
  <c r="P1445" i="1"/>
  <c r="B1445" i="1"/>
  <c r="P1444" i="1"/>
  <c r="B1444" i="1"/>
  <c r="P1443" i="1"/>
  <c r="B1443" i="1"/>
  <c r="P1442" i="1"/>
  <c r="B1442" i="1"/>
  <c r="P1441" i="1"/>
  <c r="B1441" i="1"/>
  <c r="B1440" i="1"/>
  <c r="P1439" i="1"/>
  <c r="B1439" i="1"/>
  <c r="P1438" i="1"/>
  <c r="B1438" i="1"/>
  <c r="P1437" i="1"/>
  <c r="B1437" i="1"/>
  <c r="P1436" i="1"/>
  <c r="B1436" i="1"/>
  <c r="P1435" i="1"/>
  <c r="B1435" i="1"/>
  <c r="P1434" i="1"/>
  <c r="B1434" i="1"/>
  <c r="P1433" i="1"/>
  <c r="B1433" i="1"/>
  <c r="P1432" i="1"/>
  <c r="B1432" i="1"/>
  <c r="P1431" i="1"/>
  <c r="B1431" i="1"/>
  <c r="P1430" i="1"/>
  <c r="B1430" i="1"/>
  <c r="P1429" i="1"/>
  <c r="B1429" i="1"/>
  <c r="P1428" i="1"/>
  <c r="B1428" i="1"/>
  <c r="P1427" i="1"/>
  <c r="B1427" i="1"/>
  <c r="P1426" i="1"/>
  <c r="B1426" i="1"/>
  <c r="P1425" i="1"/>
  <c r="B1425" i="1"/>
  <c r="P1424" i="1"/>
  <c r="B1424" i="1"/>
  <c r="P1423" i="1"/>
  <c r="B1423" i="1"/>
  <c r="P1422" i="1"/>
  <c r="B1422" i="1"/>
  <c r="P1421" i="1"/>
  <c r="B1421" i="1"/>
  <c r="P1420" i="1"/>
  <c r="B1420" i="1"/>
  <c r="B1419" i="1"/>
  <c r="P1418" i="1"/>
  <c r="B1418" i="1"/>
  <c r="P1417" i="1"/>
  <c r="B1417" i="1"/>
  <c r="P1416" i="1"/>
  <c r="B1416" i="1"/>
  <c r="P1415" i="1"/>
  <c r="B1415" i="1"/>
  <c r="P1414" i="1"/>
  <c r="B1414" i="1"/>
  <c r="P1413" i="1"/>
  <c r="B1413" i="1"/>
  <c r="B1412" i="1"/>
  <c r="P1411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P1384" i="1"/>
  <c r="B1384" i="1"/>
  <c r="P1383" i="1"/>
  <c r="B1383" i="1"/>
  <c r="P1382" i="1"/>
  <c r="B1382" i="1"/>
  <c r="P1381" i="1"/>
  <c r="B1381" i="1"/>
  <c r="P1380" i="1"/>
  <c r="B1380" i="1"/>
  <c r="P1379" i="1"/>
  <c r="B1379" i="1"/>
  <c r="P1378" i="1"/>
  <c r="B1378" i="1"/>
  <c r="P1377" i="1"/>
  <c r="B1377" i="1"/>
  <c r="P1376" i="1"/>
  <c r="B1376" i="1"/>
  <c r="P1375" i="1"/>
  <c r="B1375" i="1"/>
  <c r="B1374" i="1"/>
  <c r="B1373" i="1"/>
  <c r="B1372" i="1"/>
  <c r="B1371" i="1"/>
  <c r="B1370" i="1"/>
  <c r="B1369" i="1"/>
  <c r="B1368" i="1"/>
  <c r="B1367" i="1"/>
  <c r="P1366" i="1"/>
  <c r="B1366" i="1"/>
  <c r="P1365" i="1"/>
  <c r="B1365" i="1"/>
  <c r="P1364" i="1"/>
  <c r="B1364" i="1"/>
  <c r="P1363" i="1"/>
  <c r="B1363" i="1"/>
  <c r="P1362" i="1"/>
  <c r="B1362" i="1"/>
  <c r="B1361" i="1"/>
  <c r="B1360" i="1"/>
  <c r="P1359" i="1"/>
  <c r="B1359" i="1"/>
  <c r="P1358" i="1"/>
  <c r="B1358" i="1"/>
  <c r="P1357" i="1"/>
  <c r="B1357" i="1"/>
  <c r="P1356" i="1"/>
  <c r="B1356" i="1"/>
  <c r="P1355" i="1"/>
  <c r="B1355" i="1"/>
  <c r="P1354" i="1"/>
  <c r="B1354" i="1"/>
  <c r="P1353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P1339" i="1"/>
  <c r="B1339" i="1"/>
  <c r="P1338" i="1"/>
  <c r="B1338" i="1"/>
  <c r="P1337" i="1"/>
  <c r="B1337" i="1"/>
  <c r="P1336" i="1"/>
  <c r="B1336" i="1"/>
  <c r="P1335" i="1"/>
  <c r="B1335" i="1"/>
  <c r="P1334" i="1"/>
  <c r="B1334" i="1"/>
  <c r="P1333" i="1"/>
  <c r="B1333" i="1"/>
  <c r="P1332" i="1"/>
  <c r="B1332" i="1"/>
  <c r="P1331" i="1"/>
  <c r="B1331" i="1"/>
  <c r="B1330" i="1"/>
  <c r="B1329" i="1"/>
  <c r="B1328" i="1"/>
  <c r="B1327" i="1"/>
  <c r="P1326" i="1"/>
  <c r="B1326" i="1"/>
  <c r="B1325" i="1"/>
  <c r="P1324" i="1"/>
  <c r="B1324" i="1"/>
  <c r="P1323" i="1"/>
  <c r="B1323" i="1"/>
  <c r="P1322" i="1"/>
  <c r="B1322" i="1"/>
  <c r="P1321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P1260" i="1"/>
  <c r="B1260" i="1"/>
  <c r="P1259" i="1"/>
  <c r="B1259" i="1"/>
  <c r="P1258" i="1"/>
  <c r="B1258" i="1"/>
  <c r="P1257" i="1"/>
  <c r="B1257" i="1"/>
  <c r="P1256" i="1"/>
  <c r="B1256" i="1"/>
  <c r="P1255" i="1"/>
  <c r="B1255" i="1"/>
  <c r="P1254" i="1"/>
  <c r="B1254" i="1"/>
  <c r="B1253" i="1"/>
  <c r="B1252" i="1"/>
  <c r="B1251" i="1"/>
  <c r="B1250" i="1"/>
  <c r="B1249" i="1"/>
  <c r="B1248" i="1"/>
  <c r="P1247" i="1"/>
  <c r="B1247" i="1"/>
  <c r="P1246" i="1"/>
  <c r="B1246" i="1"/>
  <c r="P1245" i="1"/>
  <c r="B1245" i="1"/>
  <c r="P1244" i="1"/>
  <c r="B1244" i="1"/>
  <c r="B1243" i="1"/>
  <c r="P1242" i="1"/>
  <c r="B1242" i="1"/>
  <c r="P1241" i="1"/>
  <c r="B1241" i="1"/>
  <c r="P1240" i="1"/>
  <c r="B1240" i="1"/>
  <c r="P1239" i="1"/>
  <c r="B1239" i="1"/>
  <c r="P1238" i="1"/>
  <c r="B1238" i="1"/>
  <c r="P1237" i="1"/>
  <c r="B1237" i="1"/>
  <c r="P1236" i="1"/>
  <c r="B1236" i="1"/>
  <c r="B1235" i="1"/>
  <c r="B1234" i="1"/>
  <c r="B1233" i="1"/>
  <c r="B1232" i="1"/>
  <c r="B1231" i="1"/>
  <c r="B1230" i="1"/>
  <c r="P1229" i="1"/>
  <c r="B1229" i="1"/>
  <c r="B1228" i="1"/>
  <c r="P1227" i="1"/>
  <c r="B1227" i="1"/>
  <c r="P1226" i="1"/>
  <c r="B1226" i="1"/>
  <c r="P1225" i="1"/>
  <c r="B1225" i="1"/>
  <c r="P1224" i="1"/>
  <c r="B1224" i="1"/>
  <c r="P1223" i="1"/>
  <c r="B1223" i="1"/>
  <c r="P1222" i="1"/>
  <c r="B1222" i="1"/>
  <c r="P1221" i="1"/>
  <c r="B1221" i="1"/>
  <c r="P1220" i="1"/>
  <c r="B1220" i="1"/>
  <c r="P1219" i="1"/>
  <c r="B1219" i="1"/>
  <c r="P1218" i="1"/>
  <c r="B1218" i="1"/>
  <c r="P1217" i="1"/>
  <c r="B1217" i="1"/>
  <c r="P1216" i="1"/>
  <c r="B1216" i="1"/>
  <c r="P1215" i="1"/>
  <c r="B1215" i="1"/>
  <c r="P1214" i="1"/>
  <c r="B1214" i="1"/>
  <c r="P1213" i="1"/>
  <c r="B1213" i="1"/>
  <c r="P1212" i="1"/>
  <c r="B1212" i="1"/>
  <c r="P1211" i="1"/>
  <c r="B1211" i="1"/>
  <c r="P1210" i="1"/>
  <c r="B1210" i="1"/>
  <c r="P1209" i="1"/>
  <c r="B1209" i="1"/>
  <c r="P1208" i="1"/>
  <c r="B1208" i="1"/>
  <c r="P1207" i="1"/>
  <c r="B1207" i="1"/>
  <c r="B1206" i="1"/>
  <c r="B1205" i="1"/>
  <c r="B1204" i="1"/>
  <c r="B1203" i="1"/>
  <c r="P1202" i="1"/>
  <c r="B1202" i="1"/>
  <c r="P1201" i="1"/>
  <c r="B1201" i="1"/>
  <c r="P1200" i="1"/>
  <c r="B1200" i="1"/>
  <c r="P1199" i="1"/>
  <c r="B1199" i="1"/>
  <c r="B1198" i="1"/>
  <c r="B1197" i="1"/>
  <c r="B1196" i="1"/>
  <c r="P1195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P1175" i="1"/>
  <c r="B1175" i="1"/>
  <c r="P1174" i="1"/>
  <c r="B1174" i="1"/>
  <c r="P1173" i="1"/>
  <c r="B1173" i="1"/>
  <c r="P1172" i="1"/>
  <c r="B1172" i="1"/>
  <c r="P1171" i="1"/>
  <c r="B1171" i="1"/>
  <c r="P1170" i="1"/>
  <c r="B1170" i="1"/>
  <c r="P1169" i="1"/>
  <c r="B1169" i="1"/>
  <c r="P1168" i="1"/>
  <c r="B1168" i="1"/>
  <c r="B1167" i="1"/>
  <c r="B1166" i="1"/>
  <c r="P1165" i="1"/>
  <c r="B1165" i="1"/>
  <c r="P1164" i="1"/>
  <c r="B1164" i="1"/>
  <c r="P1163" i="1"/>
  <c r="B1163" i="1"/>
  <c r="P1162" i="1"/>
  <c r="B1162" i="1"/>
  <c r="P1161" i="1"/>
  <c r="B1161" i="1"/>
  <c r="B1160" i="1"/>
  <c r="B1159" i="1"/>
  <c r="B1158" i="1"/>
  <c r="P1157" i="1"/>
  <c r="B1157" i="1"/>
  <c r="P1156" i="1"/>
  <c r="B1156" i="1"/>
  <c r="P1155" i="1"/>
  <c r="B1155" i="1"/>
  <c r="P1154" i="1"/>
  <c r="B1154" i="1"/>
  <c r="P1153" i="1"/>
  <c r="B1153" i="1"/>
  <c r="P1152" i="1"/>
  <c r="B1152" i="1"/>
  <c r="P1151" i="1"/>
  <c r="B1151" i="1"/>
  <c r="P1150" i="1"/>
  <c r="B1150" i="1"/>
  <c r="P1149" i="1"/>
  <c r="B1149" i="1"/>
  <c r="B1148" i="1"/>
  <c r="B1147" i="1"/>
  <c r="B1146" i="1"/>
  <c r="P1145" i="1"/>
  <c r="B1145" i="1"/>
  <c r="P1144" i="1"/>
  <c r="B1144" i="1"/>
  <c r="B1143" i="1"/>
  <c r="P1142" i="1"/>
  <c r="B1142" i="1"/>
  <c r="P1141" i="1"/>
  <c r="B1141" i="1"/>
  <c r="B1140" i="1"/>
  <c r="B1139" i="1"/>
  <c r="P1138" i="1"/>
  <c r="B1138" i="1"/>
  <c r="P1137" i="1"/>
  <c r="B1137" i="1"/>
  <c r="P1136" i="1"/>
  <c r="B1136" i="1"/>
  <c r="P1135" i="1"/>
  <c r="B1135" i="1"/>
  <c r="P1134" i="1"/>
  <c r="B1134" i="1"/>
  <c r="P1133" i="1"/>
  <c r="B1133" i="1"/>
  <c r="P1132" i="1"/>
  <c r="B1132" i="1"/>
  <c r="P1131" i="1"/>
  <c r="B1131" i="1"/>
  <c r="B1130" i="1"/>
  <c r="B1129" i="1"/>
  <c r="B1128" i="1"/>
  <c r="B1127" i="1"/>
  <c r="B1126" i="1"/>
  <c r="B1125" i="1"/>
  <c r="P1124" i="1"/>
  <c r="B1124" i="1"/>
  <c r="B1123" i="1"/>
  <c r="B1122" i="1"/>
  <c r="P1121" i="1"/>
  <c r="B1121" i="1"/>
  <c r="P1120" i="1"/>
  <c r="B1120" i="1"/>
  <c r="P1119" i="1"/>
  <c r="B1119" i="1"/>
  <c r="P1118" i="1"/>
  <c r="B1118" i="1"/>
  <c r="P1117" i="1"/>
  <c r="B1117" i="1"/>
  <c r="P1116" i="1"/>
  <c r="B1116" i="1"/>
  <c r="P1115" i="1"/>
  <c r="B1115" i="1"/>
  <c r="P1114" i="1"/>
  <c r="B1114" i="1"/>
  <c r="P1113" i="1"/>
  <c r="B1113" i="1"/>
  <c r="P1112" i="1"/>
  <c r="B1112" i="1"/>
  <c r="P1111" i="1"/>
  <c r="B1111" i="1"/>
  <c r="P1110" i="1"/>
  <c r="B1110" i="1"/>
  <c r="P1109" i="1"/>
  <c r="B1109" i="1"/>
  <c r="B1108" i="1"/>
  <c r="P1107" i="1"/>
  <c r="B1107" i="1"/>
  <c r="P1106" i="1"/>
  <c r="B1106" i="1"/>
  <c r="P1105" i="1"/>
  <c r="B1105" i="1"/>
  <c r="P1104" i="1"/>
  <c r="B1104" i="1"/>
  <c r="P1103" i="1"/>
  <c r="B1103" i="1"/>
  <c r="P1102" i="1"/>
  <c r="B1102" i="1"/>
  <c r="P1101" i="1"/>
  <c r="B1101" i="1"/>
  <c r="P1100" i="1"/>
  <c r="B1100" i="1"/>
  <c r="P1099" i="1"/>
  <c r="B1099" i="1"/>
  <c r="P1098" i="1"/>
  <c r="B1098" i="1"/>
  <c r="B1097" i="1"/>
  <c r="B1096" i="1"/>
  <c r="B1095" i="1"/>
  <c r="P1094" i="1"/>
  <c r="B1094" i="1"/>
  <c r="P1093" i="1"/>
  <c r="B1093" i="1"/>
  <c r="P1092" i="1"/>
  <c r="B1092" i="1"/>
  <c r="P1091" i="1"/>
  <c r="B1091" i="1"/>
  <c r="P1090" i="1"/>
  <c r="B1090" i="1"/>
  <c r="P1089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P1067" i="1"/>
  <c r="B1067" i="1"/>
  <c r="P1066" i="1"/>
  <c r="B1066" i="1"/>
  <c r="P1065" i="1"/>
  <c r="B1065" i="1"/>
  <c r="P1064" i="1"/>
  <c r="B1064" i="1"/>
  <c r="P1063" i="1"/>
  <c r="B1063" i="1"/>
  <c r="P1062" i="1"/>
  <c r="B1062" i="1"/>
  <c r="P1061" i="1"/>
  <c r="B1061" i="1"/>
  <c r="P1060" i="1"/>
  <c r="B1060" i="1"/>
  <c r="P1059" i="1"/>
  <c r="B1059" i="1"/>
  <c r="P1058" i="1"/>
  <c r="B1058" i="1"/>
  <c r="P1057" i="1"/>
  <c r="B1057" i="1"/>
  <c r="P1056" i="1"/>
  <c r="B1056" i="1"/>
  <c r="P1055" i="1"/>
  <c r="B1055" i="1"/>
  <c r="P1054" i="1"/>
  <c r="B1054" i="1"/>
  <c r="P1053" i="1"/>
  <c r="B1053" i="1"/>
  <c r="P1052" i="1"/>
  <c r="B1052" i="1"/>
  <c r="P1051" i="1"/>
  <c r="B1051" i="1"/>
  <c r="P1050" i="1"/>
  <c r="B1050" i="1"/>
  <c r="P1049" i="1"/>
  <c r="B1049" i="1"/>
  <c r="P1048" i="1"/>
  <c r="B1048" i="1"/>
  <c r="P1047" i="1"/>
  <c r="B1047" i="1"/>
  <c r="P1046" i="1"/>
  <c r="B1046" i="1"/>
  <c r="P1045" i="1"/>
  <c r="B1045" i="1"/>
  <c r="P1044" i="1"/>
  <c r="B1044" i="1"/>
  <c r="P1043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P935" i="1"/>
  <c r="B935" i="1"/>
  <c r="P934" i="1"/>
  <c r="B934" i="1"/>
  <c r="P933" i="1"/>
  <c r="B933" i="1"/>
  <c r="P932" i="1"/>
  <c r="B932" i="1"/>
  <c r="P931" i="1"/>
  <c r="B931" i="1"/>
  <c r="P930" i="1"/>
  <c r="B930" i="1"/>
  <c r="P929" i="1"/>
  <c r="B929" i="1"/>
  <c r="P928" i="1"/>
  <c r="B928" i="1"/>
  <c r="P927" i="1"/>
  <c r="B927" i="1"/>
  <c r="P926" i="1"/>
  <c r="B926" i="1"/>
  <c r="P925" i="1"/>
  <c r="B925" i="1"/>
  <c r="P924" i="1"/>
  <c r="B924" i="1"/>
  <c r="P923" i="1"/>
  <c r="B923" i="1"/>
  <c r="P922" i="1"/>
  <c r="B922" i="1"/>
  <c r="P921" i="1"/>
  <c r="B921" i="1"/>
  <c r="P920" i="1"/>
  <c r="B920" i="1"/>
  <c r="P919" i="1"/>
  <c r="B919" i="1"/>
  <c r="B918" i="1"/>
  <c r="P917" i="1"/>
  <c r="B917" i="1"/>
  <c r="P916" i="1"/>
  <c r="B916" i="1"/>
  <c r="P915" i="1"/>
  <c r="B915" i="1"/>
  <c r="B914" i="1"/>
  <c r="P913" i="1"/>
  <c r="B913" i="1"/>
  <c r="P912" i="1"/>
  <c r="B912" i="1"/>
  <c r="P911" i="1"/>
  <c r="B911" i="1"/>
  <c r="P910" i="1"/>
  <c r="B910" i="1"/>
  <c r="P909" i="1"/>
  <c r="B909" i="1"/>
  <c r="P908" i="1"/>
  <c r="B908" i="1"/>
  <c r="P907" i="1"/>
  <c r="B907" i="1"/>
  <c r="B906" i="1"/>
  <c r="P905" i="1"/>
  <c r="B905" i="1"/>
  <c r="B904" i="1"/>
  <c r="B903" i="1"/>
  <c r="P902" i="1"/>
  <c r="B902" i="1"/>
  <c r="P901" i="1"/>
  <c r="B901" i="1"/>
  <c r="P900" i="1"/>
  <c r="B900" i="1"/>
  <c r="P899" i="1"/>
  <c r="B899" i="1"/>
  <c r="P898" i="1"/>
  <c r="B898" i="1"/>
  <c r="P897" i="1"/>
  <c r="B897" i="1"/>
  <c r="P896" i="1"/>
  <c r="B896" i="1"/>
  <c r="P895" i="1"/>
  <c r="B895" i="1"/>
  <c r="P894" i="1"/>
  <c r="B894" i="1"/>
  <c r="B893" i="1"/>
  <c r="P892" i="1"/>
  <c r="B892" i="1"/>
  <c r="P891" i="1"/>
  <c r="B891" i="1"/>
  <c r="P890" i="1"/>
  <c r="B890" i="1"/>
  <c r="P889" i="1"/>
  <c r="B889" i="1"/>
  <c r="B888" i="1"/>
  <c r="P887" i="1"/>
  <c r="B887" i="1"/>
  <c r="P886" i="1"/>
  <c r="B886" i="1"/>
  <c r="P885" i="1"/>
  <c r="B885" i="1"/>
  <c r="P884" i="1"/>
  <c r="B884" i="1"/>
  <c r="P883" i="1"/>
  <c r="B883" i="1"/>
  <c r="P882" i="1"/>
  <c r="B882" i="1"/>
  <c r="P881" i="1"/>
  <c r="B881" i="1"/>
  <c r="P880" i="1"/>
  <c r="B880" i="1"/>
  <c r="P879" i="1"/>
  <c r="B879" i="1"/>
  <c r="B878" i="1"/>
  <c r="P877" i="1"/>
  <c r="B877" i="1"/>
  <c r="P876" i="1"/>
  <c r="B876" i="1"/>
  <c r="P875" i="1"/>
  <c r="B875" i="1"/>
  <c r="B874" i="1"/>
  <c r="P873" i="1"/>
  <c r="B873" i="1"/>
  <c r="P872" i="1"/>
  <c r="B872" i="1"/>
  <c r="P871" i="1"/>
  <c r="B871" i="1"/>
  <c r="P870" i="1"/>
  <c r="B870" i="1"/>
  <c r="P869" i="1"/>
  <c r="B869" i="1"/>
  <c r="P868" i="1"/>
  <c r="B868" i="1"/>
  <c r="P867" i="1"/>
  <c r="B867" i="1"/>
  <c r="P866" i="1"/>
  <c r="B866" i="1"/>
  <c r="P865" i="1"/>
  <c r="B865" i="1"/>
  <c r="P864" i="1"/>
  <c r="B864" i="1"/>
  <c r="P863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P791" i="1"/>
  <c r="B791" i="1"/>
  <c r="P790" i="1"/>
  <c r="B790" i="1"/>
  <c r="P789" i="1"/>
  <c r="B789" i="1"/>
  <c r="P788" i="1"/>
  <c r="B788" i="1"/>
  <c r="B787" i="1"/>
  <c r="B786" i="1"/>
  <c r="P785" i="1"/>
  <c r="B785" i="1"/>
  <c r="P784" i="1"/>
  <c r="B784" i="1"/>
  <c r="P783" i="1"/>
  <c r="B783" i="1"/>
  <c r="B782" i="1"/>
  <c r="P781" i="1"/>
  <c r="B781" i="1"/>
  <c r="B780" i="1"/>
  <c r="B779" i="1"/>
  <c r="P778" i="1"/>
  <c r="B778" i="1"/>
  <c r="P777" i="1"/>
  <c r="B777" i="1"/>
  <c r="P776" i="1"/>
  <c r="B776" i="1"/>
  <c r="P775" i="1"/>
  <c r="B775" i="1"/>
  <c r="P774" i="1"/>
  <c r="B774" i="1"/>
  <c r="P773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P757" i="1"/>
  <c r="B757" i="1"/>
  <c r="P756" i="1"/>
  <c r="B756" i="1"/>
  <c r="P755" i="1"/>
  <c r="B755" i="1"/>
  <c r="P754" i="1"/>
  <c r="B754" i="1"/>
  <c r="B753" i="1"/>
  <c r="B752" i="1"/>
  <c r="P751" i="1"/>
  <c r="B751" i="1"/>
  <c r="P750" i="1"/>
  <c r="B750" i="1"/>
  <c r="P749" i="1"/>
  <c r="B749" i="1"/>
  <c r="P748" i="1"/>
  <c r="B748" i="1"/>
  <c r="P747" i="1"/>
  <c r="B747" i="1"/>
  <c r="B746" i="1"/>
  <c r="P745" i="1"/>
  <c r="B745" i="1"/>
  <c r="P744" i="1"/>
  <c r="B744" i="1"/>
  <c r="P743" i="1"/>
  <c r="B743" i="1"/>
  <c r="P742" i="1"/>
  <c r="B742" i="1"/>
  <c r="P741" i="1"/>
  <c r="B741" i="1"/>
  <c r="P740" i="1"/>
  <c r="B740" i="1"/>
  <c r="B739" i="1"/>
  <c r="B738" i="1"/>
  <c r="B737" i="1"/>
  <c r="B736" i="1"/>
  <c r="B735" i="1"/>
  <c r="P734" i="1"/>
  <c r="B734" i="1"/>
  <c r="P733" i="1"/>
  <c r="B733" i="1"/>
  <c r="P732" i="1"/>
  <c r="B732" i="1"/>
  <c r="P731" i="1"/>
  <c r="B731" i="1"/>
  <c r="P730" i="1"/>
  <c r="B730" i="1"/>
  <c r="P729" i="1"/>
  <c r="B729" i="1"/>
  <c r="P728" i="1"/>
  <c r="B728" i="1"/>
  <c r="P727" i="1"/>
  <c r="B727" i="1"/>
  <c r="P726" i="1"/>
  <c r="B726" i="1"/>
  <c r="P725" i="1"/>
  <c r="B725" i="1"/>
  <c r="P724" i="1"/>
  <c r="B724" i="1"/>
  <c r="P723" i="1"/>
  <c r="B723" i="1"/>
  <c r="P722" i="1"/>
  <c r="B722" i="1"/>
  <c r="P721" i="1"/>
  <c r="B721" i="1"/>
  <c r="P720" i="1"/>
  <c r="B720" i="1"/>
  <c r="P719" i="1"/>
  <c r="B719" i="1"/>
  <c r="P718" i="1"/>
  <c r="B718" i="1"/>
  <c r="P717" i="1"/>
  <c r="B717" i="1"/>
  <c r="P716" i="1"/>
  <c r="B716" i="1"/>
  <c r="B715" i="1"/>
  <c r="P714" i="1"/>
  <c r="B714" i="1"/>
  <c r="P713" i="1"/>
  <c r="B713" i="1"/>
  <c r="P712" i="1"/>
  <c r="B712" i="1"/>
  <c r="P711" i="1"/>
  <c r="B711" i="1"/>
  <c r="P710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P686" i="1"/>
  <c r="B686" i="1"/>
  <c r="P685" i="1"/>
  <c r="B685" i="1"/>
  <c r="P684" i="1"/>
  <c r="B684" i="1"/>
  <c r="P683" i="1"/>
  <c r="B683" i="1"/>
  <c r="P682" i="1"/>
  <c r="B682" i="1"/>
  <c r="P681" i="1"/>
  <c r="B681" i="1"/>
  <c r="P680" i="1"/>
  <c r="B680" i="1"/>
  <c r="P679" i="1"/>
  <c r="B679" i="1"/>
  <c r="P678" i="1"/>
  <c r="B678" i="1"/>
  <c r="P677" i="1"/>
  <c r="B677" i="1"/>
  <c r="P676" i="1"/>
  <c r="B676" i="1"/>
  <c r="P675" i="1"/>
  <c r="B675" i="1"/>
  <c r="P674" i="1"/>
  <c r="B674" i="1"/>
  <c r="P673" i="1"/>
  <c r="B673" i="1"/>
  <c r="P672" i="1"/>
  <c r="B672" i="1"/>
  <c r="P671" i="1"/>
  <c r="B671" i="1"/>
  <c r="P670" i="1"/>
  <c r="B670" i="1"/>
  <c r="P669" i="1"/>
  <c r="B669" i="1"/>
  <c r="B668" i="1"/>
  <c r="P667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P630" i="1"/>
  <c r="B630" i="1"/>
  <c r="P629" i="1"/>
  <c r="B629" i="1"/>
  <c r="P628" i="1"/>
  <c r="B628" i="1"/>
  <c r="P627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P601" i="1"/>
  <c r="B601" i="1"/>
  <c r="P600" i="1"/>
  <c r="B600" i="1"/>
  <c r="P599" i="1"/>
  <c r="B599" i="1"/>
  <c r="P598" i="1"/>
  <c r="B598" i="1"/>
  <c r="B597" i="1"/>
  <c r="P596" i="1"/>
  <c r="B596" i="1"/>
  <c r="P595" i="1"/>
  <c r="B595" i="1"/>
  <c r="P594" i="1"/>
  <c r="B594" i="1"/>
  <c r="P593" i="1"/>
  <c r="B593" i="1"/>
  <c r="P592" i="1"/>
  <c r="B592" i="1"/>
  <c r="P591" i="1"/>
  <c r="B591" i="1"/>
  <c r="P590" i="1"/>
  <c r="B590" i="1"/>
  <c r="P589" i="1"/>
  <c r="B589" i="1"/>
  <c r="P588" i="1"/>
  <c r="B588" i="1"/>
  <c r="P587" i="1"/>
  <c r="B587" i="1"/>
  <c r="P586" i="1"/>
  <c r="B586" i="1"/>
  <c r="P585" i="1"/>
  <c r="B585" i="1"/>
  <c r="P584" i="1"/>
  <c r="B584" i="1"/>
  <c r="P583" i="1"/>
  <c r="B583" i="1"/>
  <c r="P582" i="1"/>
  <c r="B582" i="1"/>
  <c r="P581" i="1"/>
  <c r="B581" i="1"/>
  <c r="P580" i="1"/>
  <c r="B580" i="1"/>
  <c r="P579" i="1"/>
  <c r="B579" i="1"/>
  <c r="P578" i="1"/>
  <c r="B578" i="1"/>
  <c r="P577" i="1"/>
  <c r="B577" i="1"/>
  <c r="P576" i="1"/>
  <c r="B576" i="1"/>
  <c r="P575" i="1"/>
  <c r="B575" i="1"/>
  <c r="P574" i="1"/>
  <c r="B574" i="1"/>
  <c r="P573" i="1"/>
  <c r="B573" i="1"/>
  <c r="P572" i="1"/>
  <c r="B572" i="1"/>
  <c r="P571" i="1"/>
  <c r="B571" i="1"/>
  <c r="P570" i="1"/>
  <c r="B570" i="1"/>
  <c r="P569" i="1"/>
  <c r="B569" i="1"/>
  <c r="P568" i="1"/>
  <c r="B568" i="1"/>
  <c r="P567" i="1"/>
  <c r="B567" i="1"/>
  <c r="B566" i="1"/>
  <c r="B565" i="1"/>
  <c r="B564" i="1"/>
  <c r="B563" i="1"/>
  <c r="B562" i="1"/>
  <c r="B561" i="1"/>
  <c r="B560" i="1"/>
  <c r="B559" i="1"/>
  <c r="B558" i="1"/>
  <c r="P557" i="1"/>
  <c r="B557" i="1"/>
  <c r="P556" i="1"/>
  <c r="B556" i="1"/>
  <c r="P555" i="1"/>
  <c r="B555" i="1"/>
  <c r="P554" i="1"/>
  <c r="B554" i="1"/>
  <c r="P553" i="1"/>
  <c r="B553" i="1"/>
  <c r="P552" i="1"/>
  <c r="B552" i="1"/>
  <c r="B551" i="1"/>
  <c r="P550" i="1"/>
  <c r="B550" i="1"/>
  <c r="B549" i="1"/>
  <c r="P548" i="1"/>
  <c r="B548" i="1"/>
  <c r="P547" i="1"/>
  <c r="B547" i="1"/>
  <c r="P546" i="1"/>
  <c r="B546" i="1"/>
  <c r="P545" i="1"/>
  <c r="B545" i="1"/>
  <c r="P544" i="1"/>
  <c r="B544" i="1"/>
  <c r="P543" i="1"/>
  <c r="B543" i="1"/>
  <c r="P542" i="1"/>
  <c r="B542" i="1"/>
  <c r="P541" i="1"/>
  <c r="B541" i="1"/>
  <c r="P540" i="1"/>
  <c r="B540" i="1"/>
  <c r="P539" i="1"/>
  <c r="B539" i="1"/>
  <c r="P538" i="1"/>
  <c r="B538" i="1"/>
  <c r="B537" i="1"/>
  <c r="B536" i="1"/>
  <c r="P535" i="1"/>
  <c r="B535" i="1"/>
  <c r="P534" i="1"/>
  <c r="B534" i="1"/>
  <c r="P533" i="1"/>
  <c r="B533" i="1"/>
  <c r="P532" i="1"/>
  <c r="B532" i="1"/>
  <c r="P531" i="1"/>
  <c r="B531" i="1"/>
  <c r="P530" i="1"/>
  <c r="B530" i="1"/>
  <c r="P529" i="1"/>
  <c r="B529" i="1"/>
  <c r="P528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P513" i="1"/>
  <c r="B513" i="1"/>
  <c r="P512" i="1"/>
  <c r="B512" i="1"/>
  <c r="P511" i="1"/>
  <c r="B511" i="1"/>
  <c r="P510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P459" i="1"/>
  <c r="B459" i="1"/>
  <c r="P458" i="1"/>
  <c r="B458" i="1"/>
  <c r="B457" i="1"/>
  <c r="P456" i="1"/>
  <c r="B456" i="1"/>
  <c r="P455" i="1"/>
  <c r="B455" i="1"/>
  <c r="P454" i="1"/>
  <c r="B454" i="1"/>
  <c r="B453" i="1"/>
  <c r="P452" i="1"/>
  <c r="B452" i="1"/>
  <c r="B451" i="1"/>
  <c r="B450" i="1"/>
  <c r="P449" i="1"/>
  <c r="B449" i="1"/>
  <c r="P448" i="1"/>
  <c r="B448" i="1"/>
  <c r="P447" i="1"/>
  <c r="B447" i="1"/>
  <c r="P446" i="1"/>
  <c r="B446" i="1"/>
  <c r="P445" i="1"/>
  <c r="B445" i="1"/>
  <c r="P444" i="1"/>
  <c r="B444" i="1"/>
  <c r="P443" i="1"/>
  <c r="B443" i="1"/>
  <c r="P442" i="1"/>
  <c r="B442" i="1"/>
  <c r="P441" i="1"/>
  <c r="B441" i="1"/>
  <c r="P440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P346" i="1"/>
  <c r="B346" i="1"/>
  <c r="P345" i="1"/>
  <c r="B345" i="1"/>
  <c r="P344" i="1"/>
  <c r="B344" i="1"/>
  <c r="P343" i="1"/>
  <c r="B343" i="1"/>
  <c r="B342" i="1"/>
  <c r="P341" i="1"/>
  <c r="B341" i="1"/>
  <c r="P340" i="1"/>
  <c r="B340" i="1"/>
  <c r="P339" i="1"/>
  <c r="B339" i="1"/>
  <c r="P338" i="1"/>
  <c r="B338" i="1"/>
  <c r="P337" i="1"/>
  <c r="B337" i="1"/>
  <c r="P336" i="1"/>
  <c r="B336" i="1"/>
  <c r="P335" i="1"/>
  <c r="B335" i="1"/>
  <c r="P334" i="1"/>
  <c r="B334" i="1"/>
  <c r="P333" i="1"/>
  <c r="B333" i="1"/>
  <c r="P332" i="1"/>
  <c r="B332" i="1"/>
  <c r="P331" i="1"/>
  <c r="B331" i="1"/>
  <c r="P330" i="1"/>
  <c r="B330" i="1"/>
  <c r="B329" i="1"/>
  <c r="P328" i="1"/>
  <c r="B328" i="1"/>
  <c r="P327" i="1"/>
  <c r="B327" i="1"/>
  <c r="P326" i="1"/>
  <c r="B326" i="1"/>
  <c r="P325" i="1"/>
  <c r="B325" i="1"/>
  <c r="P324" i="1"/>
  <c r="B324" i="1"/>
  <c r="P323" i="1"/>
  <c r="B323" i="1"/>
  <c r="P322" i="1"/>
  <c r="B322" i="1"/>
  <c r="P321" i="1"/>
  <c r="B321" i="1"/>
  <c r="P320" i="1"/>
  <c r="B320" i="1"/>
  <c r="P319" i="1"/>
  <c r="B319" i="1"/>
  <c r="P318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P303" i="1"/>
  <c r="B303" i="1"/>
  <c r="P302" i="1"/>
  <c r="B302" i="1"/>
  <c r="P301" i="1"/>
  <c r="B301" i="1"/>
  <c r="P300" i="1"/>
  <c r="B300" i="1"/>
  <c r="P299" i="1"/>
  <c r="B299" i="1"/>
  <c r="B298" i="1"/>
  <c r="P297" i="1"/>
  <c r="B297" i="1"/>
  <c r="P296" i="1"/>
  <c r="B296" i="1"/>
  <c r="P295" i="1"/>
  <c r="B295" i="1"/>
  <c r="P294" i="1"/>
  <c r="B294" i="1"/>
  <c r="P293" i="1"/>
  <c r="B293" i="1"/>
  <c r="P292" i="1"/>
  <c r="B292" i="1"/>
  <c r="P291" i="1"/>
  <c r="B291" i="1"/>
  <c r="P290" i="1"/>
  <c r="B290" i="1"/>
  <c r="P289" i="1"/>
  <c r="B289" i="1"/>
  <c r="P288" i="1"/>
  <c r="B288" i="1"/>
  <c r="P287" i="1"/>
  <c r="B287" i="1"/>
  <c r="P286" i="1"/>
  <c r="B286" i="1"/>
  <c r="B285" i="1"/>
  <c r="B284" i="1"/>
  <c r="B283" i="1"/>
  <c r="B282" i="1"/>
  <c r="B281" i="1"/>
  <c r="P280" i="1"/>
  <c r="B280" i="1"/>
  <c r="P279" i="1"/>
  <c r="B279" i="1"/>
  <c r="P278" i="1"/>
  <c r="B278" i="1"/>
  <c r="P277" i="1"/>
  <c r="B277" i="1"/>
  <c r="P276" i="1"/>
  <c r="B276" i="1"/>
  <c r="P275" i="1"/>
  <c r="B275" i="1"/>
  <c r="P274" i="1"/>
  <c r="B274" i="1"/>
  <c r="P273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P255" i="1"/>
  <c r="B255" i="1"/>
  <c r="P254" i="1"/>
  <c r="B254" i="1"/>
  <c r="P253" i="1"/>
  <c r="B253" i="1"/>
  <c r="P252" i="1"/>
  <c r="B252" i="1"/>
  <c r="P251" i="1"/>
  <c r="B251" i="1"/>
  <c r="P250" i="1"/>
  <c r="B250" i="1"/>
  <c r="P249" i="1"/>
  <c r="B249" i="1"/>
  <c r="P248" i="1"/>
  <c r="B248" i="1"/>
  <c r="P247" i="1"/>
  <c r="B247" i="1"/>
  <c r="P246" i="1"/>
  <c r="B246" i="1"/>
  <c r="P245" i="1"/>
  <c r="B245" i="1"/>
  <c r="P244" i="1"/>
  <c r="B244" i="1"/>
  <c r="P243" i="1"/>
  <c r="B243" i="1"/>
  <c r="P242" i="1"/>
  <c r="B242" i="1"/>
  <c r="P241" i="1"/>
  <c r="B241" i="1"/>
  <c r="P240" i="1"/>
  <c r="B240" i="1"/>
  <c r="P239" i="1"/>
  <c r="B239" i="1"/>
  <c r="P238" i="1"/>
  <c r="B238" i="1"/>
  <c r="P237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P211" i="1"/>
  <c r="B211" i="1"/>
  <c r="P210" i="1"/>
  <c r="B210" i="1"/>
  <c r="P209" i="1"/>
  <c r="B209" i="1"/>
  <c r="P208" i="1"/>
  <c r="B208" i="1"/>
  <c r="P207" i="1"/>
  <c r="B207" i="1"/>
  <c r="P206" i="1"/>
  <c r="B206" i="1"/>
  <c r="B205" i="1"/>
  <c r="P204" i="1"/>
  <c r="B204" i="1"/>
  <c r="P203" i="1"/>
  <c r="B203" i="1"/>
  <c r="P202" i="1"/>
  <c r="B202" i="1"/>
  <c r="P201" i="1"/>
  <c r="B201" i="1"/>
  <c r="P200" i="1"/>
  <c r="B200" i="1"/>
  <c r="P199" i="1"/>
  <c r="B199" i="1"/>
  <c r="P198" i="1"/>
  <c r="B198" i="1"/>
  <c r="P197" i="1"/>
  <c r="B197" i="1"/>
  <c r="P196" i="1"/>
  <c r="B196" i="1"/>
  <c r="P195" i="1"/>
  <c r="B195" i="1"/>
  <c r="P194" i="1"/>
  <c r="B194" i="1"/>
  <c r="P193" i="1"/>
  <c r="B193" i="1"/>
  <c r="P192" i="1"/>
  <c r="B192" i="1"/>
  <c r="P191" i="1"/>
  <c r="B191" i="1"/>
  <c r="P190" i="1"/>
  <c r="B190" i="1"/>
  <c r="P189" i="1"/>
  <c r="B189" i="1"/>
  <c r="P188" i="1"/>
  <c r="B188" i="1"/>
  <c r="B187" i="1"/>
  <c r="B186" i="1"/>
  <c r="B185" i="1"/>
  <c r="B184" i="1"/>
  <c r="B183" i="1"/>
  <c r="P182" i="1"/>
  <c r="B182" i="1"/>
  <c r="P181" i="1"/>
  <c r="B181" i="1"/>
  <c r="P180" i="1"/>
  <c r="B180" i="1"/>
  <c r="P179" i="1"/>
  <c r="B179" i="1"/>
  <c r="B178" i="1"/>
  <c r="P177" i="1"/>
  <c r="B177" i="1"/>
  <c r="P176" i="1"/>
  <c r="B176" i="1"/>
  <c r="P175" i="1"/>
  <c r="B175" i="1"/>
  <c r="P174" i="1"/>
  <c r="B174" i="1"/>
  <c r="P173" i="1"/>
  <c r="B173" i="1"/>
  <c r="P172" i="1"/>
  <c r="B172" i="1"/>
  <c r="P171" i="1"/>
  <c r="B171" i="1"/>
  <c r="B170" i="1"/>
  <c r="B169" i="1"/>
  <c r="B168" i="1"/>
  <c r="B167" i="1"/>
  <c r="B166" i="1"/>
  <c r="P165" i="1"/>
  <c r="B165" i="1"/>
  <c r="B164" i="1"/>
  <c r="B163" i="1"/>
  <c r="B162" i="1"/>
  <c r="B161" i="1"/>
  <c r="P160" i="1"/>
  <c r="B160" i="1"/>
  <c r="P159" i="1"/>
  <c r="B159" i="1"/>
  <c r="P158" i="1"/>
  <c r="B158" i="1"/>
  <c r="B157" i="1"/>
  <c r="B156" i="1"/>
  <c r="P155" i="1"/>
  <c r="B155" i="1"/>
  <c r="P154" i="1"/>
  <c r="B154" i="1"/>
  <c r="P153" i="1"/>
  <c r="B153" i="1"/>
  <c r="P152" i="1"/>
  <c r="B152" i="1"/>
  <c r="P151" i="1"/>
  <c r="B151" i="1"/>
  <c r="P150" i="1"/>
  <c r="B150" i="1"/>
  <c r="P149" i="1"/>
  <c r="B149" i="1"/>
  <c r="P148" i="1"/>
  <c r="B148" i="1"/>
  <c r="P147" i="1"/>
  <c r="B147" i="1"/>
  <c r="P146" i="1"/>
  <c r="B146" i="1"/>
  <c r="P145" i="1"/>
  <c r="B145" i="1"/>
  <c r="P144" i="1"/>
  <c r="B144" i="1"/>
  <c r="B143" i="1"/>
  <c r="P142" i="1"/>
  <c r="B142" i="1"/>
  <c r="P141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P106" i="1"/>
  <c r="B106" i="1"/>
  <c r="P105" i="1"/>
  <c r="B105" i="1"/>
  <c r="P104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P8" i="1"/>
  <c r="B8" i="1"/>
  <c r="B7" i="1"/>
  <c r="P6" i="1"/>
  <c r="B6" i="1"/>
  <c r="B5" i="1"/>
  <c r="P4" i="1"/>
  <c r="B4" i="1"/>
  <c r="P3" i="1"/>
  <c r="B3" i="1"/>
  <c r="B2" i="1"/>
  <c r="C17" i="1" l="1"/>
  <c r="C47" i="1"/>
  <c r="C2" i="1"/>
  <c r="C10" i="1"/>
  <c r="C14" i="1"/>
  <c r="C81" i="1"/>
  <c r="C23" i="1"/>
  <c r="C684" i="1"/>
  <c r="C69" i="1"/>
  <c r="C30" i="1"/>
  <c r="C34" i="1"/>
  <c r="C31" i="1"/>
  <c r="C22" i="1"/>
  <c r="C32" i="1"/>
  <c r="C95" i="1"/>
  <c r="C416" i="1"/>
  <c r="C385" i="1"/>
  <c r="C354" i="1"/>
  <c r="C426" i="1"/>
  <c r="C419" i="1"/>
  <c r="C402" i="1"/>
  <c r="C268" i="1"/>
  <c r="C86" i="1"/>
  <c r="C191" i="1"/>
  <c r="C369" i="1"/>
  <c r="C383" i="1"/>
  <c r="C376" i="1"/>
  <c r="C352" i="1"/>
  <c r="C452" i="1"/>
  <c r="C441" i="1"/>
  <c r="C431" i="1"/>
  <c r="C392" i="1"/>
  <c r="C361" i="1"/>
  <c r="C4" i="1"/>
  <c r="C409" i="1"/>
  <c r="C378" i="1"/>
  <c r="C347" i="1"/>
  <c r="C24" i="1"/>
  <c r="C70" i="1"/>
  <c r="C108" i="1"/>
  <c r="C112" i="1"/>
  <c r="C117" i="1"/>
  <c r="C130" i="1"/>
  <c r="C146" i="1"/>
  <c r="C173" i="1"/>
  <c r="C199" i="1"/>
  <c r="C211" i="1"/>
  <c r="C215" i="1"/>
  <c r="C224" i="1"/>
  <c r="C233" i="1"/>
  <c r="C243" i="1"/>
  <c r="C254" i="1"/>
  <c r="C270" i="1"/>
  <c r="C277" i="1"/>
  <c r="C283" i="1"/>
  <c r="C300" i="1"/>
  <c r="C314" i="1"/>
  <c r="C321" i="1"/>
  <c r="C346" i="1"/>
  <c r="C359" i="1"/>
  <c r="C368" i="1"/>
  <c r="C382" i="1"/>
  <c r="C386" i="1"/>
  <c r="C391" i="1"/>
  <c r="C405" i="1"/>
  <c r="C415" i="1"/>
  <c r="C429" i="1"/>
  <c r="C439" i="1"/>
  <c r="C446" i="1"/>
  <c r="C466" i="1"/>
  <c r="C471" i="1"/>
  <c r="C491" i="1"/>
  <c r="C496" i="1"/>
  <c r="C667" i="1"/>
  <c r="C74" i="1"/>
  <c r="C12" i="1"/>
  <c r="C41" i="1"/>
  <c r="C83" i="1"/>
  <c r="C16" i="1"/>
  <c r="C25" i="1"/>
  <c r="C49" i="1"/>
  <c r="C58" i="1"/>
  <c r="C67" i="1"/>
  <c r="C79" i="1"/>
  <c r="C105" i="1"/>
  <c r="C113" i="1"/>
  <c r="C122" i="1"/>
  <c r="C126" i="1"/>
  <c r="C138" i="1"/>
  <c r="C149" i="1"/>
  <c r="C155" i="1"/>
  <c r="C161" i="1"/>
  <c r="C170" i="1"/>
  <c r="C179" i="1"/>
  <c r="C190" i="1"/>
  <c r="C202" i="1"/>
  <c r="C208" i="1"/>
  <c r="C229" i="1"/>
  <c r="C240" i="1"/>
  <c r="C252" i="1"/>
  <c r="C266" i="1"/>
  <c r="C280" i="1"/>
  <c r="C284" i="1"/>
  <c r="C291" i="1"/>
  <c r="C306" i="1"/>
  <c r="C310" i="1"/>
  <c r="C327" i="1"/>
  <c r="C373" i="1"/>
  <c r="C387" i="1"/>
  <c r="C395" i="1"/>
  <c r="C424" i="1"/>
  <c r="C708" i="1"/>
  <c r="C103" i="1"/>
  <c r="C27" i="1"/>
  <c r="C56" i="1"/>
  <c r="C8" i="1"/>
  <c r="C33" i="1"/>
  <c r="C78" i="1"/>
  <c r="C21" i="1"/>
  <c r="C42" i="1"/>
  <c r="C75" i="1"/>
  <c r="C97" i="1"/>
  <c r="C109" i="1"/>
  <c r="C118" i="1"/>
  <c r="C127" i="1"/>
  <c r="C139" i="1"/>
  <c r="C143" i="1"/>
  <c r="C152" i="1"/>
  <c r="C159" i="1"/>
  <c r="C176" i="1"/>
  <c r="C186" i="1"/>
  <c r="C205" i="1"/>
  <c r="C216" i="1"/>
  <c r="C246" i="1"/>
  <c r="C262" i="1"/>
  <c r="C271" i="1"/>
  <c r="C294" i="1"/>
  <c r="C297" i="1"/>
  <c r="C303" i="1"/>
  <c r="C307" i="1"/>
  <c r="C311" i="1"/>
  <c r="C319" i="1"/>
  <c r="C325" i="1"/>
  <c r="C334" i="1"/>
  <c r="C343" i="1"/>
  <c r="C351" i="1"/>
  <c r="C355" i="1"/>
  <c r="C396" i="1"/>
  <c r="C401" i="1"/>
  <c r="C406" i="1"/>
  <c r="C411" i="1"/>
  <c r="C435" i="1"/>
  <c r="C629" i="1"/>
  <c r="C73" i="1"/>
  <c r="C119" i="1"/>
  <c r="C40" i="1"/>
  <c r="C82" i="1"/>
  <c r="C20" i="1"/>
  <c r="C53" i="1"/>
  <c r="C13" i="1"/>
  <c r="C37" i="1"/>
  <c r="C50" i="1"/>
  <c r="C87" i="1"/>
  <c r="C5" i="1"/>
  <c r="C29" i="1"/>
  <c r="C38" i="1"/>
  <c r="C46" i="1"/>
  <c r="C54" i="1"/>
  <c r="C59" i="1"/>
  <c r="C71" i="1"/>
  <c r="C88" i="1"/>
  <c r="C93" i="1"/>
  <c r="C101" i="1"/>
  <c r="C123" i="1"/>
  <c r="C135" i="1"/>
  <c r="C174" i="1"/>
  <c r="C180" i="1"/>
  <c r="C187" i="1"/>
  <c r="C206" i="1"/>
  <c r="C212" i="1"/>
  <c r="C220" i="1"/>
  <c r="C230" i="1"/>
  <c r="C238" i="1"/>
  <c r="C244" i="1"/>
  <c r="C249" i="1"/>
  <c r="C263" i="1"/>
  <c r="C278" i="1"/>
  <c r="C285" i="1"/>
  <c r="C301" i="1"/>
  <c r="C328" i="1"/>
  <c r="C331" i="1"/>
  <c r="C340" i="1"/>
  <c r="C356" i="1"/>
  <c r="C364" i="1"/>
  <c r="C533" i="1"/>
  <c r="C43" i="1"/>
  <c r="C55" i="1"/>
  <c r="C72" i="1"/>
  <c r="C98" i="1"/>
  <c r="C106" i="1"/>
  <c r="C110" i="1"/>
  <c r="C132" i="1"/>
  <c r="C140" i="1"/>
  <c r="C144" i="1"/>
  <c r="C150" i="1"/>
  <c r="C156" i="1"/>
  <c r="C166" i="1"/>
  <c r="C183" i="1"/>
  <c r="C194" i="1"/>
  <c r="C203" i="1"/>
  <c r="C217" i="1"/>
  <c r="C225" i="1"/>
  <c r="C234" i="1"/>
  <c r="C259" i="1"/>
  <c r="C267" i="1"/>
  <c r="C272" i="1"/>
  <c r="C275" i="1"/>
  <c r="C292" i="1"/>
  <c r="C304" i="1"/>
  <c r="C315" i="1"/>
  <c r="C322" i="1"/>
  <c r="C344" i="1"/>
  <c r="C365" i="1"/>
  <c r="C397" i="1"/>
  <c r="C412" i="1"/>
  <c r="C436" i="1"/>
  <c r="C444" i="1"/>
  <c r="C512" i="1"/>
  <c r="C516" i="1"/>
  <c r="C521" i="1"/>
  <c r="C537" i="1"/>
  <c r="C544" i="1"/>
  <c r="C591" i="1"/>
  <c r="C51" i="1"/>
  <c r="C63" i="1"/>
  <c r="C84" i="1"/>
  <c r="C6" i="1"/>
  <c r="C9" i="1"/>
  <c r="C18" i="1"/>
  <c r="C26" i="1"/>
  <c r="C35" i="1"/>
  <c r="C60" i="1"/>
  <c r="C64" i="1"/>
  <c r="C68" i="1"/>
  <c r="C80" i="1"/>
  <c r="C89" i="1"/>
  <c r="C114" i="1"/>
  <c r="C124" i="1"/>
  <c r="C147" i="1"/>
  <c r="C167" i="1"/>
  <c r="C171" i="1"/>
  <c r="C188" i="1"/>
  <c r="C197" i="1"/>
  <c r="C200" i="1"/>
  <c r="C209" i="1"/>
  <c r="C226" i="1"/>
  <c r="C241" i="1"/>
  <c r="C256" i="1"/>
  <c r="C264" i="1"/>
  <c r="C281" i="1"/>
  <c r="C286" i="1"/>
  <c r="C316" i="1"/>
  <c r="C320" i="1"/>
  <c r="C338" i="1"/>
  <c r="C341" i="1"/>
  <c r="C375" i="1"/>
  <c r="C379" i="1"/>
  <c r="C388" i="1"/>
  <c r="C422" i="1"/>
  <c r="C111" i="1"/>
  <c r="C128" i="1"/>
  <c r="C136" i="1"/>
  <c r="C153" i="1"/>
  <c r="C163" i="1"/>
  <c r="C181" i="1"/>
  <c r="C207" i="1"/>
  <c r="C222" i="1"/>
  <c r="C239" i="1"/>
  <c r="C253" i="1"/>
  <c r="C273" i="1"/>
  <c r="C279" i="1"/>
  <c r="C289" i="1"/>
  <c r="C298" i="1"/>
  <c r="C308" i="1"/>
  <c r="C312" i="1"/>
  <c r="C323" i="1"/>
  <c r="C329" i="1"/>
  <c r="C353" i="1"/>
  <c r="C366" i="1"/>
  <c r="C389" i="1"/>
  <c r="C393" i="1"/>
  <c r="C398" i="1"/>
  <c r="C403" i="1"/>
  <c r="C408" i="1"/>
  <c r="C413" i="1"/>
  <c r="C417" i="1"/>
  <c r="C427" i="1"/>
  <c r="C437" i="1"/>
  <c r="C464" i="1"/>
  <c r="C484" i="1"/>
  <c r="C489" i="1"/>
  <c r="C509" i="1"/>
  <c r="C517" i="1"/>
  <c r="C522" i="1"/>
  <c r="C527" i="1"/>
  <c r="C564" i="1"/>
  <c r="C612" i="1"/>
  <c r="C3" i="1"/>
  <c r="C15" i="1"/>
  <c r="C39" i="1"/>
  <c r="C48" i="1"/>
  <c r="C65" i="1"/>
  <c r="C77" i="1"/>
  <c r="C85" i="1"/>
  <c r="C90" i="1"/>
  <c r="C94" i="1"/>
  <c r="C120" i="1"/>
  <c r="C137" i="1"/>
  <c r="C145" i="1"/>
  <c r="C151" i="1"/>
  <c r="C160" i="1"/>
  <c r="C164" i="1"/>
  <c r="C168" i="1"/>
  <c r="C178" i="1"/>
  <c r="C184" i="1"/>
  <c r="C195" i="1"/>
  <c r="C204" i="1"/>
  <c r="C210" i="1"/>
  <c r="C213" i="1"/>
  <c r="C235" i="1"/>
  <c r="C260" i="1"/>
  <c r="C265" i="1"/>
  <c r="C296" i="1"/>
  <c r="C299" i="1"/>
  <c r="C309" i="1"/>
  <c r="C317" i="1"/>
  <c r="C326" i="1"/>
  <c r="C332" i="1"/>
  <c r="C335" i="1"/>
  <c r="C345" i="1"/>
  <c r="C348" i="1"/>
  <c r="C357" i="1"/>
  <c r="C418" i="1"/>
  <c r="C456" i="1"/>
  <c r="C513" i="1"/>
  <c r="C531" i="1"/>
  <c r="C7" i="1"/>
  <c r="C44" i="1"/>
  <c r="C104" i="1"/>
  <c r="C133" i="1"/>
  <c r="C157" i="1"/>
  <c r="C185" i="1"/>
  <c r="C214" i="1"/>
  <c r="C218" i="1"/>
  <c r="C223" i="1"/>
  <c r="C236" i="1"/>
  <c r="C245" i="1"/>
  <c r="C251" i="1"/>
  <c r="C261" i="1"/>
  <c r="C276" i="1"/>
  <c r="C287" i="1"/>
  <c r="C302" i="1"/>
  <c r="C305" i="1"/>
  <c r="C330" i="1"/>
  <c r="C349" i="1"/>
  <c r="C358" i="1"/>
  <c r="C362" i="1"/>
  <c r="C367" i="1"/>
  <c r="C371" i="1"/>
  <c r="C381" i="1"/>
  <c r="C390" i="1"/>
  <c r="C399" i="1"/>
  <c r="C428" i="1"/>
  <c r="C442" i="1"/>
  <c r="C460" i="1"/>
  <c r="C465" i="1"/>
  <c r="C480" i="1"/>
  <c r="C485" i="1"/>
  <c r="C490" i="1"/>
  <c r="C505" i="1"/>
  <c r="C510" i="1"/>
  <c r="C518" i="1"/>
  <c r="C523" i="1"/>
  <c r="C528" i="1"/>
  <c r="C542" i="1"/>
  <c r="C608" i="1"/>
  <c r="C11" i="1"/>
  <c r="C99" i="1"/>
  <c r="C116" i="1"/>
  <c r="C154" i="1"/>
  <c r="C175" i="1"/>
  <c r="C189" i="1"/>
  <c r="C19" i="1"/>
  <c r="C28" i="1"/>
  <c r="C36" i="1"/>
  <c r="C45" i="1"/>
  <c r="C57" i="1"/>
  <c r="C61" i="1"/>
  <c r="C91" i="1"/>
  <c r="C100" i="1"/>
  <c r="C107" i="1"/>
  <c r="C129" i="1"/>
  <c r="C134" i="1"/>
  <c r="C142" i="1"/>
  <c r="C148" i="1"/>
  <c r="C158" i="1"/>
  <c r="C165" i="1"/>
  <c r="C182" i="1"/>
  <c r="C192" i="1"/>
  <c r="C201" i="1"/>
  <c r="C219" i="1"/>
  <c r="C228" i="1"/>
  <c r="C232" i="1"/>
  <c r="C248" i="1"/>
  <c r="C257" i="1"/>
  <c r="C269" i="1"/>
  <c r="C274" i="1"/>
  <c r="C313" i="1"/>
  <c r="C318" i="1"/>
  <c r="C324" i="1"/>
  <c r="C333" i="1"/>
  <c r="C336" i="1"/>
  <c r="C363" i="1"/>
  <c r="C372" i="1"/>
  <c r="C377" i="1"/>
  <c r="C576" i="1"/>
  <c r="C586" i="1"/>
  <c r="C420" i="1"/>
  <c r="C448" i="1"/>
  <c r="C102" i="1"/>
  <c r="C125" i="1"/>
  <c r="C198" i="1"/>
  <c r="C231" i="1"/>
  <c r="C295" i="1"/>
  <c r="C342" i="1"/>
  <c r="C410" i="1"/>
  <c r="C443" i="1"/>
  <c r="C467" i="1"/>
  <c r="C492" i="1"/>
  <c r="C520" i="1"/>
  <c r="C538" i="1"/>
  <c r="C541" i="1"/>
  <c r="C547" i="1"/>
  <c r="C580" i="1"/>
  <c r="C610" i="1"/>
  <c r="C613" i="1"/>
  <c r="C626" i="1"/>
  <c r="C633" i="1"/>
  <c r="C637" i="1"/>
  <c r="C678" i="1"/>
  <c r="C713" i="1"/>
  <c r="C773" i="1"/>
  <c r="C801" i="1"/>
  <c r="C1586" i="1"/>
  <c r="C1498" i="1"/>
  <c r="C1587" i="1"/>
  <c r="C1499" i="1"/>
  <c r="C1577" i="1"/>
  <c r="C1566" i="1"/>
  <c r="C1541" i="1"/>
  <c r="C1516" i="1"/>
  <c r="C1459" i="1"/>
  <c r="C1296" i="1"/>
  <c r="C1151" i="1"/>
  <c r="C1069" i="1"/>
  <c r="C944" i="1"/>
  <c r="C842" i="1"/>
  <c r="C1574" i="1"/>
  <c r="C1467" i="1"/>
  <c r="C1442" i="1"/>
  <c r="C1439" i="1"/>
  <c r="C1434" i="1"/>
  <c r="C1429" i="1"/>
  <c r="C1424" i="1"/>
  <c r="C1416" i="1"/>
  <c r="C1571" i="1"/>
  <c r="C1557" i="1"/>
  <c r="C1546" i="1"/>
  <c r="C1532" i="1"/>
  <c r="C1521" i="1"/>
  <c r="C1507" i="1"/>
  <c r="C1464" i="1"/>
  <c r="C1316" i="1"/>
  <c r="C1167" i="1"/>
  <c r="C1331" i="1"/>
  <c r="C1181" i="1"/>
  <c r="C1110" i="1"/>
  <c r="C1097" i="1"/>
  <c r="C1094" i="1"/>
  <c r="C974" i="1"/>
  <c r="C784" i="1"/>
  <c r="C1576" i="1"/>
  <c r="C1562" i="1"/>
  <c r="C1551" i="1"/>
  <c r="C1537" i="1"/>
  <c r="C1526" i="1"/>
  <c r="C1512" i="1"/>
  <c r="C1501" i="1"/>
  <c r="C1494" i="1"/>
  <c r="C1469" i="1"/>
  <c r="C1455" i="1"/>
  <c r="C1444" i="1"/>
  <c r="C1409" i="1"/>
  <c r="C1392" i="1"/>
  <c r="C1559" i="1"/>
  <c r="C1534" i="1"/>
  <c r="C1243" i="1"/>
  <c r="C1120" i="1"/>
  <c r="C994" i="1"/>
  <c r="C914" i="1"/>
  <c r="C1581" i="1"/>
  <c r="C1556" i="1"/>
  <c r="C1531" i="1"/>
  <c r="C1506" i="1"/>
  <c r="C1482" i="1"/>
  <c r="C1474" i="1"/>
  <c r="C1449" i="1"/>
  <c r="C1348" i="1"/>
  <c r="C1004" i="1"/>
  <c r="C922" i="1"/>
  <c r="C1564" i="1"/>
  <c r="C1539" i="1"/>
  <c r="C1514" i="1"/>
  <c r="C1493" i="1"/>
  <c r="C1485" i="1"/>
  <c r="C1479" i="1"/>
  <c r="C1457" i="1"/>
  <c r="C1440" i="1"/>
  <c r="C1435" i="1"/>
  <c r="C1572" i="1"/>
  <c r="C1561" i="1"/>
  <c r="C1547" i="1"/>
  <c r="C1536" i="1"/>
  <c r="C1522" i="1"/>
  <c r="C1511" i="1"/>
  <c r="C1465" i="1"/>
  <c r="C1454" i="1"/>
  <c r="C1401" i="1"/>
  <c r="C1394" i="1"/>
  <c r="C1387" i="1"/>
  <c r="C1569" i="1"/>
  <c r="C1544" i="1"/>
  <c r="C1519" i="1"/>
  <c r="C1490" i="1"/>
  <c r="C1481" i="1"/>
  <c r="C1476" i="1"/>
  <c r="C1404" i="1"/>
  <c r="C1286" i="1"/>
  <c r="C1034" i="1"/>
  <c r="C832" i="1"/>
  <c r="C1417" i="1"/>
  <c r="C1391" i="1"/>
  <c r="C1354" i="1"/>
  <c r="C1351" i="1"/>
  <c r="C1307" i="1"/>
  <c r="C1291" i="1"/>
  <c r="C1266" i="1"/>
  <c r="C1234" i="1"/>
  <c r="C1207" i="1"/>
  <c r="C1185" i="1"/>
  <c r="C1136" i="1"/>
  <c r="C1130" i="1"/>
  <c r="C1113" i="1"/>
  <c r="C1077" i="1"/>
  <c r="C1066" i="1"/>
  <c r="C1057" i="1"/>
  <c r="C1033" i="1"/>
  <c r="C1021" i="1"/>
  <c r="C1017" i="1"/>
  <c r="C1009" i="1"/>
  <c r="C992" i="1"/>
  <c r="C988" i="1"/>
  <c r="C952" i="1"/>
  <c r="C1420" i="1"/>
  <c r="C1386" i="1"/>
  <c r="C1380" i="1"/>
  <c r="C1374" i="1"/>
  <c r="C1299" i="1"/>
  <c r="C1269" i="1"/>
  <c r="C1261" i="1"/>
  <c r="C1196" i="1"/>
  <c r="C1176" i="1"/>
  <c r="C1157" i="1"/>
  <c r="C1148" i="1"/>
  <c r="C1145" i="1"/>
  <c r="C1101" i="1"/>
  <c r="C1080" i="1"/>
  <c r="C1051" i="1"/>
  <c r="C1024" i="1"/>
  <c r="C984" i="1"/>
  <c r="C955" i="1"/>
  <c r="C939" i="1"/>
  <c r="C894" i="1"/>
  <c r="C845" i="1"/>
  <c r="C822" i="1"/>
  <c r="C815" i="1"/>
  <c r="C731" i="1"/>
  <c r="C1369" i="1"/>
  <c r="C1366" i="1"/>
  <c r="C1273" i="1"/>
  <c r="C1237" i="1"/>
  <c r="C1227" i="1"/>
  <c r="C1218" i="1"/>
  <c r="C1192" i="1"/>
  <c r="C1170" i="1"/>
  <c r="C1163" i="1"/>
  <c r="C1160" i="1"/>
  <c r="C1138" i="1"/>
  <c r="C1115" i="1"/>
  <c r="C1072" i="1"/>
  <c r="C976" i="1"/>
  <c r="C947" i="1"/>
  <c r="C935" i="1"/>
  <c r="C871" i="1"/>
  <c r="C852" i="1"/>
  <c r="C829" i="1"/>
  <c r="C807" i="1"/>
  <c r="C792" i="1"/>
  <c r="C770" i="1"/>
  <c r="C1359" i="1"/>
  <c r="C1326" i="1"/>
  <c r="C1306" i="1"/>
  <c r="C1290" i="1"/>
  <c r="C1276" i="1"/>
  <c r="C1246" i="1"/>
  <c r="C1233" i="1"/>
  <c r="C1212" i="1"/>
  <c r="C1206" i="1"/>
  <c r="C1184" i="1"/>
  <c r="C1132" i="1"/>
  <c r="C1129" i="1"/>
  <c r="C1121" i="1"/>
  <c r="C1109" i="1"/>
  <c r="C1106" i="1"/>
  <c r="C1062" i="1"/>
  <c r="C1016" i="1"/>
  <c r="C1008" i="1"/>
  <c r="C991" i="1"/>
  <c r="C979" i="1"/>
  <c r="C971" i="1"/>
  <c r="C1408" i="1"/>
  <c r="C1385" i="1"/>
  <c r="C1353" i="1"/>
  <c r="C1314" i="1"/>
  <c r="C1298" i="1"/>
  <c r="C1268" i="1"/>
  <c r="C1257" i="1"/>
  <c r="C1202" i="1"/>
  <c r="C1150" i="1"/>
  <c r="C1147" i="1"/>
  <c r="C1093" i="1"/>
  <c r="C1087" i="1"/>
  <c r="C1079" i="1"/>
  <c r="C1056" i="1"/>
  <c r="C1047" i="1"/>
  <c r="C1023" i="1"/>
  <c r="C983" i="1"/>
  <c r="C962" i="1"/>
  <c r="C954" i="1"/>
  <c r="C938" i="1"/>
  <c r="C926" i="1"/>
  <c r="C893" i="1"/>
  <c r="C865" i="1"/>
  <c r="C862" i="1"/>
  <c r="C1425" i="1"/>
  <c r="C1393" i="1"/>
  <c r="C1379" i="1"/>
  <c r="C1368" i="1"/>
  <c r="C1362" i="1"/>
  <c r="C1336" i="1"/>
  <c r="C1229" i="1"/>
  <c r="C1223" i="1"/>
  <c r="C1191" i="1"/>
  <c r="C1175" i="1"/>
  <c r="C1159" i="1"/>
  <c r="C1156" i="1"/>
  <c r="C1090" i="1"/>
  <c r="C1071" i="1"/>
  <c r="C1031" i="1"/>
  <c r="C986" i="1"/>
  <c r="C946" i="1"/>
  <c r="C879" i="1"/>
  <c r="C876" i="1"/>
  <c r="C802" i="1"/>
  <c r="C1325" i="1"/>
  <c r="C1305" i="1"/>
  <c r="C1275" i="1"/>
  <c r="C1232" i="1"/>
  <c r="C1217" i="1"/>
  <c r="C1208" i="1"/>
  <c r="C1205" i="1"/>
  <c r="C1183" i="1"/>
  <c r="C1162" i="1"/>
  <c r="C1140" i="1"/>
  <c r="C1137" i="1"/>
  <c r="C1114" i="1"/>
  <c r="C1082" i="1"/>
  <c r="C1067" i="1"/>
  <c r="C1039" i="1"/>
  <c r="C1026" i="1"/>
  <c r="C1015" i="1"/>
  <c r="C1007" i="1"/>
  <c r="C978" i="1"/>
  <c r="C957" i="1"/>
  <c r="C1358" i="1"/>
  <c r="C1352" i="1"/>
  <c r="C1313" i="1"/>
  <c r="C1297" i="1"/>
  <c r="C1267" i="1"/>
  <c r="C1245" i="1"/>
  <c r="C1186" i="1"/>
  <c r="C1146" i="1"/>
  <c r="C1143" i="1"/>
  <c r="C1131" i="1"/>
  <c r="C1105" i="1"/>
  <c r="C1102" i="1"/>
  <c r="C1086" i="1"/>
  <c r="C1078" i="1"/>
  <c r="C1061" i="1"/>
  <c r="C1052" i="1"/>
  <c r="C1022" i="1"/>
  <c r="C1002" i="1"/>
  <c r="C993" i="1"/>
  <c r="C961" i="1"/>
  <c r="C1384" i="1"/>
  <c r="C1375" i="1"/>
  <c r="C1367" i="1"/>
  <c r="C1300" i="1"/>
  <c r="C1283" i="1"/>
  <c r="C1256" i="1"/>
  <c r="C1238" i="1"/>
  <c r="C1228" i="1"/>
  <c r="C1201" i="1"/>
  <c r="C1190" i="1"/>
  <c r="C1171" i="1"/>
  <c r="C1149" i="1"/>
  <c r="C1092" i="1"/>
  <c r="C1070" i="1"/>
  <c r="C1046" i="1"/>
  <c r="C985" i="1"/>
  <c r="C969" i="1"/>
  <c r="C945" i="1"/>
  <c r="C892" i="1"/>
  <c r="C878" i="1"/>
  <c r="C850" i="1"/>
  <c r="C1430" i="1"/>
  <c r="C1335" i="1"/>
  <c r="C1321" i="1"/>
  <c r="C1304" i="1"/>
  <c r="C1274" i="1"/>
  <c r="C1231" i="1"/>
  <c r="C1222" i="1"/>
  <c r="C1213" i="1"/>
  <c r="C1193" i="1"/>
  <c r="C1107" i="1"/>
  <c r="C1089" i="1"/>
  <c r="C1073" i="1"/>
  <c r="C1038" i="1"/>
  <c r="C1014" i="1"/>
  <c r="C977" i="1"/>
  <c r="C964" i="1"/>
  <c r="C948" i="1"/>
  <c r="C933" i="1"/>
  <c r="C909" i="1"/>
  <c r="C903" i="1"/>
  <c r="C900" i="1"/>
  <c r="C875" i="1"/>
  <c r="C853" i="1"/>
  <c r="C830" i="1"/>
  <c r="C826" i="1"/>
  <c r="C793" i="1"/>
  <c r="C780" i="1"/>
  <c r="C953" i="1"/>
  <c r="C899" i="1"/>
  <c r="C883" i="1"/>
  <c r="C768" i="1"/>
  <c r="C760" i="1"/>
  <c r="C757" i="1"/>
  <c r="C714" i="1"/>
  <c r="C694" i="1"/>
  <c r="C931" i="1"/>
  <c r="C855" i="1"/>
  <c r="C846" i="1"/>
  <c r="C820" i="1"/>
  <c r="C816" i="1"/>
  <c r="C795" i="1"/>
  <c r="C775" i="1"/>
  <c r="C772" i="1"/>
  <c r="C748" i="1"/>
  <c r="C745" i="1"/>
  <c r="C740" i="1"/>
  <c r="C908" i="1"/>
  <c r="C869" i="1"/>
  <c r="C866" i="1"/>
  <c r="C859" i="1"/>
  <c r="C812" i="1"/>
  <c r="C736" i="1"/>
  <c r="C675" i="1"/>
  <c r="C656" i="1"/>
  <c r="C543" i="1"/>
  <c r="C777" i="1"/>
  <c r="C759" i="1"/>
  <c r="C753" i="1"/>
  <c r="C750" i="1"/>
  <c r="C742" i="1"/>
  <c r="C727" i="1"/>
  <c r="C719" i="1"/>
  <c r="C716" i="1"/>
  <c r="C927" i="1"/>
  <c r="C917" i="1"/>
  <c r="C898" i="1"/>
  <c r="C895" i="1"/>
  <c r="C854" i="1"/>
  <c r="C819" i="1"/>
  <c r="C680" i="1"/>
  <c r="C669" i="1"/>
  <c r="C904" i="1"/>
  <c r="C836" i="1"/>
  <c r="C721" i="1"/>
  <c r="C703" i="1"/>
  <c r="C634" i="1"/>
  <c r="C628" i="1"/>
  <c r="C625" i="1"/>
  <c r="C907" i="1"/>
  <c r="C884" i="1"/>
  <c r="C861" i="1"/>
  <c r="C844" i="1"/>
  <c r="C840" i="1"/>
  <c r="C831" i="1"/>
  <c r="C814" i="1"/>
  <c r="C783" i="1"/>
  <c r="C758" i="1"/>
  <c r="C738" i="1"/>
  <c r="C932" i="1"/>
  <c r="C776" i="1"/>
  <c r="C726" i="1"/>
  <c r="C614" i="1"/>
  <c r="C916" i="1"/>
  <c r="C870" i="1"/>
  <c r="C821" i="1"/>
  <c r="C679" i="1"/>
  <c r="C654" i="1"/>
  <c r="C624" i="1"/>
  <c r="C906" i="1"/>
  <c r="C860" i="1"/>
  <c r="C843" i="1"/>
  <c r="C813" i="1"/>
  <c r="C809" i="1"/>
  <c r="C785" i="1"/>
  <c r="C720" i="1"/>
  <c r="C691" i="1"/>
  <c r="C636" i="1"/>
  <c r="C92" i="1"/>
  <c r="C115" i="1"/>
  <c r="C193" i="1"/>
  <c r="C221" i="1"/>
  <c r="C290" i="1"/>
  <c r="C337" i="1"/>
  <c r="C400" i="1"/>
  <c r="C434" i="1"/>
  <c r="C468" i="1"/>
  <c r="C493" i="1"/>
  <c r="C535" i="1"/>
  <c r="C562" i="1"/>
  <c r="C569" i="1"/>
  <c r="C577" i="1"/>
  <c r="C588" i="1"/>
  <c r="C594" i="1"/>
  <c r="C603" i="1"/>
  <c r="C606" i="1"/>
  <c r="C641" i="1"/>
  <c r="C645" i="1"/>
  <c r="C688" i="1"/>
  <c r="C692" i="1"/>
  <c r="C697" i="1"/>
  <c r="C701" i="1"/>
  <c r="C729" i="1"/>
  <c r="C732" i="1"/>
  <c r="C744" i="1"/>
  <c r="C751" i="1"/>
  <c r="C455" i="1"/>
  <c r="C458" i="1"/>
  <c r="C475" i="1"/>
  <c r="C482" i="1"/>
  <c r="C500" i="1"/>
  <c r="C507" i="1"/>
  <c r="C511" i="1"/>
  <c r="C530" i="1"/>
  <c r="C539" i="1"/>
  <c r="C550" i="1"/>
  <c r="C556" i="1"/>
  <c r="C559" i="1"/>
  <c r="C563" i="1"/>
  <c r="C566" i="1"/>
  <c r="C575" i="1"/>
  <c r="C607" i="1"/>
  <c r="C622" i="1"/>
  <c r="C627" i="1"/>
  <c r="C630" i="1"/>
  <c r="C642" i="1"/>
  <c r="C649" i="1"/>
  <c r="C653" i="1"/>
  <c r="C702" i="1"/>
  <c r="C706" i="1"/>
  <c r="C710" i="1"/>
  <c r="C717" i="1"/>
  <c r="C741" i="1"/>
  <c r="C781" i="1"/>
  <c r="C407" i="1"/>
  <c r="C414" i="1"/>
  <c r="C421" i="1"/>
  <c r="C438" i="1"/>
  <c r="C449" i="1"/>
  <c r="C461" i="1"/>
  <c r="C479" i="1"/>
  <c r="C483" i="1"/>
  <c r="C486" i="1"/>
  <c r="C504" i="1"/>
  <c r="C508" i="1"/>
  <c r="C524" i="1"/>
  <c r="C536" i="1"/>
  <c r="C545" i="1"/>
  <c r="C554" i="1"/>
  <c r="C572" i="1"/>
  <c r="C583" i="1"/>
  <c r="C589" i="1"/>
  <c r="C597" i="1"/>
  <c r="C600" i="1"/>
  <c r="C618" i="1"/>
  <c r="C638" i="1"/>
  <c r="C650" i="1"/>
  <c r="C658" i="1"/>
  <c r="C666" i="1"/>
  <c r="C689" i="1"/>
  <c r="C698" i="1"/>
  <c r="C724" i="1"/>
  <c r="C737" i="1"/>
  <c r="C380" i="1"/>
  <c r="C62" i="1"/>
  <c r="C96" i="1"/>
  <c r="C162" i="1"/>
  <c r="C196" i="1"/>
  <c r="C247" i="1"/>
  <c r="C293" i="1"/>
  <c r="C370" i="1"/>
  <c r="C404" i="1"/>
  <c r="C453" i="1"/>
  <c r="C472" i="1"/>
  <c r="C497" i="1"/>
  <c r="C525" i="1"/>
  <c r="C551" i="1"/>
  <c r="C570" i="1"/>
  <c r="C595" i="1"/>
  <c r="C611" i="1"/>
  <c r="C619" i="1"/>
  <c r="C635" i="1"/>
  <c r="C643" i="1"/>
  <c r="C646" i="1"/>
  <c r="C676" i="1"/>
  <c r="C685" i="1"/>
  <c r="C693" i="1"/>
  <c r="C711" i="1"/>
  <c r="C756" i="1"/>
  <c r="C765" i="1"/>
  <c r="C823" i="1"/>
  <c r="C242" i="1"/>
  <c r="C288" i="1"/>
  <c r="C425" i="1"/>
  <c r="C450" i="1"/>
  <c r="C476" i="1"/>
  <c r="C494" i="1"/>
  <c r="C498" i="1"/>
  <c r="C501" i="1"/>
  <c r="C514" i="1"/>
  <c r="C540" i="1"/>
  <c r="C548" i="1"/>
  <c r="C560" i="1"/>
  <c r="C567" i="1"/>
  <c r="C578" i="1"/>
  <c r="C581" i="1"/>
  <c r="C584" i="1"/>
  <c r="C592" i="1"/>
  <c r="C604" i="1"/>
  <c r="C615" i="1"/>
  <c r="C623" i="1"/>
  <c r="C647" i="1"/>
  <c r="C655" i="1"/>
  <c r="C663" i="1"/>
  <c r="C670" i="1"/>
  <c r="C673" i="1"/>
  <c r="C683" i="1"/>
  <c r="C690" i="1"/>
  <c r="C749" i="1"/>
  <c r="C52" i="1"/>
  <c r="C141" i="1"/>
  <c r="C282" i="1"/>
  <c r="C394" i="1"/>
  <c r="C447" i="1"/>
  <c r="C473" i="1"/>
  <c r="C131" i="1"/>
  <c r="C177" i="1"/>
  <c r="C237" i="1"/>
  <c r="C255" i="1"/>
  <c r="C258" i="1"/>
  <c r="C350" i="1"/>
  <c r="C384" i="1"/>
  <c r="C445" i="1"/>
  <c r="C459" i="1"/>
  <c r="C462" i="1"/>
  <c r="C487" i="1"/>
  <c r="C515" i="1"/>
  <c r="C557" i="1"/>
  <c r="C590" i="1"/>
  <c r="C620" i="1"/>
  <c r="C639" i="1"/>
  <c r="C659" i="1"/>
  <c r="C704" i="1"/>
  <c r="C734" i="1"/>
  <c r="C761" i="1"/>
  <c r="C794" i="1"/>
  <c r="C799" i="1"/>
  <c r="C360" i="1"/>
  <c r="C432" i="1"/>
  <c r="C469" i="1"/>
  <c r="C76" i="1"/>
  <c r="C66" i="1"/>
  <c r="C121" i="1"/>
  <c r="C169" i="1"/>
  <c r="C172" i="1"/>
  <c r="C227" i="1"/>
  <c r="C250" i="1"/>
  <c r="C339" i="1"/>
  <c r="C374" i="1"/>
  <c r="C440" i="1"/>
  <c r="C463" i="1"/>
  <c r="C488" i="1"/>
  <c r="C534" i="1"/>
  <c r="C573" i="1"/>
  <c r="C579" i="1"/>
  <c r="C587" i="1"/>
  <c r="C601" i="1"/>
  <c r="C631" i="1"/>
  <c r="C640" i="1"/>
  <c r="C651" i="1"/>
  <c r="C695" i="1"/>
  <c r="C700" i="1"/>
  <c r="C712" i="1"/>
  <c r="C746" i="1"/>
  <c r="C430" i="1"/>
  <c r="C433" i="1"/>
  <c r="C454" i="1"/>
  <c r="C457" i="1"/>
  <c r="C470" i="1"/>
  <c r="C477" i="1"/>
  <c r="C495" i="1"/>
  <c r="C502" i="1"/>
  <c r="C526" i="1"/>
  <c r="C529" i="1"/>
  <c r="C532" i="1"/>
  <c r="C546" i="1"/>
  <c r="C552" i="1"/>
  <c r="C555" i="1"/>
  <c r="C558" i="1"/>
  <c r="C561" i="1"/>
  <c r="C585" i="1"/>
  <c r="C605" i="1"/>
  <c r="C616" i="1"/>
  <c r="C621" i="1"/>
  <c r="C644" i="1"/>
  <c r="C664" i="1"/>
  <c r="C668" i="1"/>
  <c r="C705" i="1"/>
  <c r="C715" i="1"/>
  <c r="C725" i="1"/>
  <c r="C743" i="1"/>
  <c r="C762" i="1"/>
  <c r="C805" i="1"/>
  <c r="C423" i="1"/>
  <c r="C451" i="1"/>
  <c r="C474" i="1"/>
  <c r="C478" i="1"/>
  <c r="C481" i="1"/>
  <c r="C499" i="1"/>
  <c r="C503" i="1"/>
  <c r="C506" i="1"/>
  <c r="C519" i="1"/>
  <c r="C549" i="1"/>
  <c r="C565" i="1"/>
  <c r="C568" i="1"/>
  <c r="C571" i="1"/>
  <c r="C574" i="1"/>
  <c r="C582" i="1"/>
  <c r="C593" i="1"/>
  <c r="C596" i="1"/>
  <c r="C599" i="1"/>
  <c r="C602" i="1"/>
  <c r="C609" i="1"/>
  <c r="C617" i="1"/>
  <c r="C648" i="1"/>
  <c r="C657" i="1"/>
  <c r="C661" i="1"/>
  <c r="C665" i="1"/>
  <c r="C674" i="1"/>
  <c r="C687" i="1"/>
  <c r="C696" i="1"/>
  <c r="C735" i="1"/>
  <c r="C791" i="1"/>
  <c r="C598" i="1"/>
  <c r="C682" i="1"/>
  <c r="C755" i="1"/>
  <c r="C769" i="1"/>
  <c r="C835" i="1"/>
  <c r="C877" i="1"/>
  <c r="C1019" i="1"/>
  <c r="C671" i="1"/>
  <c r="C699" i="1"/>
  <c r="C718" i="1"/>
  <c r="C779" i="1"/>
  <c r="C797" i="1"/>
  <c r="C810" i="1"/>
  <c r="C818" i="1"/>
  <c r="C857" i="1"/>
  <c r="C887" i="1"/>
  <c r="C923" i="1"/>
  <c r="C553" i="1"/>
  <c r="C662" i="1"/>
  <c r="C677" i="1"/>
  <c r="C752" i="1"/>
  <c r="C806" i="1"/>
  <c r="C874" i="1"/>
  <c r="C891" i="1"/>
  <c r="C910" i="1"/>
  <c r="C920" i="1"/>
  <c r="C995" i="1"/>
  <c r="C747" i="1"/>
  <c r="C798" i="1"/>
  <c r="C811" i="1"/>
  <c r="C827" i="1"/>
  <c r="C858" i="1"/>
  <c r="C936" i="1"/>
  <c r="C652" i="1"/>
  <c r="C672" i="1"/>
  <c r="C707" i="1"/>
  <c r="C739" i="1"/>
  <c r="C841" i="1"/>
  <c r="C882" i="1"/>
  <c r="C888" i="1"/>
  <c r="C901" i="1"/>
  <c r="C1124" i="1"/>
  <c r="C686" i="1"/>
  <c r="C730" i="1"/>
  <c r="C767" i="1"/>
  <c r="C803" i="1"/>
  <c r="C828" i="1"/>
  <c r="C837" i="1"/>
  <c r="C885" i="1"/>
  <c r="C1100" i="1"/>
  <c r="C722" i="1"/>
  <c r="C763" i="1"/>
  <c r="C788" i="1"/>
  <c r="C833" i="1"/>
  <c r="C863" i="1"/>
  <c r="C872" i="1"/>
  <c r="C889" i="1"/>
  <c r="C915" i="1"/>
  <c r="C632" i="1"/>
  <c r="C660" i="1"/>
  <c r="C681" i="1"/>
  <c r="C754" i="1"/>
  <c r="C824" i="1"/>
  <c r="C851" i="1"/>
  <c r="C934" i="1"/>
  <c r="C728" i="1"/>
  <c r="C764" i="1"/>
  <c r="C778" i="1"/>
  <c r="C800" i="1"/>
  <c r="C834" i="1"/>
  <c r="C880" i="1"/>
  <c r="C886" i="1"/>
  <c r="C709" i="1"/>
  <c r="C723" i="1"/>
  <c r="C782" i="1"/>
  <c r="C789" i="1"/>
  <c r="C817" i="1"/>
  <c r="C825" i="1"/>
  <c r="C839" i="1"/>
  <c r="C847" i="1"/>
  <c r="C864" i="1"/>
  <c r="C873" i="1"/>
  <c r="C890" i="1"/>
  <c r="C787" i="1"/>
  <c r="C881" i="1"/>
  <c r="C925" i="1"/>
  <c r="C989" i="1"/>
  <c r="C997" i="1"/>
  <c r="C1018" i="1"/>
  <c r="C1030" i="1"/>
  <c r="C1043" i="1"/>
  <c r="C1049" i="1"/>
  <c r="C1055" i="1"/>
  <c r="C1095" i="1"/>
  <c r="C1123" i="1"/>
  <c r="C1127" i="1"/>
  <c r="C1152" i="1"/>
  <c r="C1235" i="1"/>
  <c r="C1259" i="1"/>
  <c r="C1288" i="1"/>
  <c r="C1308" i="1"/>
  <c r="C1317" i="1"/>
  <c r="C1328" i="1"/>
  <c r="C1361" i="1"/>
  <c r="C1371" i="1"/>
  <c r="C1381" i="1"/>
  <c r="C1411" i="1"/>
  <c r="C1421" i="1"/>
  <c r="C1437" i="1"/>
  <c r="C1489" i="1"/>
  <c r="C867" i="1"/>
  <c r="C913" i="1"/>
  <c r="C928" i="1"/>
  <c r="C937" i="1"/>
  <c r="C941" i="1"/>
  <c r="C949" i="1"/>
  <c r="C965" i="1"/>
  <c r="C982" i="1"/>
  <c r="C1058" i="1"/>
  <c r="C1064" i="1"/>
  <c r="C1074" i="1"/>
  <c r="C1111" i="1"/>
  <c r="C1134" i="1"/>
  <c r="C1178" i="1"/>
  <c r="C1194" i="1"/>
  <c r="C1198" i="1"/>
  <c r="C1211" i="1"/>
  <c r="C1248" i="1"/>
  <c r="C1253" i="1"/>
  <c r="C1263" i="1"/>
  <c r="C1271" i="1"/>
  <c r="C1279" i="1"/>
  <c r="C1343" i="1"/>
  <c r="C1355" i="1"/>
  <c r="C1388" i="1"/>
  <c r="C1397" i="1"/>
  <c r="C1402" i="1"/>
  <c r="C1407" i="1"/>
  <c r="C1415" i="1"/>
  <c r="C1478" i="1"/>
  <c r="C1517" i="1"/>
  <c r="C1527" i="1"/>
  <c r="C1567" i="1"/>
  <c r="C990" i="1"/>
  <c r="C998" i="1"/>
  <c r="C1011" i="1"/>
  <c r="C1035" i="1"/>
  <c r="C1096" i="1"/>
  <c r="C1108" i="1"/>
  <c r="C1117" i="1"/>
  <c r="C1128" i="1"/>
  <c r="C1165" i="1"/>
  <c r="C1169" i="1"/>
  <c r="C1214" i="1"/>
  <c r="C1220" i="1"/>
  <c r="C1226" i="1"/>
  <c r="C1236" i="1"/>
  <c r="C1242" i="1"/>
  <c r="C1284" i="1"/>
  <c r="C1289" i="1"/>
  <c r="C1293" i="1"/>
  <c r="C1301" i="1"/>
  <c r="C1309" i="1"/>
  <c r="C1318" i="1"/>
  <c r="C1322" i="1"/>
  <c r="C1329" i="1"/>
  <c r="C1333" i="1"/>
  <c r="C1339" i="1"/>
  <c r="C1365" i="1"/>
  <c r="C1372" i="1"/>
  <c r="C1428" i="1"/>
  <c r="C1431" i="1"/>
  <c r="C1486" i="1"/>
  <c r="C1504" i="1"/>
  <c r="C1524" i="1"/>
  <c r="C1554" i="1"/>
  <c r="C942" i="1"/>
  <c r="C950" i="1"/>
  <c r="C966" i="1"/>
  <c r="C975" i="1"/>
  <c r="C1003" i="1"/>
  <c r="C1044" i="1"/>
  <c r="C1050" i="1"/>
  <c r="C1075" i="1"/>
  <c r="C1144" i="1"/>
  <c r="C1153" i="1"/>
  <c r="C1172" i="1"/>
  <c r="C1179" i="1"/>
  <c r="C1187" i="1"/>
  <c r="C1195" i="1"/>
  <c r="C1199" i="1"/>
  <c r="C1239" i="1"/>
  <c r="C1249" i="1"/>
  <c r="C1254" i="1"/>
  <c r="C1260" i="1"/>
  <c r="C1264" i="1"/>
  <c r="C1272" i="1"/>
  <c r="C1280" i="1"/>
  <c r="C1349" i="1"/>
  <c r="C1376" i="1"/>
  <c r="C1382" i="1"/>
  <c r="C1389" i="1"/>
  <c r="C1398" i="1"/>
  <c r="C1403" i="1"/>
  <c r="C1412" i="1"/>
  <c r="C1422" i="1"/>
  <c r="C1438" i="1"/>
  <c r="C1445" i="1"/>
  <c r="C1475" i="1"/>
  <c r="C733" i="1"/>
  <c r="C766" i="1"/>
  <c r="C868" i="1"/>
  <c r="C896" i="1"/>
  <c r="C905" i="1"/>
  <c r="C929" i="1"/>
  <c r="C958" i="1"/>
  <c r="C999" i="1"/>
  <c r="C1012" i="1"/>
  <c r="C1027" i="1"/>
  <c r="C1036" i="1"/>
  <c r="C1053" i="1"/>
  <c r="C1059" i="1"/>
  <c r="C1065" i="1"/>
  <c r="C1083" i="1"/>
  <c r="C1103" i="1"/>
  <c r="C1112" i="1"/>
  <c r="C1135" i="1"/>
  <c r="C1141" i="1"/>
  <c r="C1285" i="1"/>
  <c r="C1294" i="1"/>
  <c r="C1302" i="1"/>
  <c r="C1310" i="1"/>
  <c r="C1319" i="1"/>
  <c r="C1330" i="1"/>
  <c r="C1356" i="1"/>
  <c r="C1373" i="1"/>
  <c r="C1419" i="1"/>
  <c r="C1452" i="1"/>
  <c r="C1462" i="1"/>
  <c r="C1472" i="1"/>
  <c r="C1483" i="1"/>
  <c r="C848" i="1"/>
  <c r="C902" i="1"/>
  <c r="C911" i="1"/>
  <c r="C943" i="1"/>
  <c r="C951" i="1"/>
  <c r="C967" i="1"/>
  <c r="C987" i="1"/>
  <c r="C1020" i="1"/>
  <c r="C1032" i="1"/>
  <c r="C1068" i="1"/>
  <c r="C1076" i="1"/>
  <c r="C1118" i="1"/>
  <c r="C1166" i="1"/>
  <c r="C1180" i="1"/>
  <c r="C1188" i="1"/>
  <c r="C1209" i="1"/>
  <c r="C1215" i="1"/>
  <c r="C1221" i="1"/>
  <c r="C1250" i="1"/>
  <c r="C1265" i="1"/>
  <c r="C1281" i="1"/>
  <c r="C1323" i="1"/>
  <c r="C1334" i="1"/>
  <c r="C1340" i="1"/>
  <c r="C1345" i="1"/>
  <c r="C1350" i="1"/>
  <c r="C1390" i="1"/>
  <c r="C1399" i="1"/>
  <c r="C1432" i="1"/>
  <c r="C959" i="1"/>
  <c r="C963" i="1"/>
  <c r="C1013" i="1"/>
  <c r="C1028" i="1"/>
  <c r="C1037" i="1"/>
  <c r="C1041" i="1"/>
  <c r="C1045" i="1"/>
  <c r="C1084" i="1"/>
  <c r="C1088" i="1"/>
  <c r="C1098" i="1"/>
  <c r="C1154" i="1"/>
  <c r="C1173" i="1"/>
  <c r="C1200" i="1"/>
  <c r="C1224" i="1"/>
  <c r="C1230" i="1"/>
  <c r="C1240" i="1"/>
  <c r="C1255" i="1"/>
  <c r="C1295" i="1"/>
  <c r="C1303" i="1"/>
  <c r="C1311" i="1"/>
  <c r="C1315" i="1"/>
  <c r="C1320" i="1"/>
  <c r="C1337" i="1"/>
  <c r="C1363" i="1"/>
  <c r="C1377" i="1"/>
  <c r="C1383" i="1"/>
  <c r="C1423" i="1"/>
  <c r="C1426" i="1"/>
  <c r="C1491" i="1"/>
  <c r="C1502" i="1"/>
  <c r="C1542" i="1"/>
  <c r="C1552" i="1"/>
  <c r="C1582" i="1"/>
  <c r="C774" i="1"/>
  <c r="C796" i="1"/>
  <c r="C804" i="1"/>
  <c r="C849" i="1"/>
  <c r="C856" i="1"/>
  <c r="C897" i="1"/>
  <c r="C921" i="1"/>
  <c r="C930" i="1"/>
  <c r="C968" i="1"/>
  <c r="C972" i="1"/>
  <c r="C980" i="1"/>
  <c r="C1005" i="1"/>
  <c r="C1048" i="1"/>
  <c r="C1054" i="1"/>
  <c r="C1060" i="1"/>
  <c r="C1104" i="1"/>
  <c r="C1189" i="1"/>
  <c r="C1203" i="1"/>
  <c r="C1244" i="1"/>
  <c r="C1258" i="1"/>
  <c r="C1277" i="1"/>
  <c r="C1341" i="1"/>
  <c r="C1346" i="1"/>
  <c r="C1357" i="1"/>
  <c r="C1395" i="1"/>
  <c r="C1405" i="1"/>
  <c r="C1436" i="1"/>
  <c r="C1480" i="1"/>
  <c r="C1509" i="1"/>
  <c r="C1529" i="1"/>
  <c r="C1549" i="1"/>
  <c r="C1579" i="1"/>
  <c r="C771" i="1"/>
  <c r="C786" i="1"/>
  <c r="C790" i="1"/>
  <c r="C912" i="1"/>
  <c r="C918" i="1"/>
  <c r="C996" i="1"/>
  <c r="C1001" i="1"/>
  <c r="C1029" i="1"/>
  <c r="C1042" i="1"/>
  <c r="C1063" i="1"/>
  <c r="C1119" i="1"/>
  <c r="C1126" i="1"/>
  <c r="C1133" i="1"/>
  <c r="C1161" i="1"/>
  <c r="C1210" i="1"/>
  <c r="C1216" i="1"/>
  <c r="C1247" i="1"/>
  <c r="C1287" i="1"/>
  <c r="C1324" i="1"/>
  <c r="C1360" i="1"/>
  <c r="C1414" i="1"/>
  <c r="C1433" i="1"/>
  <c r="C1450" i="1"/>
  <c r="C1460" i="1"/>
  <c r="C1470" i="1"/>
  <c r="C1477" i="1"/>
  <c r="C1488" i="1"/>
  <c r="C956" i="1"/>
  <c r="C973" i="1"/>
  <c r="C981" i="1"/>
  <c r="C1006" i="1"/>
  <c r="C1025" i="1"/>
  <c r="C1081" i="1"/>
  <c r="C1099" i="1"/>
  <c r="C1116" i="1"/>
  <c r="C1139" i="1"/>
  <c r="C1155" i="1"/>
  <c r="C1164" i="1"/>
  <c r="C1168" i="1"/>
  <c r="C1174" i="1"/>
  <c r="C1182" i="1"/>
  <c r="C1197" i="1"/>
  <c r="C1204" i="1"/>
  <c r="C1219" i="1"/>
  <c r="C1225" i="1"/>
  <c r="C1241" i="1"/>
  <c r="C1252" i="1"/>
  <c r="C1270" i="1"/>
  <c r="C1278" i="1"/>
  <c r="C1332" i="1"/>
  <c r="C1338" i="1"/>
  <c r="C1342" i="1"/>
  <c r="C1347" i="1"/>
  <c r="C1364" i="1"/>
  <c r="C1378" i="1"/>
  <c r="C1396" i="1"/>
  <c r="C1406" i="1"/>
  <c r="C1427" i="1"/>
  <c r="C1447" i="1"/>
  <c r="C1492" i="1"/>
  <c r="C919" i="1"/>
  <c r="C1000" i="1"/>
  <c r="C1122" i="1"/>
  <c r="C1251" i="1"/>
  <c r="C1344" i="1"/>
  <c r="C1443" i="1"/>
  <c r="C1468" i="1"/>
  <c r="C1500" i="1"/>
  <c r="C1525" i="1"/>
  <c r="C1550" i="1"/>
  <c r="C1575" i="1"/>
  <c r="C1446" i="1"/>
  <c r="C1471" i="1"/>
  <c r="C1503" i="1"/>
  <c r="C1528" i="1"/>
  <c r="C1553" i="1"/>
  <c r="C1578" i="1"/>
  <c r="C1463" i="1"/>
  <c r="C1497" i="1"/>
  <c r="C1520" i="1"/>
  <c r="C1545" i="1"/>
  <c r="C1570" i="1"/>
  <c r="C1584" i="1"/>
  <c r="C970" i="1"/>
  <c r="C1091" i="1"/>
  <c r="C1177" i="1"/>
  <c r="C1327" i="1"/>
  <c r="C1441" i="1"/>
  <c r="C1466" i="1"/>
  <c r="C1523" i="1"/>
  <c r="C1548" i="1"/>
  <c r="C1573" i="1"/>
  <c r="C960" i="1"/>
  <c r="C1085" i="1"/>
  <c r="C1158" i="1"/>
  <c r="C1312" i="1"/>
  <c r="C1418" i="1"/>
  <c r="C1458" i="1"/>
  <c r="C1515" i="1"/>
  <c r="C1540" i="1"/>
  <c r="C1565" i="1"/>
  <c r="C1413" i="1"/>
  <c r="C1461" i="1"/>
  <c r="C1518" i="1"/>
  <c r="C1543" i="1"/>
  <c r="C1568" i="1"/>
  <c r="C1585" i="1"/>
  <c r="C838" i="1"/>
  <c r="C940" i="1"/>
  <c r="C1040" i="1"/>
  <c r="C1142" i="1"/>
  <c r="C1292" i="1"/>
  <c r="C1410" i="1"/>
  <c r="C1453" i="1"/>
  <c r="C1495" i="1"/>
  <c r="C1510" i="1"/>
  <c r="C1535" i="1"/>
  <c r="C1560" i="1"/>
  <c r="C1282" i="1"/>
  <c r="C1400" i="1"/>
  <c r="C1456" i="1"/>
  <c r="C1484" i="1"/>
  <c r="C1513" i="1"/>
  <c r="C1538" i="1"/>
  <c r="C1563" i="1"/>
  <c r="C1448" i="1"/>
  <c r="C1473" i="1"/>
  <c r="C1487" i="1"/>
  <c r="C1505" i="1"/>
  <c r="C1530" i="1"/>
  <c r="C1555" i="1"/>
  <c r="C1580" i="1"/>
  <c r="C808" i="1"/>
  <c r="C924" i="1"/>
  <c r="C1010" i="1"/>
  <c r="C1125" i="1"/>
  <c r="C1262" i="1"/>
  <c r="C1370" i="1"/>
  <c r="C1451" i="1"/>
  <c r="C1496" i="1"/>
  <c r="C1508" i="1"/>
  <c r="C1533" i="1"/>
  <c r="C1558" i="1"/>
  <c r="C1583" i="1"/>
</calcChain>
</file>

<file path=xl/sharedStrings.xml><?xml version="1.0" encoding="utf-8"?>
<sst xmlns="http://schemas.openxmlformats.org/spreadsheetml/2006/main" count="11511" uniqueCount="6934">
  <si>
    <t>Company Name</t>
  </si>
  <si>
    <t>Account_Name</t>
  </si>
  <si>
    <t>Account_ContactCount</t>
  </si>
  <si>
    <t>Record ID</t>
  </si>
  <si>
    <t>First Name</t>
  </si>
  <si>
    <t>Last Name</t>
  </si>
  <si>
    <t>Attended Health-ISAC Conference</t>
  </si>
  <si>
    <t>Attended Webinar</t>
  </si>
  <si>
    <t>Email</t>
  </si>
  <si>
    <t>Email Domain</t>
  </si>
  <si>
    <t>First Deal Created Date</t>
  </si>
  <si>
    <t>Job Title</t>
  </si>
  <si>
    <t>Lifecycle Stage</t>
  </si>
  <si>
    <t>Mobile Phone Number</t>
  </si>
  <si>
    <t>Number of Associated Deals</t>
  </si>
  <si>
    <t>is_hot</t>
  </si>
  <si>
    <t>PDS Medical Group</t>
  </si>
  <si>
    <t>81433944219</t>
  </si>
  <si>
    <t>William</t>
  </si>
  <si>
    <t>Lan</t>
  </si>
  <si>
    <t>william.lan@pdsmedicalgroupgreenvalley.com</t>
  </si>
  <si>
    <t>Identity and Access Management &amp; Epic Security Analyst, IT - Information security</t>
  </si>
  <si>
    <t>Disqualified</t>
  </si>
  <si>
    <t>3C - Medical Intelligence</t>
  </si>
  <si>
    <t>Peter</t>
  </si>
  <si>
    <t>Buttgereit</t>
  </si>
  <si>
    <t>No</t>
  </si>
  <si>
    <t>peter.buttgereit@3c-medint.com</t>
  </si>
  <si>
    <t>3c-medint.com</t>
  </si>
  <si>
    <t>Head QM/RA</t>
  </si>
  <si>
    <t>Sales Qualified Lead</t>
  </si>
  <si>
    <t>3EO Health Inc 10754</t>
  </si>
  <si>
    <t>Sana</t>
  </si>
  <si>
    <t>Ahmed</t>
  </si>
  <si>
    <t>Yes</t>
  </si>
  <si>
    <t>sahmed@3eohealth.com</t>
  </si>
  <si>
    <t>3eohealth.com</t>
  </si>
  <si>
    <t>Software Lead</t>
  </si>
  <si>
    <t>Lead</t>
  </si>
  <si>
    <t>3M</t>
  </si>
  <si>
    <t>102720404767</t>
  </si>
  <si>
    <t>Kristi</t>
  </si>
  <si>
    <t>Culligan</t>
  </si>
  <si>
    <t>kculligan@3m.com</t>
  </si>
  <si>
    <t>OT Cybersecurity Manager</t>
  </si>
  <si>
    <t>New</t>
  </si>
  <si>
    <t>3M Israel</t>
  </si>
  <si>
    <t>Lacey</t>
  </si>
  <si>
    <t>Chessor</t>
  </si>
  <si>
    <t>lchessor@mmm.com</t>
  </si>
  <si>
    <t>mmm.com</t>
  </si>
  <si>
    <t>Senior RA Manager</t>
  </si>
  <si>
    <t>4DMedical</t>
  </si>
  <si>
    <t>81443296280</t>
  </si>
  <si>
    <t>Erik</t>
  </si>
  <si>
    <t>Anderson</t>
  </si>
  <si>
    <t>eanderson@4dmedical.com</t>
  </si>
  <si>
    <t>Vice President, IT &amp; Security</t>
  </si>
  <si>
    <t>Abbott Laboratories</t>
  </si>
  <si>
    <t>Michael</t>
  </si>
  <si>
    <t>Roberts</t>
  </si>
  <si>
    <t>michael.roberts2@abbott.com</t>
  </si>
  <si>
    <t>abbott.com</t>
  </si>
  <si>
    <t>Senior Manager, Product Security</t>
  </si>
  <si>
    <t>81407018815</t>
  </si>
  <si>
    <t>Diana</t>
  </si>
  <si>
    <t>Gcih</t>
  </si>
  <si>
    <t>dgcih@abbott.com</t>
  </si>
  <si>
    <t>Cyber Security Specialist</t>
  </si>
  <si>
    <t>81416833180</t>
  </si>
  <si>
    <t>Christopher</t>
  </si>
  <si>
    <t>Hazelwood</t>
  </si>
  <si>
    <t>chazelwood@abbott.com</t>
  </si>
  <si>
    <t>Cybersecurity Manager</t>
  </si>
  <si>
    <t>81407018816</t>
  </si>
  <si>
    <t>Ashley</t>
  </si>
  <si>
    <t>Randle</t>
  </si>
  <si>
    <t>arandle@abbott.com</t>
  </si>
  <si>
    <t>Senior Cybersecurity Analyst</t>
  </si>
  <si>
    <t>81408266031</t>
  </si>
  <si>
    <t>Warner</t>
  </si>
  <si>
    <t>kwarner@abbott.com</t>
  </si>
  <si>
    <t>Director, Cybersecurity Outreach and Engagement</t>
  </si>
  <si>
    <t>81415694412</t>
  </si>
  <si>
    <t>Everett</t>
  </si>
  <si>
    <t>Alcos</t>
  </si>
  <si>
    <t>ealcos@abbott.com</t>
  </si>
  <si>
    <t>Director, Cyber Threat Action Center</t>
  </si>
  <si>
    <t>81418251820</t>
  </si>
  <si>
    <t>Donna</t>
  </si>
  <si>
    <t>Verga</t>
  </si>
  <si>
    <t>dverga@abbott.com</t>
  </si>
  <si>
    <t>Senior Manager - Cybersecurity Awareness &amp; Training</t>
  </si>
  <si>
    <t>81424649052</t>
  </si>
  <si>
    <t>Jerry</t>
  </si>
  <si>
    <t>Esebanme</t>
  </si>
  <si>
    <t>jesebanme@abbott.com</t>
  </si>
  <si>
    <t>IT DEVELOPMENT PROGRAM SECURITY</t>
  </si>
  <si>
    <t>81433887367</t>
  </si>
  <si>
    <t>Bryan</t>
  </si>
  <si>
    <t>Gutzman</t>
  </si>
  <si>
    <t>bgutzman@abbott.com</t>
  </si>
  <si>
    <t>Manager Cyber Threat Engineering</t>
  </si>
  <si>
    <t>81433887373</t>
  </si>
  <si>
    <t>Agathe</t>
  </si>
  <si>
    <t>Merle</t>
  </si>
  <si>
    <t>amerle@abbott.com</t>
  </si>
  <si>
    <t>Senior Manager Cybersecurity</t>
  </si>
  <si>
    <t>81433901456</t>
  </si>
  <si>
    <t>Eric</t>
  </si>
  <si>
    <t>Bonsu</t>
  </si>
  <si>
    <t>ebonsu@abbott.com</t>
  </si>
  <si>
    <t>Senior Specialist Cybersecurity, Enterprise Cybersecurity Governance</t>
  </si>
  <si>
    <t>81433944209</t>
  </si>
  <si>
    <t>Adam</t>
  </si>
  <si>
    <t>Wolkenhauer</t>
  </si>
  <si>
    <t>awolkenhauer@abbott.com</t>
  </si>
  <si>
    <t>Director, Cybersecurity Risk</t>
  </si>
  <si>
    <t>81433952581</t>
  </si>
  <si>
    <t>David</t>
  </si>
  <si>
    <t>Odland</t>
  </si>
  <si>
    <t>dodland@abbott.com</t>
  </si>
  <si>
    <t>Sr. Specialist Cybersecurity/Splunk Administrator</t>
  </si>
  <si>
    <t>81433915975</t>
  </si>
  <si>
    <t>Ekta</t>
  </si>
  <si>
    <t>Sirwani</t>
  </si>
  <si>
    <t>esirwani@abbott.com</t>
  </si>
  <si>
    <t>Senior Cybersecurity Engineer</t>
  </si>
  <si>
    <t>81433929794</t>
  </si>
  <si>
    <t>Azeem</t>
  </si>
  <si>
    <t>Mohammed</t>
  </si>
  <si>
    <t>amohammed@abbott.com</t>
  </si>
  <si>
    <t>Cyber Security Analyst</t>
  </si>
  <si>
    <t>81433915976</t>
  </si>
  <si>
    <t>Kellie</t>
  </si>
  <si>
    <t>May</t>
  </si>
  <si>
    <t>kmay@abbott.com</t>
  </si>
  <si>
    <t>Sr. Manager Cybersecurity Tools</t>
  </si>
  <si>
    <t>81433872715</t>
  </si>
  <si>
    <t>Jennifer</t>
  </si>
  <si>
    <t>Gilstrap</t>
  </si>
  <si>
    <t>jgilstrap@abbott.com</t>
  </si>
  <si>
    <t>81433915984</t>
  </si>
  <si>
    <t>Carrie</t>
  </si>
  <si>
    <t>Kleczka</t>
  </si>
  <si>
    <t>ckleczka@abbott.com</t>
  </si>
  <si>
    <t>Cybersecurity Specialist - Outreach and Engagement</t>
  </si>
  <si>
    <t>81433952592</t>
  </si>
  <si>
    <t>Bridget</t>
  </si>
  <si>
    <t>Andrews</t>
  </si>
  <si>
    <t>bandrews@abbott.com</t>
  </si>
  <si>
    <t>Environmental Health Safety and Security Manager</t>
  </si>
  <si>
    <t>81433952595</t>
  </si>
  <si>
    <t>Joseph</t>
  </si>
  <si>
    <t>Korcheck</t>
  </si>
  <si>
    <t>jkorcheck@abbott.com</t>
  </si>
  <si>
    <t>81433887354</t>
  </si>
  <si>
    <t>Aima</t>
  </si>
  <si>
    <t>Akepede</t>
  </si>
  <si>
    <t>aakepede@abbott.com</t>
  </si>
  <si>
    <t>Sr. Cybersecurity Analyst</t>
  </si>
  <si>
    <t>81433872679</t>
  </si>
  <si>
    <t>Elmer</t>
  </si>
  <si>
    <t>Peters</t>
  </si>
  <si>
    <t>epeters@abbott.com</t>
  </si>
  <si>
    <t>Senior Manager, IT Security and Privacy - Privacy Steward</t>
  </si>
  <si>
    <t>81433262627</t>
  </si>
  <si>
    <t>Abin</t>
  </si>
  <si>
    <t>Shrestha</t>
  </si>
  <si>
    <t>ashrestha@abbott.com</t>
  </si>
  <si>
    <t>Cybersecurity Software Systems Engineer</t>
  </si>
  <si>
    <t>81433929784</t>
  </si>
  <si>
    <t>Ernest</t>
  </si>
  <si>
    <t>Figler</t>
  </si>
  <si>
    <t>efigler@abbott.com</t>
  </si>
  <si>
    <t>Sr. Cybersecurity Specialist / Global Information Security</t>
  </si>
  <si>
    <t>81437600023</t>
  </si>
  <si>
    <t>Jim</t>
  </si>
  <si>
    <t>Parks</t>
  </si>
  <si>
    <t>jparks@abbott.com</t>
  </si>
  <si>
    <t>Medical Products Cybersecurity Network Architect</t>
  </si>
  <si>
    <t>81440605550</t>
  </si>
  <si>
    <t>Lucas</t>
  </si>
  <si>
    <t>Edgar</t>
  </si>
  <si>
    <t>ledgar@abbott.com</t>
  </si>
  <si>
    <t>Senior Cyber Security Analyst</t>
  </si>
  <si>
    <t>81440605559</t>
  </si>
  <si>
    <t>John</t>
  </si>
  <si>
    <t>Johnson</t>
  </si>
  <si>
    <t>jjohnson@abbott.com</t>
  </si>
  <si>
    <t>Electrophysiology R&amp;D Systems - Cybersecurity</t>
  </si>
  <si>
    <t>81440605553</t>
  </si>
  <si>
    <t>Mark</t>
  </si>
  <si>
    <t>Burge</t>
  </si>
  <si>
    <t>mburge@abbott.com</t>
  </si>
  <si>
    <t>Cyber Security Manager</t>
  </si>
  <si>
    <t>81434651011</t>
  </si>
  <si>
    <t>Byron</t>
  </si>
  <si>
    <t>Mathews</t>
  </si>
  <si>
    <t>bmathews@abbott.com</t>
  </si>
  <si>
    <t>Senior Manager, Cybersecurity</t>
  </si>
  <si>
    <t>81434651012</t>
  </si>
  <si>
    <t>Kellen</t>
  </si>
  <si>
    <t>Montague</t>
  </si>
  <si>
    <t>kmontague@abbott.com</t>
  </si>
  <si>
    <t>Sr. Analyst Cybersecurity</t>
  </si>
  <si>
    <t>81434355385</t>
  </si>
  <si>
    <t>Matthew</t>
  </si>
  <si>
    <t>Jacobs</t>
  </si>
  <si>
    <t>mjacobs@abbott.com</t>
  </si>
  <si>
    <t>Senior Cybersecurity Architect</t>
  </si>
  <si>
    <t>81434651004</t>
  </si>
  <si>
    <t>Harelda</t>
  </si>
  <si>
    <t>Manzanares</t>
  </si>
  <si>
    <t>hmanzanares@abbott.com</t>
  </si>
  <si>
    <t>Cybersecurity Compliance Manager</t>
  </si>
  <si>
    <t>81435480681</t>
  </si>
  <si>
    <t>Douglas</t>
  </si>
  <si>
    <t>Torseth</t>
  </si>
  <si>
    <t>dtorseth@abbott.com</t>
  </si>
  <si>
    <t>81434636651</t>
  </si>
  <si>
    <t>Briley</t>
  </si>
  <si>
    <t>Kellison</t>
  </si>
  <si>
    <t>bkellison@abbott.com</t>
  </si>
  <si>
    <t>Senior Cyber Engineer</t>
  </si>
  <si>
    <t>81435480677</t>
  </si>
  <si>
    <t>Haley</t>
  </si>
  <si>
    <t>mhaley@abbott.com</t>
  </si>
  <si>
    <t>Cyber Security &amp; Embedded Software Engineer</t>
  </si>
  <si>
    <t>81440605582</t>
  </si>
  <si>
    <t>Marcus</t>
  </si>
  <si>
    <t>Marley</t>
  </si>
  <si>
    <t>mmarley@abbott.com</t>
  </si>
  <si>
    <t>Sr. Manager, Cybersecurity</t>
  </si>
  <si>
    <t>81440605571</t>
  </si>
  <si>
    <t>Arnab</t>
  </si>
  <si>
    <t>Ray</t>
  </si>
  <si>
    <t>aray@abbott.com</t>
  </si>
  <si>
    <t>Director of Cybersecurity, (Product and Manufacturing)</t>
  </si>
  <si>
    <t>81434355467</t>
  </si>
  <si>
    <t>Dave</t>
  </si>
  <si>
    <t>Mrozek</t>
  </si>
  <si>
    <t>dmrozek@abbott.com</t>
  </si>
  <si>
    <t>Sr Manager, Operations Business Analytics &amp; Manufacturing Cybersecurity</t>
  </si>
  <si>
    <t>81434455813</t>
  </si>
  <si>
    <t>Andrew</t>
  </si>
  <si>
    <t>Altepeter</t>
  </si>
  <si>
    <t>aaltepeter@abbott.com</t>
  </si>
  <si>
    <t>Cybersecurity Engineer</t>
  </si>
  <si>
    <t>81434455812</t>
  </si>
  <si>
    <t>Weitzel</t>
  </si>
  <si>
    <t>jweitzel@abbott.com</t>
  </si>
  <si>
    <t>Manager Software Design Quality Cybersecurity</t>
  </si>
  <si>
    <t>81434443544</t>
  </si>
  <si>
    <t>Fowzia</t>
  </si>
  <si>
    <t>Malek</t>
  </si>
  <si>
    <t>fmalek@abbott.com</t>
  </si>
  <si>
    <t>Sr. CyberSecurity/Software QA Engineer (Lead)</t>
  </si>
  <si>
    <t>81434443560</t>
  </si>
  <si>
    <t>Brenda</t>
  </si>
  <si>
    <t>Perez</t>
  </si>
  <si>
    <t>bperez@abbott.com</t>
  </si>
  <si>
    <t>Business Information Security Officer, Enterprise Cybersecurity</t>
  </si>
  <si>
    <t>81442455899</t>
  </si>
  <si>
    <t>James</t>
  </si>
  <si>
    <t>Meade</t>
  </si>
  <si>
    <t>jmeade@abbott.com</t>
  </si>
  <si>
    <t>Manager, CyberSecurity SIEM Operations</t>
  </si>
  <si>
    <t>81442455894</t>
  </si>
  <si>
    <t>Camden</t>
  </si>
  <si>
    <t>Herzfeld</t>
  </si>
  <si>
    <t>cherzfeld@abbott.com</t>
  </si>
  <si>
    <t>Program Manger/Sr. IT Project Manager - Product Technology and Security</t>
  </si>
  <si>
    <t>81440780032</t>
  </si>
  <si>
    <t>Chaz</t>
  </si>
  <si>
    <t>Dominguez</t>
  </si>
  <si>
    <t>cdominguez@abbott.com</t>
  </si>
  <si>
    <t>Cybersecurity Architect</t>
  </si>
  <si>
    <t>81442455922</t>
  </si>
  <si>
    <t>Lois</t>
  </si>
  <si>
    <t>Wang</t>
  </si>
  <si>
    <t>lwang@abbott.com</t>
  </si>
  <si>
    <t>Director Cyber Security Governance</t>
  </si>
  <si>
    <t>81441165206</t>
  </si>
  <si>
    <t>Kingsley</t>
  </si>
  <si>
    <t>Nwankwu</t>
  </si>
  <si>
    <t>knwankwu@abbott.com</t>
  </si>
  <si>
    <t>Snr Cyber Security Specialist</t>
  </si>
  <si>
    <t>81441165215</t>
  </si>
  <si>
    <t>Ankur</t>
  </si>
  <si>
    <t>Mishra</t>
  </si>
  <si>
    <t>amishra@abbott.com</t>
  </si>
  <si>
    <t>81441309834</t>
  </si>
  <si>
    <t>Aaron</t>
  </si>
  <si>
    <t>Boggs</t>
  </si>
  <si>
    <t>aboggs@abbott.com</t>
  </si>
  <si>
    <t>Senior Specialist Cybersecurity</t>
  </si>
  <si>
    <t>81442724939</t>
  </si>
  <si>
    <t>Keith</t>
  </si>
  <si>
    <t>kroberts@abbott.com</t>
  </si>
  <si>
    <t>Manager - Cyber Incident Response Team</t>
  </si>
  <si>
    <t>81442724945</t>
  </si>
  <si>
    <t>Lauren</t>
  </si>
  <si>
    <t>White</t>
  </si>
  <si>
    <t>lwhite@abbott.com</t>
  </si>
  <si>
    <t>Director of Cybersecurity</t>
  </si>
  <si>
    <t>81442567178</t>
  </si>
  <si>
    <t>Blair</t>
  </si>
  <si>
    <t>dblair@abbott.com</t>
  </si>
  <si>
    <t>Cyber Security Engineer</t>
  </si>
  <si>
    <t>81442540546</t>
  </si>
  <si>
    <t>Abdikhaliq</t>
  </si>
  <si>
    <t>Farah</t>
  </si>
  <si>
    <t>afarah@abbott.com</t>
  </si>
  <si>
    <t>81442553094</t>
  </si>
  <si>
    <t>Monaghan</t>
  </si>
  <si>
    <t>mmonaghan@abbott.com</t>
  </si>
  <si>
    <t>Environmental, Health, Safety &amp; Security Manager</t>
  </si>
  <si>
    <t>81442711582</t>
  </si>
  <si>
    <t>Halima</t>
  </si>
  <si>
    <t>Cisa</t>
  </si>
  <si>
    <t>hcisa@abbott.com</t>
  </si>
  <si>
    <t>Sr. Cybersecurity Specialist | IT Quality Vendor Risk Management Specialist | IT Compliance Analyst</t>
  </si>
  <si>
    <t>81442711568</t>
  </si>
  <si>
    <t>Avneet</t>
  </si>
  <si>
    <t>Grewal</t>
  </si>
  <si>
    <t>agrewal@abbott.com</t>
  </si>
  <si>
    <t>Cybersecurity SME, Cardiometabolic &amp; Informatics Division</t>
  </si>
  <si>
    <t>81442567200</t>
  </si>
  <si>
    <t>April</t>
  </si>
  <si>
    <t>Knowles</t>
  </si>
  <si>
    <t>aknowles@abbott.com</t>
  </si>
  <si>
    <t>Senior Director, Cybersecurity Risk and Compliance</t>
  </si>
  <si>
    <t>81442581415</t>
  </si>
  <si>
    <t>Wahab</t>
  </si>
  <si>
    <t>mwahab@abbott.com</t>
  </si>
  <si>
    <t>Director, Manufacturing Cybersecurity &amp; Validation</t>
  </si>
  <si>
    <t>81442926456</t>
  </si>
  <si>
    <t>Harris</t>
  </si>
  <si>
    <t>Gold</t>
  </si>
  <si>
    <t>hgold@abbott.com</t>
  </si>
  <si>
    <t>Senior Specialist Cybersecurity - Threat Hunt</t>
  </si>
  <si>
    <t>81443296295</t>
  </si>
  <si>
    <t>Georgia</t>
  </si>
  <si>
    <t>Morrow</t>
  </si>
  <si>
    <t>gmorrow@abbott.com</t>
  </si>
  <si>
    <t>ITPDP Rotation 1: Cybersecurity Analyst</t>
  </si>
  <si>
    <t>81443296297</t>
  </si>
  <si>
    <t>Laura</t>
  </si>
  <si>
    <t>Howard</t>
  </si>
  <si>
    <t>lhoward@abbott.com</t>
  </si>
  <si>
    <t>Senior Manager, Enterprise Cybersecurity</t>
  </si>
  <si>
    <t>81442845990</t>
  </si>
  <si>
    <t>Eryk</t>
  </si>
  <si>
    <t>Krzaczynski</t>
  </si>
  <si>
    <t>ekrzaczynski@abbott.com</t>
  </si>
  <si>
    <t>Senior Manager, Cybersecurity Incident Response &amp; Readiness</t>
  </si>
  <si>
    <t>81442939908</t>
  </si>
  <si>
    <t>Anthony</t>
  </si>
  <si>
    <t>Mannarino</t>
  </si>
  <si>
    <t>amannarino@abbott.com</t>
  </si>
  <si>
    <t>Cybersecurity Specialist</t>
  </si>
  <si>
    <t>81442984116</t>
  </si>
  <si>
    <t>Molly</t>
  </si>
  <si>
    <t>Luu</t>
  </si>
  <si>
    <t>mluu@abbott.com</t>
  </si>
  <si>
    <t>Senior Cybersecurity Specialist</t>
  </si>
  <si>
    <t>81442939833</t>
  </si>
  <si>
    <t>Harshal</t>
  </si>
  <si>
    <t>Bhole</t>
  </si>
  <si>
    <t>hbhole@abbott.com</t>
  </si>
  <si>
    <t>81442984101</t>
  </si>
  <si>
    <t>Maximiliano</t>
  </si>
  <si>
    <t>Castrillon</t>
  </si>
  <si>
    <t>mcastrillon@abbott.com</t>
  </si>
  <si>
    <t>81442966692</t>
  </si>
  <si>
    <t>Neal</t>
  </si>
  <si>
    <t>mneal@abbott.com</t>
  </si>
  <si>
    <t>Senior Specialist IT Cybersecurity</t>
  </si>
  <si>
    <t>81442954394</t>
  </si>
  <si>
    <t>Lev</t>
  </si>
  <si>
    <t>Frayman</t>
  </si>
  <si>
    <t>lfrayman@abbott.com</t>
  </si>
  <si>
    <t>Director, Enterprise Cybersecurity</t>
  </si>
  <si>
    <t>81442926488</t>
  </si>
  <si>
    <t>Mary</t>
  </si>
  <si>
    <t>Newkirk</t>
  </si>
  <si>
    <t>mnewkirk@abbott.com</t>
  </si>
  <si>
    <t>81443314079</t>
  </si>
  <si>
    <t>Morgan</t>
  </si>
  <si>
    <t>cmorgan@abbott.com</t>
  </si>
  <si>
    <t>81443922047</t>
  </si>
  <si>
    <t>Tinz</t>
  </si>
  <si>
    <t>dtinz@abbott.com</t>
  </si>
  <si>
    <t>Sr. Specialist Cybersecurity Compliance</t>
  </si>
  <si>
    <t>81443650174</t>
  </si>
  <si>
    <t>Fumi</t>
  </si>
  <si>
    <t>Collier</t>
  </si>
  <si>
    <t>fcollier@abbott.com</t>
  </si>
  <si>
    <t>Director - Cybersecurity Services - Security Liaison (Internal &amp; External)</t>
  </si>
  <si>
    <t>81443538000</t>
  </si>
  <si>
    <t>Eble</t>
  </si>
  <si>
    <t>meble@abbott.com</t>
  </si>
  <si>
    <t>Director, Lingo Cybersecurity</t>
  </si>
  <si>
    <t>81443552331</t>
  </si>
  <si>
    <t>Jason</t>
  </si>
  <si>
    <t>Pantano</t>
  </si>
  <si>
    <t>jpantano@abbott.com</t>
  </si>
  <si>
    <t>81443537984</t>
  </si>
  <si>
    <t>Elizabeth</t>
  </si>
  <si>
    <t>eanderson@abbott.com</t>
  </si>
  <si>
    <t>Sr. Manager Quality, Software and Cybersecurity</t>
  </si>
  <si>
    <t>81444842501</t>
  </si>
  <si>
    <t>Cobb</t>
  </si>
  <si>
    <t>acobb@abbott.com</t>
  </si>
  <si>
    <t>Senior Director of Global Supply Chain Security and Environmental, Health, and Safety</t>
  </si>
  <si>
    <t>81443664654</t>
  </si>
  <si>
    <t>Allison</t>
  </si>
  <si>
    <t>Kirk</t>
  </si>
  <si>
    <t>akirk@abbott.com</t>
  </si>
  <si>
    <t>81444625846</t>
  </si>
  <si>
    <t>Monique</t>
  </si>
  <si>
    <t>Caldwell</t>
  </si>
  <si>
    <t>mcaldwell@abbott.com</t>
  </si>
  <si>
    <t>IT Security Administrator</t>
  </si>
  <si>
    <t>81444625847</t>
  </si>
  <si>
    <t>Anu</t>
  </si>
  <si>
    <t>Gupta</t>
  </si>
  <si>
    <t>agupta@abbott.com</t>
  </si>
  <si>
    <t>Sr. Manager Cyber Security: PMO Lead</t>
  </si>
  <si>
    <t>81443770517</t>
  </si>
  <si>
    <t>Bander</t>
  </si>
  <si>
    <t>Al-Ahmadi</t>
  </si>
  <si>
    <t>bal-ahmadi@abbott.com</t>
  </si>
  <si>
    <t>Cybersecurity Incident Responder / Cyber Threat hunter</t>
  </si>
  <si>
    <t>81443922061</t>
  </si>
  <si>
    <t>Mendez</t>
  </si>
  <si>
    <t>amendez@abbott.com</t>
  </si>
  <si>
    <t>IT Cybersecurity Specialist</t>
  </si>
  <si>
    <t>84007229733</t>
  </si>
  <si>
    <t>Samuel</t>
  </si>
  <si>
    <t>Lewis</t>
  </si>
  <si>
    <t>samuel.lewis@abbott.com</t>
  </si>
  <si>
    <t>Product Security</t>
  </si>
  <si>
    <t>81444889675</t>
  </si>
  <si>
    <t>Lori</t>
  </si>
  <si>
    <t>Munter</t>
  </si>
  <si>
    <t>lmunter@abbott.com</t>
  </si>
  <si>
    <t>81444915544</t>
  </si>
  <si>
    <t>Ken</t>
  </si>
  <si>
    <t>Kazinski</t>
  </si>
  <si>
    <t>kkazinski@abbott.com</t>
  </si>
  <si>
    <t>Cyber Security Manager - Attack Surface Management</t>
  </si>
  <si>
    <t>81444904273</t>
  </si>
  <si>
    <t>Jeremy</t>
  </si>
  <si>
    <t>Milburn</t>
  </si>
  <si>
    <t>jmilburn@abbott.com</t>
  </si>
  <si>
    <t>Director, Product Cybersecurity</t>
  </si>
  <si>
    <t>84781449229</t>
  </si>
  <si>
    <t>Diah</t>
  </si>
  <si>
    <t>Ramesh</t>
  </si>
  <si>
    <t>diah.ramesh@abbott.com</t>
  </si>
  <si>
    <t>CyberSecurity Manager</t>
  </si>
  <si>
    <t>Attempted to Contact</t>
  </si>
  <si>
    <t>84781449228</t>
  </si>
  <si>
    <t>Selwyn</t>
  </si>
  <si>
    <t>Da Costa</t>
  </si>
  <si>
    <t>selwyn.dacosta@abbott.com</t>
  </si>
  <si>
    <t>Cybersecurity Program Manager</t>
  </si>
  <si>
    <t>84781449224</t>
  </si>
  <si>
    <t>Tara</t>
  </si>
  <si>
    <t>Larson</t>
  </si>
  <si>
    <t>tara.larson@abbott.com</t>
  </si>
  <si>
    <t>Product Security Director</t>
  </si>
  <si>
    <t>84781449227</t>
  </si>
  <si>
    <t>john.johnson2@abbott.com</t>
  </si>
  <si>
    <t>EP Product Security</t>
  </si>
  <si>
    <t>84781449226</t>
  </si>
  <si>
    <t>ankur.k.mishra@abbott.com</t>
  </si>
  <si>
    <t>81444875555</t>
  </si>
  <si>
    <t>Tucker</t>
  </si>
  <si>
    <t>jtucker@abbott.com</t>
  </si>
  <si>
    <t>Manager - Cybersecurity Operations</t>
  </si>
  <si>
    <t>81445329175</t>
  </si>
  <si>
    <t>Lautner</t>
  </si>
  <si>
    <t>dlautner@abbott.com</t>
  </si>
  <si>
    <t>Senior Director &amp; Research Fellow of Artificial Intelligence, Neuroscience, Cybersecurity</t>
  </si>
  <si>
    <t>81445329179</t>
  </si>
  <si>
    <t>Augustine</t>
  </si>
  <si>
    <t>jaugustine@abbott.com</t>
  </si>
  <si>
    <t>Sr. Manager Enterprise Cybersecurity</t>
  </si>
  <si>
    <t>81445329163</t>
  </si>
  <si>
    <t>Brandon</t>
  </si>
  <si>
    <t>Hensley</t>
  </si>
  <si>
    <t>bhensley@abbott.com</t>
  </si>
  <si>
    <t>Director of IT, Product Technology and Security</t>
  </si>
  <si>
    <t>83998883611</t>
  </si>
  <si>
    <t>mary.newkirk@abbott.com</t>
  </si>
  <si>
    <t>81445329187</t>
  </si>
  <si>
    <t>Alaimo</t>
  </si>
  <si>
    <t>malaimo@abbott.com</t>
  </si>
  <si>
    <t>Manager - Cybersecurity Risk Management</t>
  </si>
  <si>
    <t>AbbVie</t>
  </si>
  <si>
    <t>Cherie</t>
  </si>
  <si>
    <t>Stanford</t>
  </si>
  <si>
    <t>cherie.stanford@abbvie.com</t>
  </si>
  <si>
    <t>abbvie.com</t>
  </si>
  <si>
    <t>IT Director, M&amp;A, Divestitures and Collaborations</t>
  </si>
  <si>
    <t>Vravick</t>
  </si>
  <si>
    <t>john.vravick@abbvie.com</t>
  </si>
  <si>
    <t>Lead, Vulnerability Management</t>
  </si>
  <si>
    <t>Kieran</t>
  </si>
  <si>
    <t>O’Connell</t>
  </si>
  <si>
    <t>kieran.oconnell@abbvie.com</t>
  </si>
  <si>
    <t>BTS M&amp;A Assoc Director</t>
  </si>
  <si>
    <t>81418251776</t>
  </si>
  <si>
    <t>Jared</t>
  </si>
  <si>
    <t>Pratt</t>
  </si>
  <si>
    <t>jpratt@abbvie.com</t>
  </si>
  <si>
    <t>Director, Cyber Security Operations</t>
  </si>
  <si>
    <t>81418251779</t>
  </si>
  <si>
    <t>Malissa</t>
  </si>
  <si>
    <t>Scofield</t>
  </si>
  <si>
    <t>mscofield@abbvie.com</t>
  </si>
  <si>
    <t>IT Policy Governance - Information Security and Risk Management</t>
  </si>
  <si>
    <t>81415694383</t>
  </si>
  <si>
    <t>Paul</t>
  </si>
  <si>
    <t>Diskant</t>
  </si>
  <si>
    <t>pdiskant@abbvie.com</t>
  </si>
  <si>
    <t>Senior IT Security and Risk Manager</t>
  </si>
  <si>
    <t>81415694381</t>
  </si>
  <si>
    <t>Robert</t>
  </si>
  <si>
    <t>Litewski</t>
  </si>
  <si>
    <t>rlitewski@abbvie.com</t>
  </si>
  <si>
    <t>Senior Manager IT Infrastructure Security</t>
  </si>
  <si>
    <t>81433944162</t>
  </si>
  <si>
    <t>Brittany</t>
  </si>
  <si>
    <t>Contorno</t>
  </si>
  <si>
    <t>bcontorno@abbvie.com</t>
  </si>
  <si>
    <t>Senior Manager, Cybersecurity Awareness</t>
  </si>
  <si>
    <t>81433245205</t>
  </si>
  <si>
    <t>Brian</t>
  </si>
  <si>
    <t>Kulieke</t>
  </si>
  <si>
    <t>bkulieke@abbvie.com</t>
  </si>
  <si>
    <t>Senior Security Engineer II, Cyber Security Engineering</t>
  </si>
  <si>
    <t>81433872668</t>
  </si>
  <si>
    <t>Omeir</t>
  </si>
  <si>
    <t>Ghori</t>
  </si>
  <si>
    <t>oghori@abbvie.com</t>
  </si>
  <si>
    <t>81433915950</t>
  </si>
  <si>
    <t>Michelle</t>
  </si>
  <si>
    <t>Reeves</t>
  </si>
  <si>
    <t>mreeves@abbvie.com</t>
  </si>
  <si>
    <t>Cybersecurity Training and Awareness Manager</t>
  </si>
  <si>
    <t>81440605526</t>
  </si>
  <si>
    <t>Eugene</t>
  </si>
  <si>
    <t>Rinaldi</t>
  </si>
  <si>
    <t>erinaldi@abbvie.com</t>
  </si>
  <si>
    <t>Associate Director - Cyber Security Engineering</t>
  </si>
  <si>
    <t>81441309827</t>
  </si>
  <si>
    <t>Milu</t>
  </si>
  <si>
    <t>mshrestha@abbvie.com</t>
  </si>
  <si>
    <t>Senior Cyber Security Engineer</t>
  </si>
  <si>
    <t>81442526367</t>
  </si>
  <si>
    <t>Philip</t>
  </si>
  <si>
    <t>Germeys</t>
  </si>
  <si>
    <t>pgermeys@abbvie.com</t>
  </si>
  <si>
    <t>Associate Director, M&amp;A Cybersecurity</t>
  </si>
  <si>
    <t>81441150900</t>
  </si>
  <si>
    <t>Jorge</t>
  </si>
  <si>
    <t>Castro</t>
  </si>
  <si>
    <t>jcastro@abbvie.com</t>
  </si>
  <si>
    <t>Vulnerability &amp; Attack Surface Management - Cyber Security Analyst</t>
  </si>
  <si>
    <t>81442473900</t>
  </si>
  <si>
    <t>Matsey</t>
  </si>
  <si>
    <t>mmatsey@abbvie.com</t>
  </si>
  <si>
    <t>Security Engineer II - Cyber Security Engineering</t>
  </si>
  <si>
    <t>81442724928</t>
  </si>
  <si>
    <t>Hannah</t>
  </si>
  <si>
    <t>Nelson</t>
  </si>
  <si>
    <t>hnelson@abbvie.com</t>
  </si>
  <si>
    <t>Senior Global IT &amp; Security Auditor</t>
  </si>
  <si>
    <t>81442954365</t>
  </si>
  <si>
    <t>Patrick</t>
  </si>
  <si>
    <t>Thompson</t>
  </si>
  <si>
    <t>pthompson@abbvie.com</t>
  </si>
  <si>
    <t>Senior Talent Acquisition Advisor - BTS | Information Research &amp; Cybersecurity</t>
  </si>
  <si>
    <t>81442954337</t>
  </si>
  <si>
    <t>Riya</t>
  </si>
  <si>
    <t>Patel</t>
  </si>
  <si>
    <t>rpatel@abbvie.com</t>
  </si>
  <si>
    <t>Cyber Security Consultant</t>
  </si>
  <si>
    <t>81443314014</t>
  </si>
  <si>
    <t>Lalita</t>
  </si>
  <si>
    <t>Constantine</t>
  </si>
  <si>
    <t>lconstantine@abbvie.com</t>
  </si>
  <si>
    <t>Associate Director, R&amp;D Information Research IT Risk, Security, and Compliance</t>
  </si>
  <si>
    <t>81442954332</t>
  </si>
  <si>
    <t>Luda</t>
  </si>
  <si>
    <t>Cohen</t>
  </si>
  <si>
    <t>lcohen@abbvie.com</t>
  </si>
  <si>
    <t>Cyber Risk Architect</t>
  </si>
  <si>
    <t>81442939907</t>
  </si>
  <si>
    <t>Gary</t>
  </si>
  <si>
    <t>Brown</t>
  </si>
  <si>
    <t>gbrown@abbvie.com</t>
  </si>
  <si>
    <t>Information Security Office, IT Compliance</t>
  </si>
  <si>
    <t>81442997000</t>
  </si>
  <si>
    <t>Evan</t>
  </si>
  <si>
    <t>Dygert</t>
  </si>
  <si>
    <t>edygert@abbvie.com</t>
  </si>
  <si>
    <t>Principal Scientist, Cyber Threat Research and Active Measures</t>
  </si>
  <si>
    <t>81443922013</t>
  </si>
  <si>
    <t>Pete</t>
  </si>
  <si>
    <t>Naumovski</t>
  </si>
  <si>
    <t>pnaumovski@abbvie.com</t>
  </si>
  <si>
    <t>Global Chief Information Security Officer (CISO) &amp; VP of IT Risk Management</t>
  </si>
  <si>
    <t>81444625802</t>
  </si>
  <si>
    <t>Dean</t>
  </si>
  <si>
    <t>Gantz</t>
  </si>
  <si>
    <t>dgantz@abbvie.com</t>
  </si>
  <si>
    <t>IT Risk, Security and Compliance Lead</t>
  </si>
  <si>
    <t>81443664529</t>
  </si>
  <si>
    <t>Mitchell</t>
  </si>
  <si>
    <t>jmitchell@abbvie.com</t>
  </si>
  <si>
    <t>Manager - Cyber Security Operations Center</t>
  </si>
  <si>
    <t>81444889677</t>
  </si>
  <si>
    <t>Frederick</t>
  </si>
  <si>
    <t>Nolte</t>
  </si>
  <si>
    <t>fnolte@abbvie.com</t>
  </si>
  <si>
    <t>Cyber Threat Hunter</t>
  </si>
  <si>
    <t>81445329078</t>
  </si>
  <si>
    <t>Samantha</t>
  </si>
  <si>
    <t>Homann</t>
  </si>
  <si>
    <t>shomann@abbvie.com</t>
  </si>
  <si>
    <t>Senior Analyst, Cybersecurity Third Party Risk Management</t>
  </si>
  <si>
    <t>81444915491</t>
  </si>
  <si>
    <t>Ciccimarra</t>
  </si>
  <si>
    <t>jciccimarra@abbvie.com</t>
  </si>
  <si>
    <t>Governance, Risk, and Compliance Cybersecurity Senior Program Manager</t>
  </si>
  <si>
    <t>81444915480</t>
  </si>
  <si>
    <t>Joshua</t>
  </si>
  <si>
    <t>Prowant</t>
  </si>
  <si>
    <t>jprowant@abbvie.com</t>
  </si>
  <si>
    <t>Senior Cyber Threat Researcher</t>
  </si>
  <si>
    <t>81445329156</t>
  </si>
  <si>
    <t>Ekkela</t>
  </si>
  <si>
    <t>mekkela@abbvie.com</t>
  </si>
  <si>
    <t>Associate IT Director, Central Services and Global Security Solutions</t>
  </si>
  <si>
    <t>84552089095</t>
  </si>
  <si>
    <t>Ferraro</t>
  </si>
  <si>
    <t>brenda.ferraro@abbvie.com</t>
  </si>
  <si>
    <t>Management</t>
  </si>
  <si>
    <t>84552089096</t>
  </si>
  <si>
    <t>Tarik</t>
  </si>
  <si>
    <t>Rahmanovic</t>
  </si>
  <si>
    <t>tarik.rahmanovic@abbvie.com</t>
  </si>
  <si>
    <t>Director</t>
  </si>
  <si>
    <t>123003170440</t>
  </si>
  <si>
    <t>M&amp;A IT Director</t>
  </si>
  <si>
    <t>123055280426</t>
  </si>
  <si>
    <t>Rachel</t>
  </si>
  <si>
    <t>rachel.james@abbvie.com</t>
  </si>
  <si>
    <t>Principal Cyber Threat AI ML Engineer</t>
  </si>
  <si>
    <t>123044599475</t>
  </si>
  <si>
    <t>evan.dygert@abbvie.com</t>
  </si>
  <si>
    <t>123037552511</t>
  </si>
  <si>
    <t>Christian</t>
  </si>
  <si>
    <t>jennifer.christian@abbvie.com</t>
  </si>
  <si>
    <t>Associate Director, IT Mergers, Acquisitions, Divestitures and Collaborations</t>
  </si>
  <si>
    <t>Ablacon</t>
  </si>
  <si>
    <t>Arnaud</t>
  </si>
  <si>
    <t>Moreau</t>
  </si>
  <si>
    <t>arnaud.moreau@ablacon.com</t>
  </si>
  <si>
    <t>ablacon.com</t>
  </si>
  <si>
    <t>Director Software Development</t>
  </si>
  <si>
    <t>Acadia Healthcare</t>
  </si>
  <si>
    <t>Roger</t>
  </si>
  <si>
    <t>Brotz</t>
  </si>
  <si>
    <t>roger.brotz@acadiahealthcare.com</t>
  </si>
  <si>
    <t>acadiahealthcare.com</t>
  </si>
  <si>
    <t>CISO</t>
  </si>
  <si>
    <t>81442455865</t>
  </si>
  <si>
    <t>Spencer</t>
  </si>
  <si>
    <t>Bain</t>
  </si>
  <si>
    <t>spencer.bain@acadiahealthcare.com</t>
  </si>
  <si>
    <t>Director of Cyber Security</t>
  </si>
  <si>
    <t>Accure Acne</t>
  </si>
  <si>
    <t>Aubrey</t>
  </si>
  <si>
    <t>Eck</t>
  </si>
  <si>
    <t>aeck@accureacne.com</t>
  </si>
  <si>
    <t>accureacne.com</t>
  </si>
  <si>
    <t>Software Manager</t>
  </si>
  <si>
    <t>ACHHH</t>
  </si>
  <si>
    <t>Lisa</t>
  </si>
  <si>
    <t>Busby</t>
  </si>
  <si>
    <t>lbusby@achhh.org</t>
  </si>
  <si>
    <t>achhh.org</t>
  </si>
  <si>
    <t>CIO</t>
  </si>
  <si>
    <t>Actalent</t>
  </si>
  <si>
    <t>Jayaram</t>
  </si>
  <si>
    <t>Abimanyu</t>
  </si>
  <si>
    <t>ja@actalentservices.com</t>
  </si>
  <si>
    <t>actalentservices.com</t>
  </si>
  <si>
    <t>Associate Program Manager</t>
  </si>
  <si>
    <t>Activ Surgical</t>
  </si>
  <si>
    <t>Ohanian</t>
  </si>
  <si>
    <t>pohanian@activsurgical.com</t>
  </si>
  <si>
    <t>activsurgical.com</t>
  </si>
  <si>
    <t>Director, Quality Assurance and Regulatory Affairs</t>
  </si>
  <si>
    <t>Active Protective</t>
  </si>
  <si>
    <t>Alan</t>
  </si>
  <si>
    <t>Miller</t>
  </si>
  <si>
    <t>alan@activeprotective.com</t>
  </si>
  <si>
    <t>activeprotective.com</t>
  </si>
  <si>
    <t>Director of Operations</t>
  </si>
  <si>
    <t>Customer</t>
  </si>
  <si>
    <t>Zeng</t>
  </si>
  <si>
    <t>eric@activeprotective.com</t>
  </si>
  <si>
    <t>Acuity International</t>
  </si>
  <si>
    <t>Lloyd</t>
  </si>
  <si>
    <t>Willis</t>
  </si>
  <si>
    <t>lloyd.willis@acuityinternational.com</t>
  </si>
  <si>
    <t>acuityinternational.com</t>
  </si>
  <si>
    <t>CyberSecurity Operations Analyst</t>
  </si>
  <si>
    <t>Ad Scientiam</t>
  </si>
  <si>
    <t>Kevin</t>
  </si>
  <si>
    <t>Gutierrez</t>
  </si>
  <si>
    <t>kgutierrez@adscientiam.com</t>
  </si>
  <si>
    <t>adscientiam.com</t>
  </si>
  <si>
    <t>QARA Engineer</t>
  </si>
  <si>
    <t>AdaptivEndo 10472</t>
  </si>
  <si>
    <t>Dallara</t>
  </si>
  <si>
    <t>mdallara@adaptivendo.com</t>
  </si>
  <si>
    <t>adaptivendo.com</t>
  </si>
  <si>
    <t>Quality &amp; Regulatory Director</t>
  </si>
  <si>
    <t>Advanced Health Services</t>
  </si>
  <si>
    <t>Carol</t>
  </si>
  <si>
    <t>Kaczmarski</t>
  </si>
  <si>
    <t>ckaczmarski@ahsid.net</t>
  </si>
  <si>
    <t>ahsid.net</t>
  </si>
  <si>
    <t>Aerin Medical</t>
  </si>
  <si>
    <t>Teri</t>
  </si>
  <si>
    <t>Feeley</t>
  </si>
  <si>
    <t>tfeeley@aerinmedical.com</t>
  </si>
  <si>
    <t>aerinmedical.com</t>
  </si>
  <si>
    <t>Regulatory affairs Manager</t>
  </si>
  <si>
    <t>Agilent Technologies</t>
  </si>
  <si>
    <t>Trond</t>
  </si>
  <si>
    <t>Toennesen</t>
  </si>
  <si>
    <t>trond.toennesen@agilent.com</t>
  </si>
  <si>
    <t>agilent.com</t>
  </si>
  <si>
    <t>Director, Cyber Security</t>
  </si>
  <si>
    <t>AIDA Healthcare</t>
  </si>
  <si>
    <t>81433245217</t>
  </si>
  <si>
    <t>Wenner</t>
  </si>
  <si>
    <t>nelson.wenner@aidahealthcare.com</t>
  </si>
  <si>
    <t>81441165209</t>
  </si>
  <si>
    <t>Nikitin</t>
  </si>
  <si>
    <t>michael.nikitin@aidahealthcare.com</t>
  </si>
  <si>
    <t>Chief Technology Officer &amp; Chief Information Security Officer, Co-Founder</t>
  </si>
  <si>
    <t>Aiosyn</t>
  </si>
  <si>
    <t>Rosentul</t>
  </si>
  <si>
    <t>diana.rosentul@aiosyn.com</t>
  </si>
  <si>
    <t>aiosyn.com</t>
  </si>
  <si>
    <t>RA Specialist</t>
  </si>
  <si>
    <t>Air Liquide</t>
  </si>
  <si>
    <t>Helene</t>
  </si>
  <si>
    <t>Bosquier</t>
  </si>
  <si>
    <t>helene.bosquier@airliquide.com</t>
  </si>
  <si>
    <t>airliquide.com</t>
  </si>
  <si>
    <t>Regulatory Affairs</t>
  </si>
  <si>
    <t>Aitrics</t>
  </si>
  <si>
    <t>Sangjun</t>
  </si>
  <si>
    <t>Lee</t>
  </si>
  <si>
    <t>sangjun@aitrics.com</t>
  </si>
  <si>
    <t>aitrics.com</t>
  </si>
  <si>
    <t>RA Manager</t>
  </si>
  <si>
    <t>Alcon</t>
  </si>
  <si>
    <t>81433887353</t>
  </si>
  <si>
    <t>Shashank</t>
  </si>
  <si>
    <t>Kaushik</t>
  </si>
  <si>
    <t>shashank.kaushik@alcon.com</t>
  </si>
  <si>
    <t>Vulnerability and Cyber Security Manager</t>
  </si>
  <si>
    <t>81437599903</t>
  </si>
  <si>
    <t>Matt</t>
  </si>
  <si>
    <t>Castoe</t>
  </si>
  <si>
    <t>matt.castoe@alcon.com</t>
  </si>
  <si>
    <t>Manager of Cyber Security</t>
  </si>
  <si>
    <t>81441150995</t>
  </si>
  <si>
    <t>Zuniga</t>
  </si>
  <si>
    <t>john.zuniga@alcon.com</t>
  </si>
  <si>
    <t>Manager, Physical Security</t>
  </si>
  <si>
    <t>81443314007</t>
  </si>
  <si>
    <t>Scott</t>
  </si>
  <si>
    <t>Phillips</t>
  </si>
  <si>
    <t>scott@alcon.com</t>
  </si>
  <si>
    <t>Global IT Security</t>
  </si>
  <si>
    <t>Alexza Pharmaceuticals Inc.</t>
  </si>
  <si>
    <t>Julia</t>
  </si>
  <si>
    <t>Zelenkova</t>
  </si>
  <si>
    <t>jzelenkova@alexza.com</t>
  </si>
  <si>
    <t>alexza.com</t>
  </si>
  <si>
    <t>Medical Device Engineering</t>
  </si>
  <si>
    <t>Align Technology</t>
  </si>
  <si>
    <t>81441309800</t>
  </si>
  <si>
    <t>Audrey</t>
  </si>
  <si>
    <t>Foster</t>
  </si>
  <si>
    <t>afoster@aligntech.com</t>
  </si>
  <si>
    <t>Senior Director, Technology Governance, Risk &amp; Compliance, Information Security</t>
  </si>
  <si>
    <t>81442739043</t>
  </si>
  <si>
    <t>Petru</t>
  </si>
  <si>
    <t>Cebotari</t>
  </si>
  <si>
    <t>pcebotari@aligntech.com</t>
  </si>
  <si>
    <t>Director of Cybersecurity Operations</t>
  </si>
  <si>
    <t>81442711449</t>
  </si>
  <si>
    <t>Ishita</t>
  </si>
  <si>
    <t>Rao</t>
  </si>
  <si>
    <t>irao@aligntech.com</t>
  </si>
  <si>
    <t>Cybersecurity</t>
  </si>
  <si>
    <t>81444875529</t>
  </si>
  <si>
    <t>Cole</t>
  </si>
  <si>
    <t>Apke</t>
  </si>
  <si>
    <t>capke@aligntech.com</t>
  </si>
  <si>
    <t>Aspiring Cybersecurity Professional | CS/Cybersecurity Student</t>
  </si>
  <si>
    <t>81444889625</t>
  </si>
  <si>
    <t>Mel</t>
  </si>
  <si>
    <t>Sorrells</t>
  </si>
  <si>
    <t>msorrells@aligntech.com</t>
  </si>
  <si>
    <t>Director Information Technology Security</t>
  </si>
  <si>
    <t>allevoadvisors.com</t>
  </si>
  <si>
    <t>Alex</t>
  </si>
  <si>
    <t>Bangs</t>
  </si>
  <si>
    <t>alex@allevoadvisors.com</t>
  </si>
  <si>
    <t>Founder &amp; Principal</t>
  </si>
  <si>
    <t>Alpin Surgical Specialties</t>
  </si>
  <si>
    <t>nikki</t>
  </si>
  <si>
    <t>ekas</t>
  </si>
  <si>
    <t>nikki@alpinsurgical.com</t>
  </si>
  <si>
    <t>alpinsurgical.com</t>
  </si>
  <si>
    <t>product manager</t>
  </si>
  <si>
    <t>Amazon Web Services /</t>
  </si>
  <si>
    <t>Mauraan</t>
  </si>
  <si>
    <t>Schultz</t>
  </si>
  <si>
    <t>mauraans@amazon.com</t>
  </si>
  <si>
    <t>amazon.com</t>
  </si>
  <si>
    <t>Global HCLS Deloitte Alliance Leader</t>
  </si>
  <si>
    <t xml:space="preserve"> +1 206 498 8811</t>
  </si>
  <si>
    <t>American Hospital Association</t>
  </si>
  <si>
    <t>Riggi</t>
  </si>
  <si>
    <t>jriggi@aha.org</t>
  </si>
  <si>
    <t>aha.org</t>
  </si>
  <si>
    <t>National Advisor for Cybersecurity and Risk</t>
  </si>
  <si>
    <t>Amgen</t>
  </si>
  <si>
    <t>Risoldi</t>
  </si>
  <si>
    <t>mrisoldi@amgen.com</t>
  </si>
  <si>
    <t>amgen.com</t>
  </si>
  <si>
    <t>Executive Director</t>
  </si>
  <si>
    <t>Analog Devices Inc</t>
  </si>
  <si>
    <t>Rodriguez</t>
  </si>
  <si>
    <t>david.rodriguez@analog.com</t>
  </si>
  <si>
    <t>analog.com</t>
  </si>
  <si>
    <t>Sr Manager</t>
  </si>
  <si>
    <t>Anonymous</t>
  </si>
  <si>
    <t>Yuichi</t>
  </si>
  <si>
    <t>Miyanishi</t>
  </si>
  <si>
    <t>focus.on.regulation@outlook.com</t>
  </si>
  <si>
    <t>outlook.com</t>
  </si>
  <si>
    <t>Student</t>
  </si>
  <si>
    <t>Applied Medical GYN</t>
  </si>
  <si>
    <t>81434636614</t>
  </si>
  <si>
    <t>Panupan</t>
  </si>
  <si>
    <t>Viboonvutiwong</t>
  </si>
  <si>
    <t>panupan.viboonvutiwong@appliedmedical.com</t>
  </si>
  <si>
    <t>Information Technology Security Analyst II</t>
  </si>
  <si>
    <t>AppliedVR</t>
  </si>
  <si>
    <t>Kelsey</t>
  </si>
  <si>
    <t>Ffrench</t>
  </si>
  <si>
    <t>kffrench@appliedvr.io</t>
  </si>
  <si>
    <t>appliedvr.io</t>
  </si>
  <si>
    <t>Research Associate</t>
  </si>
  <si>
    <t>Appscent Medical</t>
  </si>
  <si>
    <t>Saray</t>
  </si>
  <si>
    <t>Gani</t>
  </si>
  <si>
    <t>saray@appscent.com</t>
  </si>
  <si>
    <t>appscent.com</t>
  </si>
  <si>
    <t>VP QA RA</t>
  </si>
  <si>
    <t>Apricity Robotics</t>
  </si>
  <si>
    <t>Reese</t>
  </si>
  <si>
    <t>laura@apricity.ai</t>
  </si>
  <si>
    <t>apricity.ai</t>
  </si>
  <si>
    <t>clinical product manager</t>
  </si>
  <si>
    <t>Apsiscg</t>
  </si>
  <si>
    <t>Ery</t>
  </si>
  <si>
    <t>Anguiano</t>
  </si>
  <si>
    <t>ery.anguiano@apsiscg.com</t>
  </si>
  <si>
    <t>apsiscg.com</t>
  </si>
  <si>
    <t>Principal Consultant</t>
  </si>
  <si>
    <t>Argon Medical</t>
  </si>
  <si>
    <t>81433262519</t>
  </si>
  <si>
    <t>Abcarian</t>
  </si>
  <si>
    <t>alan.abcarian@argonmedical.com</t>
  </si>
  <si>
    <t>IT Security &amp; Compliance Engineer</t>
  </si>
  <si>
    <t>Arthrex</t>
  </si>
  <si>
    <t>81442567218</t>
  </si>
  <si>
    <t>Bret</t>
  </si>
  <si>
    <t>Demyan</t>
  </si>
  <si>
    <t>bdemyan@arthrex.com</t>
  </si>
  <si>
    <t>Director, Global IT Infrastructure &amp; Security</t>
  </si>
  <si>
    <t>123047317519</t>
  </si>
  <si>
    <t/>
  </si>
  <si>
    <t>lathan.larue@arthrex.com</t>
  </si>
  <si>
    <t>Product Security Engineer</t>
  </si>
  <si>
    <t>119930411051</t>
  </si>
  <si>
    <t>Long</t>
  </si>
  <si>
    <t>charles.long@arthrex.com</t>
  </si>
  <si>
    <t>Principal Engineer Product Security</t>
  </si>
  <si>
    <t>Contacted and Responded</t>
  </si>
  <si>
    <t>119924268965</t>
  </si>
  <si>
    <t>Julie</t>
  </si>
  <si>
    <t>Botma</t>
  </si>
  <si>
    <t>julie.harr@arthrex.com</t>
  </si>
  <si>
    <t>Senior Product Security Engineer</t>
  </si>
  <si>
    <t>Ascensia Diabetes Care</t>
  </si>
  <si>
    <t>Hasseeb</t>
  </si>
  <si>
    <t>Bhatti</t>
  </si>
  <si>
    <t>hasseeb.bhatti@epredia.com</t>
  </si>
  <si>
    <t>epredia.com</t>
  </si>
  <si>
    <t>Andy</t>
  </si>
  <si>
    <t>Hacket</t>
  </si>
  <si>
    <t>andy.hackett@epredia.com</t>
  </si>
  <si>
    <t>McNulty</t>
  </si>
  <si>
    <t>david.mcnulty@epredia.com</t>
  </si>
  <si>
    <t>Senior Software Engineer</t>
  </si>
  <si>
    <t>Nathan</t>
  </si>
  <si>
    <t>Schwandt</t>
  </si>
  <si>
    <t>nathan.schwandt@epredia.com</t>
  </si>
  <si>
    <t>Antonio</t>
  </si>
  <si>
    <t>Massicci</t>
  </si>
  <si>
    <t>antonio.massicci@epredia.com</t>
  </si>
  <si>
    <t>Gregory</t>
  </si>
  <si>
    <t>Stefkovic</t>
  </si>
  <si>
    <t>gregory.stefkovic@ascensia.com</t>
  </si>
  <si>
    <t>ascensia.com</t>
  </si>
  <si>
    <t>Asclepion Laser Technologies GmbH</t>
  </si>
  <si>
    <t>Tom</t>
  </si>
  <si>
    <t>Gruender</t>
  </si>
  <si>
    <t>tom.gruender@asclepion.com</t>
  </si>
  <si>
    <t>asclepion.com</t>
  </si>
  <si>
    <t>Regulatory Affairs Manager</t>
  </si>
  <si>
    <t>Astraveus</t>
  </si>
  <si>
    <t>Imane</t>
  </si>
  <si>
    <t>AIT</t>
  </si>
  <si>
    <t>i.ait-aqqa@astraveus.com</t>
  </si>
  <si>
    <t>astraveus.com</t>
  </si>
  <si>
    <t>V&amp;V engineer</t>
  </si>
  <si>
    <t>Atmo Biosciences</t>
  </si>
  <si>
    <t>Hernan</t>
  </si>
  <si>
    <t>Espinosa</t>
  </si>
  <si>
    <t>hernan.espinosa@atmobiosciences.com</t>
  </si>
  <si>
    <t>atmobiosciences.com</t>
  </si>
  <si>
    <t>Digital Project Manager and Designer</t>
  </si>
  <si>
    <t>Ausl Romagna</t>
  </si>
  <si>
    <t>roberto</t>
  </si>
  <si>
    <t>camillini</t>
  </si>
  <si>
    <t>roberto.camillini@auslromagna.it</t>
  </si>
  <si>
    <t>auslromagna.it</t>
  </si>
  <si>
    <t>Clinical Engineer</t>
  </si>
  <si>
    <t>Avenda Health 10725</t>
  </si>
  <si>
    <t>Valoria</t>
  </si>
  <si>
    <t>Tulloch</t>
  </si>
  <si>
    <t>valoria@avendahealth.com</t>
  </si>
  <si>
    <t>avendahealth.com</t>
  </si>
  <si>
    <t>Quality Specialist</t>
  </si>
  <si>
    <t>Avicenna.AI</t>
  </si>
  <si>
    <t>Paolo</t>
  </si>
  <si>
    <t>DUPONT</t>
  </si>
  <si>
    <t>paolo.dupont@avicenna.ai</t>
  </si>
  <si>
    <t>avicenna.ai</t>
  </si>
  <si>
    <t>Avira Health</t>
  </si>
  <si>
    <t>Kristen</t>
  </si>
  <si>
    <t>Ybarra</t>
  </si>
  <si>
    <t>kristen@avira.health</t>
  </si>
  <si>
    <t>avira.health</t>
  </si>
  <si>
    <t>COO</t>
  </si>
  <si>
    <t>Axiom Medical, Inc.</t>
  </si>
  <si>
    <t>Rae</t>
  </si>
  <si>
    <t>Walker</t>
  </si>
  <si>
    <t>rw@axiommed.com</t>
  </si>
  <si>
    <t>axiommed.com</t>
  </si>
  <si>
    <t>President</t>
  </si>
  <si>
    <t>Axonics, Inc.</t>
  </si>
  <si>
    <t>Prashil</t>
  </si>
  <si>
    <t>Panchal</t>
  </si>
  <si>
    <t>prashil.panchal@axonics.com</t>
  </si>
  <si>
    <t>axonics.com</t>
  </si>
  <si>
    <t>Aztec Medical</t>
  </si>
  <si>
    <t>Aoife</t>
  </si>
  <si>
    <t>Donoghue</t>
  </si>
  <si>
    <t>adonoghue@aztecmedical.com</t>
  </si>
  <si>
    <t>aztecmedical.com</t>
  </si>
  <si>
    <t>QA RA</t>
  </si>
  <si>
    <t>Azur Medical</t>
  </si>
  <si>
    <t>Fischer</t>
  </si>
  <si>
    <t>mfischer25@verizon.net</t>
  </si>
  <si>
    <t>verizon.net</t>
  </si>
  <si>
    <t>Regulatory Specialist</t>
  </si>
  <si>
    <t>B. Braun Group</t>
  </si>
  <si>
    <t>86123961662</t>
  </si>
  <si>
    <t>Elfring</t>
  </si>
  <si>
    <t>robert.elfring@bbraun.com</t>
  </si>
  <si>
    <t>Global Manager Product Security</t>
  </si>
  <si>
    <t>Baptist Health</t>
  </si>
  <si>
    <t>Taylor</t>
  </si>
  <si>
    <t>Payne</t>
  </si>
  <si>
    <t>taylor.payne1@bhsi.com</t>
  </si>
  <si>
    <t>bhsi.com</t>
  </si>
  <si>
    <t>Director, Cybersecurity Operations</t>
  </si>
  <si>
    <t>Baxter</t>
  </si>
  <si>
    <t>Eileen</t>
  </si>
  <si>
    <t>Boyle</t>
  </si>
  <si>
    <t>eileen_boyle@baxter.com</t>
  </si>
  <si>
    <t>baxter.com</t>
  </si>
  <si>
    <t>Sr. RA Manager</t>
  </si>
  <si>
    <t>Baxter International</t>
  </si>
  <si>
    <t>Michele</t>
  </si>
  <si>
    <t>Huffman</t>
  </si>
  <si>
    <t>michele_huffman@baxter.com</t>
  </si>
  <si>
    <t>Sivaram</t>
  </si>
  <si>
    <t>Rajagopalan</t>
  </si>
  <si>
    <t>sivaram.rajagopalan@vantive.com</t>
  </si>
  <si>
    <t>vantive.com</t>
  </si>
  <si>
    <t>Senior Cybersecurity Architect || Associate Director</t>
  </si>
  <si>
    <t>Opportunity</t>
  </si>
  <si>
    <t>Svetlana</t>
  </si>
  <si>
    <t>Griffin</t>
  </si>
  <si>
    <t>svetlana_griffin@baxter.com</t>
  </si>
  <si>
    <t>Senior IT Specialist / Cybersecurity Reporting</t>
  </si>
  <si>
    <t>Irina</t>
  </si>
  <si>
    <t>Singh</t>
  </si>
  <si>
    <t>irina_singh@baxter.com</t>
  </si>
  <si>
    <t>Director of IT, Office of the CISO</t>
  </si>
  <si>
    <t>Subscriber</t>
  </si>
  <si>
    <t>81407018777</t>
  </si>
  <si>
    <t>Murphy</t>
  </si>
  <si>
    <t>bryan.murphy@baxter.com</t>
  </si>
  <si>
    <t>Sr. Manager - Global Cyber Incident Response</t>
  </si>
  <si>
    <t>81424649011</t>
  </si>
  <si>
    <t>Ellen</t>
  </si>
  <si>
    <t>Lakin</t>
  </si>
  <si>
    <t>ellen.lakin@baxter.com</t>
  </si>
  <si>
    <t>Threat Intelligence Global Lead | Global IT Security and Compliance</t>
  </si>
  <si>
    <t>81416833146</t>
  </si>
  <si>
    <t>Christine</t>
  </si>
  <si>
    <t>Donnelly</t>
  </si>
  <si>
    <t>christine.donnelly@baxter.com</t>
  </si>
  <si>
    <t>Sr Manager, IT - Cybersecurity Awareness</t>
  </si>
  <si>
    <t>81418251777</t>
  </si>
  <si>
    <t>michele.huffman@baxter.com</t>
  </si>
  <si>
    <t>Sr. Manager Cybersecurity Reporting &amp; External Engagement</t>
  </si>
  <si>
    <t>81424649033</t>
  </si>
  <si>
    <t>C</t>
  </si>
  <si>
    <t>Howell</t>
  </si>
  <si>
    <t>c.howell@baxter.com</t>
  </si>
  <si>
    <t>Global Director, IT Security</t>
  </si>
  <si>
    <t>81433262521</t>
  </si>
  <si>
    <t>Mitera</t>
  </si>
  <si>
    <t>robert.mitera@baxter.com</t>
  </si>
  <si>
    <t>Sr. Manager Global Cybersecurity Attack Surface &amp; Vulnerability Management</t>
  </si>
  <si>
    <t>81433944152</t>
  </si>
  <si>
    <t>Sharla</t>
  </si>
  <si>
    <t>Francis</t>
  </si>
  <si>
    <t>sharla.francis@baxter.com</t>
  </si>
  <si>
    <t>Manager, Cybersecurity Compliance</t>
  </si>
  <si>
    <t>81433944161</t>
  </si>
  <si>
    <t>Jeff</t>
  </si>
  <si>
    <t>Wilson</t>
  </si>
  <si>
    <t>jeff.wilson@baxter.com</t>
  </si>
  <si>
    <t>Sr. Principal Engineer - Medical Device Cybersecurity</t>
  </si>
  <si>
    <t>81434455714</t>
  </si>
  <si>
    <t>Sravan</t>
  </si>
  <si>
    <t>R</t>
  </si>
  <si>
    <t>sravan.r@baxter.com</t>
  </si>
  <si>
    <t>Sr Cybersecurity anlayst</t>
  </si>
  <si>
    <t>81440605523</t>
  </si>
  <si>
    <t>Coleman</t>
  </si>
  <si>
    <t>scott.coleman@baxter.com</t>
  </si>
  <si>
    <t>Senior Director IT, Baxter Product Security</t>
  </si>
  <si>
    <t>81437599906</t>
  </si>
  <si>
    <t>Khaja</t>
  </si>
  <si>
    <t>Khan</t>
  </si>
  <si>
    <t>khaja.khan@baxter.com</t>
  </si>
  <si>
    <t>Senior Manager - Data Protection and Cyber Risk Management</t>
  </si>
  <si>
    <t>81442473894</t>
  </si>
  <si>
    <t>sivaram.rajagopalan@baxter.com</t>
  </si>
  <si>
    <t>Sr. Cybersecurity Architect/Associate Director</t>
  </si>
  <si>
    <t>81442724905</t>
  </si>
  <si>
    <t>Selk</t>
  </si>
  <si>
    <t>christopher.selk@baxter.com</t>
  </si>
  <si>
    <t>Associate Director, Product Cybersecurity</t>
  </si>
  <si>
    <t>81442766479</t>
  </si>
  <si>
    <t>Groebe</t>
  </si>
  <si>
    <t>lauren.groebe@baxter.com</t>
  </si>
  <si>
    <t>Associate General Counsel - Privacy, Cybersecurity &amp; Digital</t>
  </si>
  <si>
    <t>81442581387</t>
  </si>
  <si>
    <t>Will</t>
  </si>
  <si>
    <t>Sammons</t>
  </si>
  <si>
    <t>will.sammons@baxter.com</t>
  </si>
  <si>
    <t>Associate Director of Global RA, Software Digital Health, and Cybersecurity</t>
  </si>
  <si>
    <t>81442581406</t>
  </si>
  <si>
    <t>Stacie</t>
  </si>
  <si>
    <t>Brough</t>
  </si>
  <si>
    <t>stacie.brough@baxter.com</t>
  </si>
  <si>
    <t>Director of IT, Product Security Risk &amp; Compliance</t>
  </si>
  <si>
    <t>81442581392</t>
  </si>
  <si>
    <t>Maya</t>
  </si>
  <si>
    <t>maya.maya@baxter.com</t>
  </si>
  <si>
    <t>81442711463</t>
  </si>
  <si>
    <t>Josh</t>
  </si>
  <si>
    <t>Hawkins</t>
  </si>
  <si>
    <t>josh.hawkins@baxter.com</t>
  </si>
  <si>
    <t>81443091036</t>
  </si>
  <si>
    <t>Best</t>
  </si>
  <si>
    <t>jeff.best@baxter.com</t>
  </si>
  <si>
    <t>Assoc. Director, Cybersecurity &amp; Infrastructure</t>
  </si>
  <si>
    <t>81442984079</t>
  </si>
  <si>
    <t>Thomas</t>
  </si>
  <si>
    <t>Balicki</t>
  </si>
  <si>
    <t>thomas.balicki@baxter.com</t>
  </si>
  <si>
    <t>Technical Consultant - Cybersecurity</t>
  </si>
  <si>
    <t>84805322578</t>
  </si>
  <si>
    <t>81444875433</t>
  </si>
  <si>
    <t>Noela</t>
  </si>
  <si>
    <t>N</t>
  </si>
  <si>
    <t>noela.n@baxter.com</t>
  </si>
  <si>
    <t>81444875428</t>
  </si>
  <si>
    <t>Stelzner</t>
  </si>
  <si>
    <t>michael.stelzner@baxter.com</t>
  </si>
  <si>
    <t>Technical Specialist, Cybersecurity</t>
  </si>
  <si>
    <t>123056125831</t>
  </si>
  <si>
    <t>isidro_ignacio_morales@baxter.com</t>
  </si>
  <si>
    <t>Threat Intelligence Analyst</t>
  </si>
  <si>
    <t>127356328258</t>
  </si>
  <si>
    <t>Hector Ivan</t>
  </si>
  <si>
    <t>Espinoza</t>
  </si>
  <si>
    <t>hector_ivan_espinoza@baxter.com</t>
  </si>
  <si>
    <t>BAYADA Home Health Care</t>
  </si>
  <si>
    <t>Janice</t>
  </si>
  <si>
    <t>Jaffee</t>
  </si>
  <si>
    <t>jjaffee@bayada.com</t>
  </si>
  <si>
    <t>bayada.com</t>
  </si>
  <si>
    <t>Area Director-IT Operations</t>
  </si>
  <si>
    <t>Bayer</t>
  </si>
  <si>
    <t>Kruse</t>
  </si>
  <si>
    <t>eric.kruse@bayer.com</t>
  </si>
  <si>
    <t>bayer.com</t>
  </si>
  <si>
    <t>Global Head of Product Security and Trust</t>
  </si>
  <si>
    <t>Pfaff</t>
  </si>
  <si>
    <t>john.pfaff@bayer.com</t>
  </si>
  <si>
    <t>Sr Principal Software Engineer</t>
  </si>
  <si>
    <t>Bayer Healthcare</t>
  </si>
  <si>
    <t>Tyler</t>
  </si>
  <si>
    <t>Skirble</t>
  </si>
  <si>
    <t>tyler.skirble@bayer.com</t>
  </si>
  <si>
    <t>Bo</t>
  </si>
  <si>
    <t>Lanham</t>
  </si>
  <si>
    <t>bo.lanham.ext@bayer.com</t>
  </si>
  <si>
    <t>Mihir</t>
  </si>
  <si>
    <t>Salunkhe</t>
  </si>
  <si>
    <t>mihir.salunkhe@bayer.com</t>
  </si>
  <si>
    <t>Schlabach</t>
  </si>
  <si>
    <t>paul.schlabach.ext@bayer.com</t>
  </si>
  <si>
    <t>Doug</t>
  </si>
  <si>
    <t>McConahy</t>
  </si>
  <si>
    <t>doug.mcconahy@bayer.com</t>
  </si>
  <si>
    <t>Jacob</t>
  </si>
  <si>
    <t>jacob.miller@bayer.com</t>
  </si>
  <si>
    <t>Karthik</t>
  </si>
  <si>
    <t>Jadala</t>
  </si>
  <si>
    <t>karthik.jadala@bayer.com</t>
  </si>
  <si>
    <t>Franolich</t>
  </si>
  <si>
    <t>john.franolich@bayer.com</t>
  </si>
  <si>
    <t>Randall</t>
  </si>
  <si>
    <t>Zelenski</t>
  </si>
  <si>
    <t>randall.zelenski@bayer.com</t>
  </si>
  <si>
    <t>Anim</t>
  </si>
  <si>
    <t>francis.anim.ext@bayer.com</t>
  </si>
  <si>
    <t>Beaver - Visitec International</t>
  </si>
  <si>
    <t>Almeida</t>
  </si>
  <si>
    <t>balmeida@bvimedical.com</t>
  </si>
  <si>
    <t>bvimedical.com</t>
  </si>
  <si>
    <t>QA Mgr</t>
  </si>
  <si>
    <t>Ilaria</t>
  </si>
  <si>
    <t>Giannuzzi</t>
  </si>
  <si>
    <t>igiannuzzi@bvimedical.com</t>
  </si>
  <si>
    <t>Senior Regulatory Specialist</t>
  </si>
  <si>
    <t>Beckman Coulter Diagnostics</t>
  </si>
  <si>
    <t>Nimrod</t>
  </si>
  <si>
    <t>Ohad</t>
  </si>
  <si>
    <t>nohad@beckman.com</t>
  </si>
  <si>
    <t>beckman.com</t>
  </si>
  <si>
    <t>Head of IoT, Cloud, and Edge Solutions</t>
  </si>
  <si>
    <t>Becton Dickinson</t>
  </si>
  <si>
    <t>Ojonimi</t>
  </si>
  <si>
    <t>Ocholi</t>
  </si>
  <si>
    <t>ojonimi.ocholi@bd.com</t>
  </si>
  <si>
    <t>bd.com</t>
  </si>
  <si>
    <t>VP, R&amp;D, Product Security</t>
  </si>
  <si>
    <t>Jeffrey</t>
  </si>
  <si>
    <t>Cale</t>
  </si>
  <si>
    <t>jeffrey.cale@bd.com</t>
  </si>
  <si>
    <t>Staff RA Specialist</t>
  </si>
  <si>
    <t>Kathy</t>
  </si>
  <si>
    <t>Barnecut</t>
  </si>
  <si>
    <t>kathy.barnecut@bd.com</t>
  </si>
  <si>
    <t>Staff Regulatory Affairs Specialist</t>
  </si>
  <si>
    <t>81407018799</t>
  </si>
  <si>
    <t>Todd</t>
  </si>
  <si>
    <t>Cism</t>
  </si>
  <si>
    <t>tcism@bd.com</t>
  </si>
  <si>
    <t>Director, Product Cyber Security &amp; Engineering</t>
  </si>
  <si>
    <t>81407018819</t>
  </si>
  <si>
    <t>Brielle</t>
  </si>
  <si>
    <t>Bamfo</t>
  </si>
  <si>
    <t>bbamfo@bd.com</t>
  </si>
  <si>
    <t>Information Technology Security Analyst</t>
  </si>
  <si>
    <t>81433887372</t>
  </si>
  <si>
    <t>Weatherford</t>
  </si>
  <si>
    <t>jweatherford@bd.com</t>
  </si>
  <si>
    <t>81433901475</t>
  </si>
  <si>
    <t>Wolf</t>
  </si>
  <si>
    <t>jwolf@bd.com</t>
  </si>
  <si>
    <t>Associate Director, Cyber Engagement &amp; Awareness</t>
  </si>
  <si>
    <t>81433952579</t>
  </si>
  <si>
    <t>Steve</t>
  </si>
  <si>
    <t>sallison@bd.com</t>
  </si>
  <si>
    <t>Associate Director OT Cybersecurity</t>
  </si>
  <si>
    <t>81440605548</t>
  </si>
  <si>
    <t>Blayne</t>
  </si>
  <si>
    <t>Potter</t>
  </si>
  <si>
    <t>bpotter@bd.com</t>
  </si>
  <si>
    <t>Information Technology Security Engineer</t>
  </si>
  <si>
    <t>81442845978</t>
  </si>
  <si>
    <t>Tamer</t>
  </si>
  <si>
    <t>El-Shabasy</t>
  </si>
  <si>
    <t>tel-shabasy@bd.com</t>
  </si>
  <si>
    <t>It Security Analyst</t>
  </si>
  <si>
    <t>Qualified</t>
  </si>
  <si>
    <t>81442567210</t>
  </si>
  <si>
    <t>Renee</t>
  </si>
  <si>
    <t>rjohnson@bd.com</t>
  </si>
  <si>
    <t>Leader of Third-party Cyber Risk and Enterprise Digital Resilience</t>
  </si>
  <si>
    <t>81442711586</t>
  </si>
  <si>
    <t>Vu</t>
  </si>
  <si>
    <t>Tran</t>
  </si>
  <si>
    <t>vtran@bd.com</t>
  </si>
  <si>
    <t>Senior Manager, Product Cyber Security Engineering</t>
  </si>
  <si>
    <t>81442984200</t>
  </si>
  <si>
    <t>Eldred</t>
  </si>
  <si>
    <t>Edmond</t>
  </si>
  <si>
    <t>eedmond@bd.com</t>
  </si>
  <si>
    <t>81443650169</t>
  </si>
  <si>
    <t>Madison</t>
  </si>
  <si>
    <t>Ulrich</t>
  </si>
  <si>
    <t>mulrich@bd.com</t>
  </si>
  <si>
    <t>Cyber Fusion Center Analyst</t>
  </si>
  <si>
    <t>81444862054</t>
  </si>
  <si>
    <t>Simon</t>
  </si>
  <si>
    <t>Roper</t>
  </si>
  <si>
    <t>sroper@bd.com</t>
  </si>
  <si>
    <t>Staff Engineer, Operational Technology / Cyber-Security</t>
  </si>
  <si>
    <t>81444915503</t>
  </si>
  <si>
    <t>Hardy</t>
  </si>
  <si>
    <t>jhardy@bd.com</t>
  </si>
  <si>
    <t>Senior IT Security Analyst</t>
  </si>
  <si>
    <t>81444889657</t>
  </si>
  <si>
    <t>Theodore</t>
  </si>
  <si>
    <t>Karakosmas</t>
  </si>
  <si>
    <t>tkarakosmas@bd.com</t>
  </si>
  <si>
    <t>Lead OT Engineer, Cyber Security</t>
  </si>
  <si>
    <t>84539610941</t>
  </si>
  <si>
    <t>madison.ulrich@bd.com</t>
  </si>
  <si>
    <t>82525480213</t>
  </si>
  <si>
    <t>McGettrick</t>
  </si>
  <si>
    <t>david.mcgettrick@bd.com</t>
  </si>
  <si>
    <t>Senior manager, product security</t>
  </si>
  <si>
    <t>123387209641</t>
  </si>
  <si>
    <t>Ruiz</t>
  </si>
  <si>
    <t>mark.ruiz@bd.com</t>
  </si>
  <si>
    <t>Sr Director</t>
  </si>
  <si>
    <t>Belmont Instrument</t>
  </si>
  <si>
    <t>Stuart</t>
  </si>
  <si>
    <t>Campbell</t>
  </si>
  <si>
    <t>scampbell@belmontmedtech.com</t>
  </si>
  <si>
    <t>belmontmedtech.com</t>
  </si>
  <si>
    <t>Regulatory affairs manager</t>
  </si>
  <si>
    <t>Best Sanitizers, Inc.</t>
  </si>
  <si>
    <t>Cindi</t>
  </si>
  <si>
    <t>Linville</t>
  </si>
  <si>
    <t>clinville@bestsanitizers.com</t>
  </si>
  <si>
    <t>bestsanitizers.com</t>
  </si>
  <si>
    <t>Director of Regulatory</t>
  </si>
  <si>
    <t>Beurer</t>
  </si>
  <si>
    <t>Max</t>
  </si>
  <si>
    <t>Harder</t>
  </si>
  <si>
    <t>max.harder@beurer.de</t>
  </si>
  <si>
    <t>beurer.de</t>
  </si>
  <si>
    <t>Beyond Air Inc. 10407</t>
  </si>
  <si>
    <t>LeRoy</t>
  </si>
  <si>
    <t>tleroy@beyondair.net</t>
  </si>
  <si>
    <t>beyondair.net</t>
  </si>
  <si>
    <t>Biogen Digital Health, Inc. 10968</t>
  </si>
  <si>
    <t>Ekin</t>
  </si>
  <si>
    <t>Koca</t>
  </si>
  <si>
    <t>zeynepekin.koca@biogen.com</t>
  </si>
  <si>
    <t>biogen.com</t>
  </si>
  <si>
    <t>Biologic Input Output Systems, Inc.</t>
  </si>
  <si>
    <t>Wendy</t>
  </si>
  <si>
    <t>Huang</t>
  </si>
  <si>
    <t>wendy@bios.works</t>
  </si>
  <si>
    <t>bios.works</t>
  </si>
  <si>
    <t>BioMagnetic Solutions, LLC</t>
  </si>
  <si>
    <t>Lindsay</t>
  </si>
  <si>
    <t>Wittmer</t>
  </si>
  <si>
    <t>lwittmer@biomagneticsolutions.com</t>
  </si>
  <si>
    <t>biomagneticsolutions.com</t>
  </si>
  <si>
    <t>Director of Quality</t>
  </si>
  <si>
    <t>Biomedical Data Solutions Limited</t>
  </si>
  <si>
    <t>Ashfaaq</t>
  </si>
  <si>
    <t>Ismail</t>
  </si>
  <si>
    <t>aismail@biomedical-ds.com</t>
  </si>
  <si>
    <t>biomedical-ds.com</t>
  </si>
  <si>
    <t>Regulatory Affairs Officer</t>
  </si>
  <si>
    <t>bioMerieux</t>
  </si>
  <si>
    <t>131679466829</t>
  </si>
  <si>
    <t>Himle</t>
  </si>
  <si>
    <t>paul.himle@biomerieux.com</t>
  </si>
  <si>
    <t>Automation Systems Architect</t>
  </si>
  <si>
    <t>Bracco</t>
  </si>
  <si>
    <t>84780417361</t>
  </si>
  <si>
    <t>Johnny</t>
  </si>
  <si>
    <t>Stewart</t>
  </si>
  <si>
    <t>johnny.stewart@bracco.com</t>
  </si>
  <si>
    <t>Sr. Product Security Engineer</t>
  </si>
  <si>
    <t>97156993315</t>
  </si>
  <si>
    <t>Nick</t>
  </si>
  <si>
    <t>Gilbertson</t>
  </si>
  <si>
    <t>nick.gilbertson@bracco.com</t>
  </si>
  <si>
    <t>Cyber Engineer</t>
  </si>
  <si>
    <t>86125842506</t>
  </si>
  <si>
    <t>Abdoulakder</t>
  </si>
  <si>
    <t>Dirieh</t>
  </si>
  <si>
    <t>abdoulkader.dirieh@bracco.com</t>
  </si>
  <si>
    <t>Principle Security Engineer</t>
  </si>
  <si>
    <t>86132200735</t>
  </si>
  <si>
    <t>Inhel</t>
  </si>
  <si>
    <t>Rekik</t>
  </si>
  <si>
    <t>inhel.rekik@bracco.com</t>
  </si>
  <si>
    <t>Sr Director, Product Security</t>
  </si>
  <si>
    <t>Bracco Medical</t>
  </si>
  <si>
    <t>bracco.com</t>
  </si>
  <si>
    <t>Bracco Technologies</t>
  </si>
  <si>
    <t>Brainrobotics</t>
  </si>
  <si>
    <t>Roland</t>
  </si>
  <si>
    <t>schneider</t>
  </si>
  <si>
    <t>roland.schneider@brainrobotics.com</t>
  </si>
  <si>
    <t>brainrobotics.com</t>
  </si>
  <si>
    <t>Product manager</t>
  </si>
  <si>
    <t>Breathe Biomedical 10540</t>
  </si>
  <si>
    <t>Sandra</t>
  </si>
  <si>
    <t>Veenstra</t>
  </si>
  <si>
    <t>sandra.veenstra@breathebiomedical.com</t>
  </si>
  <si>
    <t>breathebiomedical.com</t>
  </si>
  <si>
    <t>Chief Regulatory Officer</t>
  </si>
  <si>
    <t>Bristol Myers Squibb</t>
  </si>
  <si>
    <t>Hewitson</t>
  </si>
  <si>
    <t>michael.hewitson@bms.com</t>
  </si>
  <si>
    <t>bms.com</t>
  </si>
  <si>
    <t>Vice President, Network, Access &amp; Cyber</t>
  </si>
  <si>
    <t>Alim</t>
  </si>
  <si>
    <t>Macauley</t>
  </si>
  <si>
    <t>alim.macauley@bms.com</t>
  </si>
  <si>
    <t>Executive Director Business &amp; Resiliency Risk</t>
  </si>
  <si>
    <t>Broadwell Consulting Inc.</t>
  </si>
  <si>
    <t>Jonathan</t>
  </si>
  <si>
    <t>Broadwell</t>
  </si>
  <si>
    <t>jon@broadwell.consulting</t>
  </si>
  <si>
    <t>broadwell.consulting</t>
  </si>
  <si>
    <t>Consultant</t>
  </si>
  <si>
    <t>BTL Industries</t>
  </si>
  <si>
    <t>Petr</t>
  </si>
  <si>
    <t>Smetana</t>
  </si>
  <si>
    <t>smetanap@btlnet.com</t>
  </si>
  <si>
    <t>btlnet.com</t>
  </si>
  <si>
    <t>Software Quality Assurance Manager</t>
  </si>
  <si>
    <t>Josef</t>
  </si>
  <si>
    <t>Vítů</t>
  </si>
  <si>
    <t>vituj@btlnet.com</t>
  </si>
  <si>
    <t>R&amp;D Firmware Engineer</t>
  </si>
  <si>
    <t>Vratislav</t>
  </si>
  <si>
    <t>Svoboda</t>
  </si>
  <si>
    <t>svobodav@btlnet.com</t>
  </si>
  <si>
    <t>RA</t>
  </si>
  <si>
    <t>Btl Medical Technologies Canada, Inc.</t>
  </si>
  <si>
    <t>Frantisek</t>
  </si>
  <si>
    <t>Lang</t>
  </si>
  <si>
    <t>langf@btlnet.com</t>
  </si>
  <si>
    <t>Project Manager</t>
  </si>
  <si>
    <t>C-RAD Positioning AB 11021</t>
  </si>
  <si>
    <t>Alexander</t>
  </si>
  <si>
    <t>Eriksson</t>
  </si>
  <si>
    <t>alexander.eriksson@c-rad.com</t>
  </si>
  <si>
    <t>c-rad.com</t>
  </si>
  <si>
    <t>Cybersecurity engineer</t>
  </si>
  <si>
    <t>Cadia Healthcare</t>
  </si>
  <si>
    <t>81442473890</t>
  </si>
  <si>
    <t>Amaka</t>
  </si>
  <si>
    <t>Benson</t>
  </si>
  <si>
    <t>abenson@cadiahealthcare.com</t>
  </si>
  <si>
    <t>Cambia Health Solutions</t>
  </si>
  <si>
    <t>Smith</t>
  </si>
  <si>
    <t>michael.smith@cambiahealth.com</t>
  </si>
  <si>
    <t>cambiahealth.com</t>
  </si>
  <si>
    <t>Security Engineer</t>
  </si>
  <si>
    <t>Candid Co.</t>
  </si>
  <si>
    <t>Eddy</t>
  </si>
  <si>
    <t>Azucena</t>
  </si>
  <si>
    <t>eddy.azucena@tpmxco.com</t>
  </si>
  <si>
    <t>tpmxco.com</t>
  </si>
  <si>
    <t>Quality Assurance</t>
  </si>
  <si>
    <t>Cannon Quality Group</t>
  </si>
  <si>
    <t>Millie</t>
  </si>
  <si>
    <t>Huggins</t>
  </si>
  <si>
    <t>millie@cannonqg.com</t>
  </si>
  <si>
    <t>cannonqg.com</t>
  </si>
  <si>
    <t>Jr. Quality Engineer</t>
  </si>
  <si>
    <t>CapsuleTech</t>
  </si>
  <si>
    <t>Madubuike</t>
  </si>
  <si>
    <t>Okafor</t>
  </si>
  <si>
    <t>madubuike.okafor@bioserenity.com</t>
  </si>
  <si>
    <t>bioserenity.com</t>
  </si>
  <si>
    <t>Director of Quality &amp; Regulatory</t>
  </si>
  <si>
    <t>Other</t>
  </si>
  <si>
    <t>Cardiac Insight Inc.</t>
  </si>
  <si>
    <t>Venkatram</t>
  </si>
  <si>
    <t>Chintala</t>
  </si>
  <si>
    <t>vchintala@cardiacinsightinc.com</t>
  </si>
  <si>
    <t>cardiacinsightinc.com</t>
  </si>
  <si>
    <t>Principal Engineer</t>
  </si>
  <si>
    <t>Cardinal Health</t>
  </si>
  <si>
    <t>81424649037</t>
  </si>
  <si>
    <t>Ron</t>
  </si>
  <si>
    <t>Varghese</t>
  </si>
  <si>
    <t>ron.varghese@cardinalhealth.com</t>
  </si>
  <si>
    <t>81433901436</t>
  </si>
  <si>
    <t>Juan</t>
  </si>
  <si>
    <t>Lopez</t>
  </si>
  <si>
    <t>juan.lopez@cardinalhealth.com</t>
  </si>
  <si>
    <t>Manager, IT Network Security</t>
  </si>
  <si>
    <t>81440605544</t>
  </si>
  <si>
    <t>Zachary</t>
  </si>
  <si>
    <t>Rouse</t>
  </si>
  <si>
    <t>zachary.rouse@cardinalhealth.com</t>
  </si>
  <si>
    <t>Cybersecurity SIEM / SOAR Engineer</t>
  </si>
  <si>
    <t>81440605527</t>
  </si>
  <si>
    <t>Daniel</t>
  </si>
  <si>
    <t>Schmelzer</t>
  </si>
  <si>
    <t>daniel.schmelzer@cardinalhealth.com</t>
  </si>
  <si>
    <t>Director, Physical Security Technology, Global Security</t>
  </si>
  <si>
    <t>81435480676</t>
  </si>
  <si>
    <t>Andrea</t>
  </si>
  <si>
    <t>Ravagnani</t>
  </si>
  <si>
    <t>andrea.ravagnani@cardinalhealth.com</t>
  </si>
  <si>
    <t>Information Security Awareness: Cybersecurity Lifelong Learner</t>
  </si>
  <si>
    <t>81442488181</t>
  </si>
  <si>
    <t>Yuanming</t>
  </si>
  <si>
    <t>Tian</t>
  </si>
  <si>
    <t>yuanming.tian@cardinalhealth.com</t>
  </si>
  <si>
    <t>Manager, Information Security &amp; Risk - IT Control Compliance Council - Pharma, Medical, &amp; Corp/GBS</t>
  </si>
  <si>
    <t>81442455867</t>
  </si>
  <si>
    <t>Russell</t>
  </si>
  <si>
    <t>Halsey</t>
  </si>
  <si>
    <t>russell.halsey@cardinalhealth.com</t>
  </si>
  <si>
    <t>Engineer, IT Network Security</t>
  </si>
  <si>
    <t>81442526378</t>
  </si>
  <si>
    <t>Carla</t>
  </si>
  <si>
    <t>carla.smith@cardinalhealth.com</t>
  </si>
  <si>
    <t>Environmental Health Safety Security Area Manager</t>
  </si>
  <si>
    <t>81442845864</t>
  </si>
  <si>
    <t>Cochrane</t>
  </si>
  <si>
    <t>robert.cochrane@cardinalhealth.com</t>
  </si>
  <si>
    <t>Manager, Eastern US &amp; Canada Facilities And Security Technology at Cardinal Health</t>
  </si>
  <si>
    <t>81443314035</t>
  </si>
  <si>
    <t>Austin</t>
  </si>
  <si>
    <t>Hebert</t>
  </si>
  <si>
    <t>austin.hebert@cardinalhealth.com</t>
  </si>
  <si>
    <t>IT Security and Compliance Analyst</t>
  </si>
  <si>
    <t>81443296270</t>
  </si>
  <si>
    <t>Hurd</t>
  </si>
  <si>
    <t>kevin.hurd@cardinalhealth.com</t>
  </si>
  <si>
    <t>Business Information Security Officer (BISO), IT Security &amp; Risk</t>
  </si>
  <si>
    <t>81443537942</t>
  </si>
  <si>
    <t>Miracle</t>
  </si>
  <si>
    <t>jason.miracle@cardinalhealth.com</t>
  </si>
  <si>
    <t>Sr. OT Cybersecurity Engineer</t>
  </si>
  <si>
    <t>81444842392</t>
  </si>
  <si>
    <t>Masika</t>
  </si>
  <si>
    <t>Kristos</t>
  </si>
  <si>
    <t>masika.kristos@cardinalhealth.com</t>
  </si>
  <si>
    <t>Cyber Security/Third Party Risk</t>
  </si>
  <si>
    <t>85163001693</t>
  </si>
  <si>
    <t>Lucretia</t>
  </si>
  <si>
    <t>lucretia.may@cardinalhealth.com</t>
  </si>
  <si>
    <t>Senior, Information Security &amp; Risk</t>
  </si>
  <si>
    <t>Care Everywhere</t>
  </si>
  <si>
    <t>Yan</t>
  </si>
  <si>
    <t>james.yan@careeverywhere.com</t>
  </si>
  <si>
    <t>careeverywhere.com</t>
  </si>
  <si>
    <t>Architect</t>
  </si>
  <si>
    <t>CareFirst Blue Cross Blue Shield</t>
  </si>
  <si>
    <t>Gossell</t>
  </si>
  <si>
    <t>elizabeth.gossell@carefirst.com</t>
  </si>
  <si>
    <t>carefirst.com</t>
  </si>
  <si>
    <t>Caribou Medical Center</t>
  </si>
  <si>
    <t>Sergei</t>
  </si>
  <si>
    <t>Tomin</t>
  </si>
  <si>
    <t>stomin@cariboumc.org</t>
  </si>
  <si>
    <t>cariboumc.org</t>
  </si>
  <si>
    <t>CE Toolbox ApS</t>
  </si>
  <si>
    <t>Dorthe</t>
  </si>
  <si>
    <t>Wallin</t>
  </si>
  <si>
    <t>dw@cetoolbox.eu</t>
  </si>
  <si>
    <t>cetoolbox.eu</t>
  </si>
  <si>
    <t>Senior Consultant</t>
  </si>
  <si>
    <t>Cedar</t>
  </si>
  <si>
    <t>TJ</t>
  </si>
  <si>
    <t>timothy.smith@cedar.com</t>
  </si>
  <si>
    <t>cedar.com</t>
  </si>
  <si>
    <t>Manager / Tech Lead - Security Operations</t>
  </si>
  <si>
    <t>Cefaly Technology 12001</t>
  </si>
  <si>
    <t>Lilliana</t>
  </si>
  <si>
    <t>Delmonico</t>
  </si>
  <si>
    <t>l.delmonico@cefaly.com</t>
  </si>
  <si>
    <t>cefaly.com</t>
  </si>
  <si>
    <t>QA/RAManager</t>
  </si>
  <si>
    <t>CellFE Biotech 11799</t>
  </si>
  <si>
    <t>jeffrey</t>
  </si>
  <si>
    <t>gassman</t>
  </si>
  <si>
    <t>jeffrey@cellfebiotech.com</t>
  </si>
  <si>
    <t>cellfebiotech.com</t>
  </si>
  <si>
    <t>senior quality representative</t>
  </si>
  <si>
    <t>Centerline Biomedical</t>
  </si>
  <si>
    <t>Bradley</t>
  </si>
  <si>
    <t>jason@centerlinebiomedical.com</t>
  </si>
  <si>
    <t>centerlinebiomedical.com</t>
  </si>
  <si>
    <t>Lead Software QA Engineer</t>
  </si>
  <si>
    <t>Galecki</t>
  </si>
  <si>
    <t>joshua.galecki@centerlinebiomedical.com</t>
  </si>
  <si>
    <t>Sr Software Engineer</t>
  </si>
  <si>
    <t>CERNER CORPORATION</t>
  </si>
  <si>
    <t>Mauzey</t>
  </si>
  <si>
    <t>jeff.mauzey@oracle.com</t>
  </si>
  <si>
    <t>oracle.com</t>
  </si>
  <si>
    <t>Lead Regulatory Affairs &amp; Compliance Strategist</t>
  </si>
  <si>
    <t>Charles River</t>
  </si>
  <si>
    <t>Farmer</t>
  </si>
  <si>
    <t>jason.farmer@crl.com</t>
  </si>
  <si>
    <t>crl.com</t>
  </si>
  <si>
    <t>Cyber Threat Intelligence Lead</t>
  </si>
  <si>
    <t>Ciena Healthcare</t>
  </si>
  <si>
    <t>81442926499</t>
  </si>
  <si>
    <t>Soklim</t>
  </si>
  <si>
    <t>Seang</t>
  </si>
  <si>
    <t>sseang@cienahealthcare.com</t>
  </si>
  <si>
    <t>IT Security Engineer</t>
  </si>
  <si>
    <t>Circadia Health</t>
  </si>
  <si>
    <t>Stefan</t>
  </si>
  <si>
    <t>Karolcik</t>
  </si>
  <si>
    <t>stefan@circadia.health</t>
  </si>
  <si>
    <t>circadia.health</t>
  </si>
  <si>
    <t>Head of Manufacturing</t>
  </si>
  <si>
    <t>CIS</t>
  </si>
  <si>
    <t>Hart</t>
  </si>
  <si>
    <t>lisa.hart@cisecurity.org</t>
  </si>
  <si>
    <t>cisecurity.org</t>
  </si>
  <si>
    <t>McGarvey</t>
  </si>
  <si>
    <t>matthew.mcgarvey@cisecurity.org</t>
  </si>
  <si>
    <t>Alliance Manager</t>
  </si>
  <si>
    <t>Cisiv</t>
  </si>
  <si>
    <t>Nadia</t>
  </si>
  <si>
    <t>Mahmood</t>
  </si>
  <si>
    <t>nadia.mahmood@cisiv.com</t>
  </si>
  <si>
    <t>cisiv.com</t>
  </si>
  <si>
    <t>VP of Late Phase</t>
  </si>
  <si>
    <t>Click Therapeutics</t>
  </si>
  <si>
    <t>Brendan</t>
  </si>
  <si>
    <t>Burke</t>
  </si>
  <si>
    <t>bburke@clicktherapeutics.com</t>
  </si>
  <si>
    <t>clicktherapeutics.com</t>
  </si>
  <si>
    <t>Senior Manager</t>
  </si>
  <si>
    <t>Closed Loop Medicine Ltd. 12157</t>
  </si>
  <si>
    <t>Ben</t>
  </si>
  <si>
    <t>ben.austin@closedloopmedicine.com</t>
  </si>
  <si>
    <t>closedloopmedicine.com</t>
  </si>
  <si>
    <t>Cloud Security Solutions</t>
  </si>
  <si>
    <t>Schramm</t>
  </si>
  <si>
    <t>mschramm@cloudsecuritysol.com</t>
  </si>
  <si>
    <t>cloudsecuritysol.com</t>
  </si>
  <si>
    <t>CEO</t>
  </si>
  <si>
    <t>CMR Naviscan Corp.</t>
  </si>
  <si>
    <t>L</t>
  </si>
  <si>
    <t>Lugo</t>
  </si>
  <si>
    <t>llugo@cmrnaviscan.com</t>
  </si>
  <si>
    <t>cmrnaviscan.com</t>
  </si>
  <si>
    <t>Regulatory</t>
  </si>
  <si>
    <t>CMR Surgical</t>
  </si>
  <si>
    <t>chris</t>
  </si>
  <si>
    <t>weatherall</t>
  </si>
  <si>
    <t>chris.weatherall@cmrsurgical.com</t>
  </si>
  <si>
    <t>cmrsurgical.com</t>
  </si>
  <si>
    <t>Chief QARA Officer</t>
  </si>
  <si>
    <t>Jan</t>
  </si>
  <si>
    <t>Chwiejczak</t>
  </si>
  <si>
    <t>jan.chwiejczak@cmrsurgical.com</t>
  </si>
  <si>
    <t>Staff Software Engineer</t>
  </si>
  <si>
    <t>Howe</t>
  </si>
  <si>
    <t>andrew.howe@cmrsurgical.com</t>
  </si>
  <si>
    <t>Principal Software Engineer</t>
  </si>
  <si>
    <t>steven</t>
  </si>
  <si>
    <t>steven.lewis@cmrsurgical.com</t>
  </si>
  <si>
    <t>Cochlear</t>
  </si>
  <si>
    <t>127365813174</t>
  </si>
  <si>
    <t>Victor</t>
  </si>
  <si>
    <t>Akkari</t>
  </si>
  <si>
    <t>vakkari@cochlear.com</t>
  </si>
  <si>
    <t>Vice President, Information Technology Assurance</t>
  </si>
  <si>
    <t>Columbia University Irving Medical Center</t>
  </si>
  <si>
    <t>Miguel</t>
  </si>
  <si>
    <t>Delgado</t>
  </si>
  <si>
    <t>m.delgado@columbia.edu</t>
  </si>
  <si>
    <t>columbia.edu</t>
  </si>
  <si>
    <t>Sr. Security &amp; Privacy Engineer</t>
  </si>
  <si>
    <t>Comate Engineering and Design</t>
  </si>
  <si>
    <t>Cariat</t>
  </si>
  <si>
    <t>eric.cariat@comate.be</t>
  </si>
  <si>
    <t>comate.be</t>
  </si>
  <si>
    <t>embedded software engineer</t>
  </si>
  <si>
    <t>combinationprod.com</t>
  </si>
  <si>
    <t>Susan</t>
  </si>
  <si>
    <t>Neadle</t>
  </si>
  <si>
    <t>sneadle@combinationprod.com</t>
  </si>
  <si>
    <t>Commonspirit Health</t>
  </si>
  <si>
    <t>Chris</t>
  </si>
  <si>
    <t>Castellano</t>
  </si>
  <si>
    <t>christopher.castellano@commonspirit.org</t>
  </si>
  <si>
    <t>commonspirit.org</t>
  </si>
  <si>
    <t>CommonSpirit Health</t>
  </si>
  <si>
    <t>81421608450</t>
  </si>
  <si>
    <t>Masters</t>
  </si>
  <si>
    <t>gmasters@commonspirit.org</t>
  </si>
  <si>
    <t>System Director - Cyber Engineering Services</t>
  </si>
  <si>
    <t>81408266052</t>
  </si>
  <si>
    <t>Haizlip</t>
  </si>
  <si>
    <t>phaizlip@commonspirit.org</t>
  </si>
  <si>
    <t>ITD Cybersecurity Senior Engineer</t>
  </si>
  <si>
    <t>81415694417</t>
  </si>
  <si>
    <t>Jessica</t>
  </si>
  <si>
    <t>Patterson</t>
  </si>
  <si>
    <t>jpatterson@commonspirit.org</t>
  </si>
  <si>
    <t>Sys. Manager IT Cybersecurity â€¢ IT Security Engineering</t>
  </si>
  <si>
    <t>81415694411</t>
  </si>
  <si>
    <t>Eva</t>
  </si>
  <si>
    <t>Stein</t>
  </si>
  <si>
    <t>estein@commonspirit.org</t>
  </si>
  <si>
    <t>IT Cybersecurity Senior Project Manager</t>
  </si>
  <si>
    <t>81415694436</t>
  </si>
  <si>
    <t>Larocque</t>
  </si>
  <si>
    <t>mlarocque@commonspirit.org</t>
  </si>
  <si>
    <t>81433901444</t>
  </si>
  <si>
    <t>Nicholas</t>
  </si>
  <si>
    <t>Koukis</t>
  </si>
  <si>
    <t>nkoukis@commonspirit.org</t>
  </si>
  <si>
    <t>Cybersecurity Senior Analyst</t>
  </si>
  <si>
    <t>81433944207</t>
  </si>
  <si>
    <t>Lusco</t>
  </si>
  <si>
    <t>jlusco@commonspirit.org</t>
  </si>
  <si>
    <t>Cybersecurity Senior Analyst- Physical Controls</t>
  </si>
  <si>
    <t>81433901449</t>
  </si>
  <si>
    <t>Beacham</t>
  </si>
  <si>
    <t>jbeacham@commonspirit.org</t>
  </si>
  <si>
    <t>81433857960</t>
  </si>
  <si>
    <t>Lorie</t>
  </si>
  <si>
    <t>Brady</t>
  </si>
  <si>
    <t>lbrady@commonspirit.org</t>
  </si>
  <si>
    <t>Cyber Security Senior Engineer</t>
  </si>
  <si>
    <t>81433872704</t>
  </si>
  <si>
    <t>Annette</t>
  </si>
  <si>
    <t>Levin</t>
  </si>
  <si>
    <t>alevin@commonspirit.org</t>
  </si>
  <si>
    <t>Cybersecurity Portfolio Manager</t>
  </si>
  <si>
    <t>81433915985</t>
  </si>
  <si>
    <t>Miner</t>
  </si>
  <si>
    <t>kminer@commonspirit.org</t>
  </si>
  <si>
    <t>81433915996</t>
  </si>
  <si>
    <t>Melissa</t>
  </si>
  <si>
    <t>Porter</t>
  </si>
  <si>
    <t>mporter@commonspirit.org</t>
  </si>
  <si>
    <t>Cybersecurity Analyst - Access Governance</t>
  </si>
  <si>
    <t>81433262658</t>
  </si>
  <si>
    <t>Greg</t>
  </si>
  <si>
    <t>Dillman</t>
  </si>
  <si>
    <t>gdillman@commonspirit.org</t>
  </si>
  <si>
    <t>81433262621</t>
  </si>
  <si>
    <t>Menachem</t>
  </si>
  <si>
    <t>Roubini</t>
  </si>
  <si>
    <t>mroubini@commonspirit.org</t>
  </si>
  <si>
    <t>IT Cybersecurity Principal Engineer</t>
  </si>
  <si>
    <t>81433858058</t>
  </si>
  <si>
    <t>Zvolensky</t>
  </si>
  <si>
    <t>czvolensky@commonspirit.org</t>
  </si>
  <si>
    <t>IT Security Engineer III</t>
  </si>
  <si>
    <t>81433929772</t>
  </si>
  <si>
    <t>Kenneth</t>
  </si>
  <si>
    <t>Matthews</t>
  </si>
  <si>
    <t>kmatthews@commonspirit.org</t>
  </si>
  <si>
    <t>Cybersecurity Senior Engineer</t>
  </si>
  <si>
    <t>81433872695</t>
  </si>
  <si>
    <t>Mike</t>
  </si>
  <si>
    <t>Tedeschi</t>
  </si>
  <si>
    <t>mtedeschi@commonspirit.org</t>
  </si>
  <si>
    <t>System Vice President, Cybersecurity Solutions Engineering</t>
  </si>
  <si>
    <t>81433929777</t>
  </si>
  <si>
    <t>Harrison</t>
  </si>
  <si>
    <t>Zepeda</t>
  </si>
  <si>
    <t>hzepeda@commonspirit.org</t>
  </si>
  <si>
    <t>IT Cybersecurity Associate Analyst</t>
  </si>
  <si>
    <t>81437600026</t>
  </si>
  <si>
    <t>Weaver</t>
  </si>
  <si>
    <t>kweaver@commonspirit.org</t>
  </si>
  <si>
    <t>Division Cybersecurity Officer - Texas</t>
  </si>
  <si>
    <t>81437600022</t>
  </si>
  <si>
    <t>Derek</t>
  </si>
  <si>
    <t>Board</t>
  </si>
  <si>
    <t>dboard@commonspirit.org</t>
  </si>
  <si>
    <t>CyberSecurity (CS) Senior Engineer</t>
  </si>
  <si>
    <t>81434355363</t>
  </si>
  <si>
    <t>astewart@commonspirit.org</t>
  </si>
  <si>
    <t>Region Cybersecurity Officer, Northwest</t>
  </si>
  <si>
    <t>81440633944</t>
  </si>
  <si>
    <t>Beverly</t>
  </si>
  <si>
    <t>Stahl</t>
  </si>
  <si>
    <t>bstahl@commonspirit.org</t>
  </si>
  <si>
    <t>81438936649</t>
  </si>
  <si>
    <t>Griswold</t>
  </si>
  <si>
    <t>egriswold@commonspirit.org</t>
  </si>
  <si>
    <t>Cybersecurity Senior Engineer, Incident Response and Threat Intelligence</t>
  </si>
  <si>
    <t>81438936650</t>
  </si>
  <si>
    <t>Aman</t>
  </si>
  <si>
    <t>Singhania</t>
  </si>
  <si>
    <t>asinghania@commonspirit.org</t>
  </si>
  <si>
    <t>SVP, Chief Information Security Officer and Chief Technology Officer (CISO &amp; CTO)</t>
  </si>
  <si>
    <t>81434650995</t>
  </si>
  <si>
    <t>Courtney</t>
  </si>
  <si>
    <t>Warland</t>
  </si>
  <si>
    <t>cwarland@commonspirit.org</t>
  </si>
  <si>
    <t>81435480694</t>
  </si>
  <si>
    <t>Ada</t>
  </si>
  <si>
    <t>Scorsone</t>
  </si>
  <si>
    <t>ascorsone@commonspirit.org</t>
  </si>
  <si>
    <t>Senior IT Cyber Risk Analyst</t>
  </si>
  <si>
    <t>81434636649</t>
  </si>
  <si>
    <t>Dawn</t>
  </si>
  <si>
    <t>Sanchez</t>
  </si>
  <si>
    <t>dsanchez@commonspirit.org</t>
  </si>
  <si>
    <t>IT Security Analyst II- CIAM</t>
  </si>
  <si>
    <t>81434455818</t>
  </si>
  <si>
    <t>Erickson</t>
  </si>
  <si>
    <t>jerickson@commonspirit.org</t>
  </si>
  <si>
    <t>81434355456</t>
  </si>
  <si>
    <t>O</t>
  </si>
  <si>
    <t>mo@commonspirit.org</t>
  </si>
  <si>
    <t>Enterprise Cybersecurity Senior Analyst</t>
  </si>
  <si>
    <t>81434455824</t>
  </si>
  <si>
    <t>Azizul</t>
  </si>
  <si>
    <t>Islam</t>
  </si>
  <si>
    <t>aislam@commonspirit.org</t>
  </si>
  <si>
    <t>81434443583</t>
  </si>
  <si>
    <t>Nicole</t>
  </si>
  <si>
    <t>Viellenave</t>
  </si>
  <si>
    <t>nviellenave@commonspirit.org</t>
  </si>
  <si>
    <t>Cybersecurity Analyst</t>
  </si>
  <si>
    <t>81442473995</t>
  </si>
  <si>
    <t>Barnes</t>
  </si>
  <si>
    <t>ebarnes@commonspirit.org</t>
  </si>
  <si>
    <t>81442526474</t>
  </si>
  <si>
    <t>Musyoki</t>
  </si>
  <si>
    <t>kmusyoki@commonspirit.org</t>
  </si>
  <si>
    <t>81442474011</t>
  </si>
  <si>
    <t>Hernandez</t>
  </si>
  <si>
    <t>jhernandez@commonspirit.org</t>
  </si>
  <si>
    <t>Cybersecurity Associate Analyst</t>
  </si>
  <si>
    <t>81442474015</t>
  </si>
  <si>
    <t>Chad</t>
  </si>
  <si>
    <t>Parrish</t>
  </si>
  <si>
    <t>cparrish@commonspirit.org</t>
  </si>
  <si>
    <t>CyberSecurity Engineer</t>
  </si>
  <si>
    <t>81442474019</t>
  </si>
  <si>
    <t>Arzate</t>
  </si>
  <si>
    <t>jarzate@commonspirit.org</t>
  </si>
  <si>
    <t>Cybersecurity Analyst - Vulnerability Management</t>
  </si>
  <si>
    <t>81441151015</t>
  </si>
  <si>
    <t>Leboeuf</t>
  </si>
  <si>
    <t>aleboeuf@commonspirit.org</t>
  </si>
  <si>
    <t>81441151019</t>
  </si>
  <si>
    <t>Polly</t>
  </si>
  <si>
    <t>Merkner</t>
  </si>
  <si>
    <t>pmerkner@commonspirit.org</t>
  </si>
  <si>
    <t>IT Cybersecurity Engineer</t>
  </si>
  <si>
    <t>81442488219</t>
  </si>
  <si>
    <t>Xiong</t>
  </si>
  <si>
    <t>cxiong@commonspirit.org</t>
  </si>
  <si>
    <t>Cyber Security Business Operations</t>
  </si>
  <si>
    <t>81441165194</t>
  </si>
  <si>
    <t>Luke</t>
  </si>
  <si>
    <t>Mahoney</t>
  </si>
  <si>
    <t>lmahoney@commonspirit.org</t>
  </si>
  <si>
    <t>Physical Security Project Manager</t>
  </si>
  <si>
    <t>81442488239</t>
  </si>
  <si>
    <t>Opland</t>
  </si>
  <si>
    <t>aopland@commonspirit.org</t>
  </si>
  <si>
    <t>National System Manager of Physical Security Technology</t>
  </si>
  <si>
    <t>81441165234</t>
  </si>
  <si>
    <t>Praveen</t>
  </si>
  <si>
    <t>Uprety</t>
  </si>
  <si>
    <t>puprety@commonspirit.org</t>
  </si>
  <si>
    <t>Sr. IAM and Cyber Security Engineer/Architect</t>
  </si>
  <si>
    <t>81442488238</t>
  </si>
  <si>
    <t>cmiller@commonspirit.org</t>
  </si>
  <si>
    <t>Senior IT Cybersecurity Engineer</t>
  </si>
  <si>
    <t>81441165228</t>
  </si>
  <si>
    <t>Nickolas</t>
  </si>
  <si>
    <t>nsmith@commonspirit.org</t>
  </si>
  <si>
    <t>Cyber Security Sr. Project Manager</t>
  </si>
  <si>
    <t>81442724946</t>
  </si>
  <si>
    <t>Danielle</t>
  </si>
  <si>
    <t>Assuah</t>
  </si>
  <si>
    <t>dassuah@commonspirit.org</t>
  </si>
  <si>
    <t>IT Cybersecurity Sr. Analyst</t>
  </si>
  <si>
    <t>81442540555</t>
  </si>
  <si>
    <t>Bill</t>
  </si>
  <si>
    <t>Hubbard</t>
  </si>
  <si>
    <t>bhubbard@commonspirit.org</t>
  </si>
  <si>
    <t>Manager, Vulnerability Management and Cyber Hygiene</t>
  </si>
  <si>
    <t>81442553099</t>
  </si>
  <si>
    <t>Pineda</t>
  </si>
  <si>
    <t>jpineda@commonspirit.org</t>
  </si>
  <si>
    <t>IT Cybersecurity Analyst in Cybersecurity Physical Controls</t>
  </si>
  <si>
    <t>81442540548</t>
  </si>
  <si>
    <t>Dan</t>
  </si>
  <si>
    <t>Kinder</t>
  </si>
  <si>
    <t>dkinder@commonspirit.org</t>
  </si>
  <si>
    <t>Sr Project Manager Cybersecurity</t>
  </si>
  <si>
    <t>81442766594</t>
  </si>
  <si>
    <t>Mikhail</t>
  </si>
  <si>
    <t>Shevchuk</t>
  </si>
  <si>
    <t>mshevchuk@commonspirit.org</t>
  </si>
  <si>
    <t>IT Cyber Security Analyst</t>
  </si>
  <si>
    <t>81442753326</t>
  </si>
  <si>
    <t>Coltrane</t>
  </si>
  <si>
    <t>Suazo</t>
  </si>
  <si>
    <t>csuazo@commonspirit.org</t>
  </si>
  <si>
    <t>Biomedical Cybersecurity Engineer</t>
  </si>
  <si>
    <t>81442526506</t>
  </si>
  <si>
    <t>Beebout</t>
  </si>
  <si>
    <t>abeebout@commonspirit.org</t>
  </si>
  <si>
    <t>Regional Cybersecurity Officer</t>
  </si>
  <si>
    <t>81442711469</t>
  </si>
  <si>
    <t>Levy</t>
  </si>
  <si>
    <t>dlevy@commonspirit.org</t>
  </si>
  <si>
    <t>81442581412</t>
  </si>
  <si>
    <t>Cox</t>
  </si>
  <si>
    <t>jcox@commonspirit.org</t>
  </si>
  <si>
    <t>IT Cybersecurity Program Manager, Cybersecurity | Portfolio and Transformation | Program Delivery</t>
  </si>
  <si>
    <t>81442581428</t>
  </si>
  <si>
    <t>Josiah</t>
  </si>
  <si>
    <t>jbradley@commonspirit.org</t>
  </si>
  <si>
    <t>81442997055</t>
  </si>
  <si>
    <t>Marshall</t>
  </si>
  <si>
    <t>mmarshall@commonspirit.org</t>
  </si>
  <si>
    <t>81442939929</t>
  </si>
  <si>
    <t>Lawson</t>
  </si>
  <si>
    <t>Hampton</t>
  </si>
  <si>
    <t>lhampton@commonspirit.org</t>
  </si>
  <si>
    <t>Cyber Security Professional</t>
  </si>
  <si>
    <t>81442939935</t>
  </si>
  <si>
    <t>Gallo</t>
  </si>
  <si>
    <t>dgallo@commonspirit.org</t>
  </si>
  <si>
    <t>81442966685</t>
  </si>
  <si>
    <t>Deb</t>
  </si>
  <si>
    <t>Veik</t>
  </si>
  <si>
    <t>dveik@commonspirit.org</t>
  </si>
  <si>
    <t>ITD Test Engineer/ Cybersecurity</t>
  </si>
  <si>
    <t>81443314074</t>
  </si>
  <si>
    <t>Jesse</t>
  </si>
  <si>
    <t>Elgan</t>
  </si>
  <si>
    <t>jelgan@commonspirit.org</t>
  </si>
  <si>
    <t>81442926466</t>
  </si>
  <si>
    <t>Brett</t>
  </si>
  <si>
    <t>Larsen</t>
  </si>
  <si>
    <t>blarsen@commonspirit.org</t>
  </si>
  <si>
    <t>Manager, Cybersecurity Risk Assessments</t>
  </si>
  <si>
    <t>81442926468</t>
  </si>
  <si>
    <t>Swangler</t>
  </si>
  <si>
    <t>aswangler@commonspirit.org</t>
  </si>
  <si>
    <t>IT Tech Infrastructure Cybersecurity Engineer</t>
  </si>
  <si>
    <t>81443650163</t>
  </si>
  <si>
    <t>Maili</t>
  </si>
  <si>
    <t>Methe</t>
  </si>
  <si>
    <t>mmethe@commonspirit.org</t>
  </si>
  <si>
    <t>CyberSecurity Senior Analyst</t>
  </si>
  <si>
    <t>81443650164</t>
  </si>
  <si>
    <t>Eddie</t>
  </si>
  <si>
    <t>Gallant</t>
  </si>
  <si>
    <t>egallant@commonspirit.org</t>
  </si>
  <si>
    <t>81443637092</t>
  </si>
  <si>
    <t>Bernsdorff</t>
  </si>
  <si>
    <t>kbernsdorff@commonspirit.org</t>
  </si>
  <si>
    <t>81443637083</t>
  </si>
  <si>
    <t>Strohschein</t>
  </si>
  <si>
    <t>jstrohschein@commonspirit.org</t>
  </si>
  <si>
    <t>IT Cybersecurity Analyst</t>
  </si>
  <si>
    <t>81444862029</t>
  </si>
  <si>
    <t>Otteson</t>
  </si>
  <si>
    <t>botteson@commonspirit.org</t>
  </si>
  <si>
    <t>Cybersecurity Enterprise Principal Engineer</t>
  </si>
  <si>
    <t>81443392068</t>
  </si>
  <si>
    <t>Keller</t>
  </si>
  <si>
    <t>ckeller@commonspirit.org</t>
  </si>
  <si>
    <t>System Manager, Cybersecurity Operations</t>
  </si>
  <si>
    <t>81443392065</t>
  </si>
  <si>
    <t>BJ</t>
  </si>
  <si>
    <t>brodriguez@commonspirit.org</t>
  </si>
  <si>
    <t>Entity Cybersecurity Officer DHMSO</t>
  </si>
  <si>
    <t>81443537987</t>
  </si>
  <si>
    <t>Hashem</t>
  </si>
  <si>
    <t>mhashem@commonspirit.org</t>
  </si>
  <si>
    <t>Cybersecurity Sr. Project Manager</t>
  </si>
  <si>
    <t>81443552322</t>
  </si>
  <si>
    <t>Brisbin</t>
  </si>
  <si>
    <t>mbrisbin@commonspirit.org</t>
  </si>
  <si>
    <t>Cybersecurity Senior Technical Analyst</t>
  </si>
  <si>
    <t>81443552314</t>
  </si>
  <si>
    <t>Meyburg</t>
  </si>
  <si>
    <t>pmeyburg@commonspirit.org</t>
  </si>
  <si>
    <t>81443537975</t>
  </si>
  <si>
    <t>Akilnath</t>
  </si>
  <si>
    <t>Bodipudi</t>
  </si>
  <si>
    <t>abodipudi@commonspirit.org</t>
  </si>
  <si>
    <t>IT Cybersecurity Senior Engineer</t>
  </si>
  <si>
    <t>81444625837</t>
  </si>
  <si>
    <t>Palak</t>
  </si>
  <si>
    <t>ppatel@commonspirit.org</t>
  </si>
  <si>
    <t>Network Engineer/Cybersecurity Engineer</t>
  </si>
  <si>
    <t>81443922081</t>
  </si>
  <si>
    <t>Erica</t>
  </si>
  <si>
    <t>enicholas@commonspirit.org</t>
  </si>
  <si>
    <t>IT Cybersecurity Sr Analyst</t>
  </si>
  <si>
    <t>81444625845</t>
  </si>
  <si>
    <t>Jill</t>
  </si>
  <si>
    <t>Barclay</t>
  </si>
  <si>
    <t>jbarclay@commonspirit.org</t>
  </si>
  <si>
    <t>System Manager, Cybersecurity Awareness, Training and Communications</t>
  </si>
  <si>
    <t>81443770520</t>
  </si>
  <si>
    <t>Tamillo</t>
  </si>
  <si>
    <t>ltamillo@commonspirit.org</t>
  </si>
  <si>
    <t>System Manager, IT Cybersecurity, Identity Access Governance</t>
  </si>
  <si>
    <t>81443770499</t>
  </si>
  <si>
    <t>Blake</t>
  </si>
  <si>
    <t>Gara</t>
  </si>
  <si>
    <t>bgara@commonspirit.org</t>
  </si>
  <si>
    <t>85181653282</t>
  </si>
  <si>
    <t>christopher.miller904@commonspirit.org</t>
  </si>
  <si>
    <t>Senior CyberSecurity Engineer</t>
  </si>
  <si>
    <t>81444915527</t>
  </si>
  <si>
    <t>McKeever</t>
  </si>
  <si>
    <t>jmckeever@commonspirit.org</t>
  </si>
  <si>
    <t>System Manager of Cyber Hygiene</t>
  </si>
  <si>
    <t>81444889646</t>
  </si>
  <si>
    <t>mandrews@commonspirit.org</t>
  </si>
  <si>
    <t>81444889663</t>
  </si>
  <si>
    <t>Allan</t>
  </si>
  <si>
    <t>eallan@commonspirit.org</t>
  </si>
  <si>
    <t>Director, Enterprise Cybersecurity Architecture</t>
  </si>
  <si>
    <t>81445329174</t>
  </si>
  <si>
    <t>Rapp</t>
  </si>
  <si>
    <t>nrapp@commonspirit.org</t>
  </si>
  <si>
    <t>System Manager - IT Cybersecurity</t>
  </si>
  <si>
    <t>81445329168</t>
  </si>
  <si>
    <t>Frank</t>
  </si>
  <si>
    <t>Tanner</t>
  </si>
  <si>
    <t>ftanner@commonspirit.org</t>
  </si>
  <si>
    <t>Senior Engineer, CyberSecurity Identity and Access Management</t>
  </si>
  <si>
    <t>81445329178</t>
  </si>
  <si>
    <t>Liana</t>
  </si>
  <si>
    <t>Kuzmick</t>
  </si>
  <si>
    <t>lkuzmick@commonspirit.org</t>
  </si>
  <si>
    <t>81445329177</t>
  </si>
  <si>
    <t>bmiller@commonspirit.org</t>
  </si>
  <si>
    <t>85175186949</t>
  </si>
  <si>
    <t>Rajat</t>
  </si>
  <si>
    <t>Pani</t>
  </si>
  <si>
    <t>rajat.pani@commonspirit.org</t>
  </si>
  <si>
    <t>81444946569</t>
  </si>
  <si>
    <t>Corey</t>
  </si>
  <si>
    <t>Elinburg</t>
  </si>
  <si>
    <t>celinburg@commonspirit.org</t>
  </si>
  <si>
    <t>Sr. Vice President - Chief Information Security Officer &amp; Chief Regional Health Technology Officer</t>
  </si>
  <si>
    <t>81444946568</t>
  </si>
  <si>
    <t>Bernt</t>
  </si>
  <si>
    <t>Askildsen</t>
  </si>
  <si>
    <t>baskildsen@commonspirit.org</t>
  </si>
  <si>
    <t>Cybersecurity Clinical Engineering Manager</t>
  </si>
  <si>
    <t>81444946563</t>
  </si>
  <si>
    <t>Harold</t>
  </si>
  <si>
    <t>Mackey</t>
  </si>
  <si>
    <t>hmackey@commonspirit.org</t>
  </si>
  <si>
    <t>Cybersecurity Senior Analyst Awareness and Training</t>
  </si>
  <si>
    <t>119924287767</t>
  </si>
  <si>
    <t>jessica.patterson900@commonspirit.org</t>
  </si>
  <si>
    <t>Sys Manager, Cybersecurity</t>
  </si>
  <si>
    <t>123056159137</t>
  </si>
  <si>
    <t>scott.christensen@commonspirit.org</t>
  </si>
  <si>
    <t>System Director - DFIR</t>
  </si>
  <si>
    <t>85186307676</t>
  </si>
  <si>
    <t>bill.hubbard@commonspirit.org</t>
  </si>
  <si>
    <t>Director, Attack Surface Management</t>
  </si>
  <si>
    <t>123056344950</t>
  </si>
  <si>
    <t>stephen.markling@commonspirit.org</t>
  </si>
  <si>
    <t>Community Health</t>
  </si>
  <si>
    <t>Pintabona</t>
  </si>
  <si>
    <t>michael_pintabona@chs.net</t>
  </si>
  <si>
    <t>chs.net</t>
  </si>
  <si>
    <t>Sr. Threat Intelligence Engineer</t>
  </si>
  <si>
    <t>Ademola</t>
  </si>
  <si>
    <t>Aina</t>
  </si>
  <si>
    <t>aaina@ecommunity.com</t>
  </si>
  <si>
    <t>ecommunity.com</t>
  </si>
  <si>
    <t>Snr IT Risk and Compliance Analyst</t>
  </si>
  <si>
    <t>Community Health Network</t>
  </si>
  <si>
    <t>Weigle</t>
  </si>
  <si>
    <t>jweigle@ecommunity.com</t>
  </si>
  <si>
    <t>Director of IT Risk and Compliance</t>
  </si>
  <si>
    <t>Congenius</t>
  </si>
  <si>
    <t>Bruno</t>
  </si>
  <si>
    <t>Gretler</t>
  </si>
  <si>
    <t>bruno.gretler@congenius.ch</t>
  </si>
  <si>
    <t>congenius.ch</t>
  </si>
  <si>
    <t>Head RA/CA</t>
  </si>
  <si>
    <t>Congenius AG</t>
  </si>
  <si>
    <t>Gardner</t>
  </si>
  <si>
    <t>paul.gardner@congenius.ch</t>
  </si>
  <si>
    <t>Head CoE eHealth</t>
  </si>
  <si>
    <t>ConMed Corporation</t>
  </si>
  <si>
    <t>Duong</t>
  </si>
  <si>
    <t>Le</t>
  </si>
  <si>
    <t>duongle@conmed.com</t>
  </si>
  <si>
    <t>conmed.com</t>
  </si>
  <si>
    <t>Quality Engineer</t>
  </si>
  <si>
    <t>Conscious Consulting Solutions,</t>
  </si>
  <si>
    <t>Seema</t>
  </si>
  <si>
    <t>seema@consciousconsultingsolutions.net</t>
  </si>
  <si>
    <t>consciousconsultingsolutions.net</t>
  </si>
  <si>
    <t>Consensia</t>
  </si>
  <si>
    <t>aaron@sunstonepilot.com</t>
  </si>
  <si>
    <t>sunstonepilot.com</t>
  </si>
  <si>
    <t>Tugman</t>
  </si>
  <si>
    <t>jasontugman@gmail.com</t>
  </si>
  <si>
    <t>gmail.com</t>
  </si>
  <si>
    <t>Cook Children's Hospital</t>
  </si>
  <si>
    <t>Fabian</t>
  </si>
  <si>
    <t>Sybille</t>
  </si>
  <si>
    <t>fabian.sybille@cookchildrens.org</t>
  </si>
  <si>
    <t>cookchildrens.org</t>
  </si>
  <si>
    <t>Sr Security Engineer</t>
  </si>
  <si>
    <t>Cook Medical</t>
  </si>
  <si>
    <t>81415694424</t>
  </si>
  <si>
    <t>Melinda</t>
  </si>
  <si>
    <t>Vanderbok</t>
  </si>
  <si>
    <t>melinda.vanderbok@cookmedical.com</t>
  </si>
  <si>
    <t>IT Global Product Manager - Information Security &amp; Data Privacy</t>
  </si>
  <si>
    <t>81434443556</t>
  </si>
  <si>
    <t>jared.wolf@cookmedical.com</t>
  </si>
  <si>
    <t>Cooper Surgical, Inc.</t>
  </si>
  <si>
    <t>Suzon</t>
  </si>
  <si>
    <t>Lommel</t>
  </si>
  <si>
    <t>suzon.lommel@coopersurgical.com</t>
  </si>
  <si>
    <t>coopersurgical.com</t>
  </si>
  <si>
    <t>Sr. Regulatory Advisor</t>
  </si>
  <si>
    <t>CooperSurgical</t>
  </si>
  <si>
    <t>81442984206</t>
  </si>
  <si>
    <t>Richard</t>
  </si>
  <si>
    <t>richard.stewart@coopersurgical.com</t>
  </si>
  <si>
    <t>Vice President IT Infrastructure,Operations &amp; Security</t>
  </si>
  <si>
    <t>cortexep.com</t>
  </si>
  <si>
    <t>mwilson@cortexep.com</t>
  </si>
  <si>
    <t>Director of Software Architecture</t>
  </si>
  <si>
    <t>Creo Medical 10985</t>
  </si>
  <si>
    <t>lisa.may@creomedical.com</t>
  </si>
  <si>
    <t>creomedical.com</t>
  </si>
  <si>
    <t>Cumulys</t>
  </si>
  <si>
    <t>Tobias</t>
  </si>
  <si>
    <t>Whitney</t>
  </si>
  <si>
    <t>twhitney@cumulysinc.com</t>
  </si>
  <si>
    <t>cumulysinc.com</t>
  </si>
  <si>
    <t>Cutera</t>
  </si>
  <si>
    <t>81443091061</t>
  </si>
  <si>
    <t>Candice</t>
  </si>
  <si>
    <t>Waugh</t>
  </si>
  <si>
    <t>cwaugh@cutera.com</t>
  </si>
  <si>
    <t>CVS Health</t>
  </si>
  <si>
    <t>Guy</t>
  </si>
  <si>
    <t>Procope</t>
  </si>
  <si>
    <t>procopeg@aetna.com</t>
  </si>
  <si>
    <t>aetna.com</t>
  </si>
  <si>
    <t>Virender</t>
  </si>
  <si>
    <t>Dhiman</t>
  </si>
  <si>
    <t>dhimanv@aetna.com</t>
  </si>
  <si>
    <t>Sr. Data Scientist</t>
  </si>
  <si>
    <t>81424649005</t>
  </si>
  <si>
    <t>Manuela</t>
  </si>
  <si>
    <t>Birner</t>
  </si>
  <si>
    <t>manuela.birner@cvshealth.com</t>
  </si>
  <si>
    <t>Advisor/Team Lead - Enterprise Information Security; IT Compliance</t>
  </si>
  <si>
    <t>81408265913</t>
  </si>
  <si>
    <t>Ryan</t>
  </si>
  <si>
    <t>Greene</t>
  </si>
  <si>
    <t>ryan.greene@cvshealth.com</t>
  </si>
  <si>
    <t>Manager, IT Security Operations</t>
  </si>
  <si>
    <t>81418251786</t>
  </si>
  <si>
    <t>Sonia</t>
  </si>
  <si>
    <t>Arista</t>
  </si>
  <si>
    <t>sonia.arista@cvshealth.com</t>
  </si>
  <si>
    <t>AVP Cybersecurity Affairs &amp; Strategic Operations</t>
  </si>
  <si>
    <t>81424649069</t>
  </si>
  <si>
    <t>Rosie</t>
  </si>
  <si>
    <t>rosie.thomas@cvshealth.com</t>
  </si>
  <si>
    <t>81424649068</t>
  </si>
  <si>
    <t>Zain</t>
  </si>
  <si>
    <t>Siddiqui</t>
  </si>
  <si>
    <t>zain.siddiqui@cvshealth.com</t>
  </si>
  <si>
    <t>Lead Cyber Ark Security Engineer</t>
  </si>
  <si>
    <t>81433944213</t>
  </si>
  <si>
    <t>Vinith</t>
  </si>
  <si>
    <t>Kudikala</t>
  </si>
  <si>
    <t>vinith@cvshealth.com</t>
  </si>
  <si>
    <t>Sr Cyber Security Engineer</t>
  </si>
  <si>
    <t>81433916002</t>
  </si>
  <si>
    <t>Mott</t>
  </si>
  <si>
    <t>tyler.mott@cvshealth.com</t>
  </si>
  <si>
    <t>Cyber Security Incident Response Team Engineer</t>
  </si>
  <si>
    <t>81438936621</t>
  </si>
  <si>
    <t>Motta</t>
  </si>
  <si>
    <t>christine.motta@cvshealth.com</t>
  </si>
  <si>
    <t>81434650947</t>
  </si>
  <si>
    <t>Kapica</t>
  </si>
  <si>
    <t>frank.kapica@cvshealth.com</t>
  </si>
  <si>
    <t>Director, Business Information Security Officer (Aetna | Healthcare Benefits)</t>
  </si>
  <si>
    <t>81435480650</t>
  </si>
  <si>
    <t>Milpesh</t>
  </si>
  <si>
    <t>Anjan</t>
  </si>
  <si>
    <t>milpesh.anjan@cvshealth.com</t>
  </si>
  <si>
    <t>Lead Director, IAM and Cybersecurity</t>
  </si>
  <si>
    <t>81435480647</t>
  </si>
  <si>
    <t>Stephanie</t>
  </si>
  <si>
    <t>Sheaffer</t>
  </si>
  <si>
    <t>stephanie.sheaffer@cvshealth.com</t>
  </si>
  <si>
    <t>Senior IT Security Advisor</t>
  </si>
  <si>
    <t>81434443525</t>
  </si>
  <si>
    <t>Gray</t>
  </si>
  <si>
    <t>gary.gray@cvshealth.com</t>
  </si>
  <si>
    <t>Sr. Advisor, Security Architecture at CVS Health</t>
  </si>
  <si>
    <t>81442455888</t>
  </si>
  <si>
    <t>Fennie</t>
  </si>
  <si>
    <t>Lam</t>
  </si>
  <si>
    <t>fennie.lam@cvshealth.com</t>
  </si>
  <si>
    <t>IT Security &amp; Compliance (Retail Systems), Data Steward - Advisor</t>
  </si>
  <si>
    <t>81441165168</t>
  </si>
  <si>
    <t>Ahmad</t>
  </si>
  <si>
    <t>El-Asmar</t>
  </si>
  <si>
    <t>ahmad.el-asmar@cvshealth.com</t>
  </si>
  <si>
    <t>Senior Cybersecurity Risk Management Analyst</t>
  </si>
  <si>
    <t>81440633965</t>
  </si>
  <si>
    <t>virender.dhiman@cvshealth.com</t>
  </si>
  <si>
    <t>Senior Data Scientist, Cybersecurity</t>
  </si>
  <si>
    <t>81440633961</t>
  </si>
  <si>
    <t>Tina</t>
  </si>
  <si>
    <t>Turner</t>
  </si>
  <si>
    <t>tina.turner@cvshealth.com</t>
  </si>
  <si>
    <t>81440633978</t>
  </si>
  <si>
    <t>tom.joseph@cvshealth.com</t>
  </si>
  <si>
    <t>Sr. IT Security and Compliance Consultant - Enterprise Platform</t>
  </si>
  <si>
    <t>81440779933</t>
  </si>
  <si>
    <t>Oliver</t>
  </si>
  <si>
    <t>Ambu</t>
  </si>
  <si>
    <t>oliver.ambu@cvshealth.com</t>
  </si>
  <si>
    <t>IT Security - Guardium Engineer</t>
  </si>
  <si>
    <t>81442526373</t>
  </si>
  <si>
    <t>Abrahamson</t>
  </si>
  <si>
    <t>jason.abrahamson@cvshealth.com</t>
  </si>
  <si>
    <t>Executive Director, Cyber Security Operations</t>
  </si>
  <si>
    <t>81442739023</t>
  </si>
  <si>
    <t>Young</t>
  </si>
  <si>
    <t>michael.young@cvshealth.com</t>
  </si>
  <si>
    <t>81442739033</t>
  </si>
  <si>
    <t>Cote</t>
  </si>
  <si>
    <t>jonathan.cote@cvshealth.com</t>
  </si>
  <si>
    <t>Senior Analyst - IT Security</t>
  </si>
  <si>
    <t>81442753362</t>
  </si>
  <si>
    <t>Uzair</t>
  </si>
  <si>
    <t>uzair.khan@cvshealth.com</t>
  </si>
  <si>
    <t>Sr. Cyber Security Engineer</t>
  </si>
  <si>
    <t>81442845952</t>
  </si>
  <si>
    <t>gary.francis@cvshealth.com</t>
  </si>
  <si>
    <t>Vice President, Cyber Security Technology &amp; Identity Services</t>
  </si>
  <si>
    <t>81442753305</t>
  </si>
  <si>
    <t>Colleen</t>
  </si>
  <si>
    <t>Cournoyer</t>
  </si>
  <si>
    <t>colleen.cournoyer@cvshealth.com</t>
  </si>
  <si>
    <t>Sr. Manager, Cybersecurity Compliance &amp; FTC Compliance Assurance</t>
  </si>
  <si>
    <t>81442753300</t>
  </si>
  <si>
    <t>Edward</t>
  </si>
  <si>
    <t>Gauvin</t>
  </si>
  <si>
    <t>edward.gauvin@cvshealth.com</t>
  </si>
  <si>
    <t>Information Technology Security Architect</t>
  </si>
  <si>
    <t>81442724922</t>
  </si>
  <si>
    <t>Alen</t>
  </si>
  <si>
    <t>Peco</t>
  </si>
  <si>
    <t>alen.peco@cvshealth.com</t>
  </si>
  <si>
    <t>IT Security DLP System Sr. Security Engineer Advisor</t>
  </si>
  <si>
    <t>81442724914</t>
  </si>
  <si>
    <t>Donnie</t>
  </si>
  <si>
    <t>Dugger</t>
  </si>
  <si>
    <t>donnie.dugger@cvshealth.com</t>
  </si>
  <si>
    <t>Manager Physical Security at CVS Health</t>
  </si>
  <si>
    <t>81442711453</t>
  </si>
  <si>
    <t>ryan.le@cvshealth.com</t>
  </si>
  <si>
    <t>Senior Information Technology Security Analyst</t>
  </si>
  <si>
    <t>81442581407</t>
  </si>
  <si>
    <t>Spanier</t>
  </si>
  <si>
    <t>michael.spanier@cvshealth.com</t>
  </si>
  <si>
    <t>Senior Machine Learning Engineer, Cybersecurity</t>
  </si>
  <si>
    <t>81442711468</t>
  </si>
  <si>
    <t>Kimberly</t>
  </si>
  <si>
    <t>Fraser</t>
  </si>
  <si>
    <t>kimberly.fraser@cvshealth.com</t>
  </si>
  <si>
    <t>Manager, Information Security I Pharmacy &amp; Consumer Wellness Systems Technology Compliance</t>
  </si>
  <si>
    <t>81442567086</t>
  </si>
  <si>
    <t>Hari</t>
  </si>
  <si>
    <t>Shanmugam</t>
  </si>
  <si>
    <t>hari.shanmugam@cvshealth.com</t>
  </si>
  <si>
    <t>Lead Cyber Security Engineer</t>
  </si>
  <si>
    <t>81442845881</t>
  </si>
  <si>
    <t>Jordan</t>
  </si>
  <si>
    <t>Lemite</t>
  </si>
  <si>
    <t>jordan.lemite@cvshealth.com</t>
  </si>
  <si>
    <t>81443314017</t>
  </si>
  <si>
    <t>Genevieve</t>
  </si>
  <si>
    <t>Boateng</t>
  </si>
  <si>
    <t>genevieve.boateng@cvshealth.com</t>
  </si>
  <si>
    <t>81443091039</t>
  </si>
  <si>
    <t>Emmanuel</t>
  </si>
  <si>
    <t>Reynoso</t>
  </si>
  <si>
    <t>emmanuel.reynoso@cvshealth.com</t>
  </si>
  <si>
    <t>81443314011</t>
  </si>
  <si>
    <t>Jasmeet</t>
  </si>
  <si>
    <t>Pandher</t>
  </si>
  <si>
    <t>jasmeet.pandher@cvshealth.com</t>
  </si>
  <si>
    <t>Cyber Security TLDP</t>
  </si>
  <si>
    <t>81442939832</t>
  </si>
  <si>
    <t>david.lee@cvshealth.com</t>
  </si>
  <si>
    <t>Cyber Investigator - CSIRT</t>
  </si>
  <si>
    <t>81442984098</t>
  </si>
  <si>
    <t>Beck</t>
  </si>
  <si>
    <t>jason.beck@cvshealth.com</t>
  </si>
  <si>
    <t>Project Manager - Enterprise Security - CVS Health</t>
  </si>
  <si>
    <t>81442926505</t>
  </si>
  <si>
    <t>Travis</t>
  </si>
  <si>
    <t>travis@cvshealth.com</t>
  </si>
  <si>
    <t>IT Security and Compliance manager</t>
  </si>
  <si>
    <t>81442984076</t>
  </si>
  <si>
    <t>Clark</t>
  </si>
  <si>
    <t>frank.clark@cvshealth.com</t>
  </si>
  <si>
    <t>Executive Director, Cybersecurity Risk Management &amp; Control Assurance</t>
  </si>
  <si>
    <t>81443770465</t>
  </si>
  <si>
    <t>Emeka</t>
  </si>
  <si>
    <t>Izegbu</t>
  </si>
  <si>
    <t>emeka.izegbu@cvshealth.com</t>
  </si>
  <si>
    <t>81443552346</t>
  </si>
  <si>
    <t>Degregory</t>
  </si>
  <si>
    <t>susan.degregory@cvshealth.com</t>
  </si>
  <si>
    <t>Cybersecurity Senior Risk Analyst</t>
  </si>
  <si>
    <t>81444842404</t>
  </si>
  <si>
    <t>Gallagher</t>
  </si>
  <si>
    <t>joseph.gallagher@cvshealth.com</t>
  </si>
  <si>
    <t>Senior Cybersecurity Leader</t>
  </si>
  <si>
    <t>81443664522</t>
  </si>
  <si>
    <t>Lojo</t>
  </si>
  <si>
    <t>mark.lojo@cvshealth.com</t>
  </si>
  <si>
    <t>Security and Compliance - IT Systems</t>
  </si>
  <si>
    <t>81444946524</t>
  </si>
  <si>
    <t>Tam</t>
  </si>
  <si>
    <t>brian.tam@cvshealth.com</t>
  </si>
  <si>
    <t>IT Security Operations Advisor</t>
  </si>
  <si>
    <t>81444889640</t>
  </si>
  <si>
    <t>Dani</t>
  </si>
  <si>
    <t>Thornton</t>
  </si>
  <si>
    <t>dani.thornton@cvshealth.com</t>
  </si>
  <si>
    <t>81444875432</t>
  </si>
  <si>
    <t>Sean</t>
  </si>
  <si>
    <t>OHara</t>
  </si>
  <si>
    <t>sean.ohara@cvshealth.com</t>
  </si>
  <si>
    <t>Executive Director, Cyber Defense</t>
  </si>
  <si>
    <t>119947330135</t>
  </si>
  <si>
    <t>Weise</t>
  </si>
  <si>
    <t>matthew.weise@cvshealth.com</t>
  </si>
  <si>
    <t>Lead Director Cybersecurity</t>
  </si>
  <si>
    <t>119947329611</t>
  </si>
  <si>
    <t>Damon</t>
  </si>
  <si>
    <t>Depaolo</t>
  </si>
  <si>
    <t>damon.depaolo@cvshealth.com</t>
  </si>
  <si>
    <t>Cybersecurity Awareness and Training Lead</t>
  </si>
  <si>
    <t>123056377141</t>
  </si>
  <si>
    <t>kwanc1@cvshealth.com</t>
  </si>
  <si>
    <t>Lead Director</t>
  </si>
  <si>
    <t>123056494924</t>
  </si>
  <si>
    <t>snowa@cvshealth.com</t>
  </si>
  <si>
    <t>Lead Director - Cybersecurity</t>
  </si>
  <si>
    <t>Cyrpa International</t>
  </si>
  <si>
    <t>Hervé</t>
  </si>
  <si>
    <t>SALVAT</t>
  </si>
  <si>
    <t>h.salvat@cyrpa.com</t>
  </si>
  <si>
    <t>cyrpa.com</t>
  </si>
  <si>
    <t>Technical expert</t>
  </si>
  <si>
    <t>Cytiva</t>
  </si>
  <si>
    <t>Herrmann</t>
  </si>
  <si>
    <t>robert.herrmann@cytiva.com</t>
  </si>
  <si>
    <t>cytiva.com</t>
  </si>
  <si>
    <t>Director Product Securtiy</t>
  </si>
  <si>
    <t>Danaher</t>
  </si>
  <si>
    <t>Van Eps</t>
  </si>
  <si>
    <t>scott.vaneps@danaher.com</t>
  </si>
  <si>
    <t>danaher.com</t>
  </si>
  <si>
    <t>Product Security Architect</t>
  </si>
  <si>
    <t>Datrend Systems Inc.</t>
  </si>
  <si>
    <t>Evans</t>
  </si>
  <si>
    <t>rnd@datrend.com</t>
  </si>
  <si>
    <t>datrend.com</t>
  </si>
  <si>
    <t>VP Product Development</t>
  </si>
  <si>
    <t>DaVita</t>
  </si>
  <si>
    <t>81416833185</t>
  </si>
  <si>
    <t>Glenn</t>
  </si>
  <si>
    <t>Norwicke</t>
  </si>
  <si>
    <t>gnorwicke@davita.com</t>
  </si>
  <si>
    <t>Senior Director IT Security</t>
  </si>
  <si>
    <t>81433887368</t>
  </si>
  <si>
    <t>Stan</t>
  </si>
  <si>
    <t>Ewert</t>
  </si>
  <si>
    <t>sewert@davita.com</t>
  </si>
  <si>
    <t>Sr. IT Security Analyst and PM</t>
  </si>
  <si>
    <t>81433857969</t>
  </si>
  <si>
    <t>Billie</t>
  </si>
  <si>
    <t>Pellerito</t>
  </si>
  <si>
    <t>bpellerito@davita.com</t>
  </si>
  <si>
    <t>Cybersecurity Senior Manager</t>
  </si>
  <si>
    <t>81433872728</t>
  </si>
  <si>
    <t>Geiger</t>
  </si>
  <si>
    <t>mgeiger@davita.com</t>
  </si>
  <si>
    <t>Vice President, Licensure and Certification, Physical Security</t>
  </si>
  <si>
    <t>81442753346</t>
  </si>
  <si>
    <t>Runyon</t>
  </si>
  <si>
    <t>arunyon@davita.com</t>
  </si>
  <si>
    <t>81442567207</t>
  </si>
  <si>
    <t>Lujan</t>
  </si>
  <si>
    <t>mlujan@davita.com</t>
  </si>
  <si>
    <t>Senior User Security IT Services Administrator</t>
  </si>
  <si>
    <t>81442753335</t>
  </si>
  <si>
    <t>Helmick</t>
  </si>
  <si>
    <t>rhelmick@davita.com</t>
  </si>
  <si>
    <t>Senior IT Cybersecurity Risk Analyst</t>
  </si>
  <si>
    <t>81443296315</t>
  </si>
  <si>
    <t>Betsy</t>
  </si>
  <si>
    <t>Roche</t>
  </si>
  <si>
    <t>broche@davita.com</t>
  </si>
  <si>
    <t>81442954374</t>
  </si>
  <si>
    <t>Gilling</t>
  </si>
  <si>
    <t>bgilling@davita.com</t>
  </si>
  <si>
    <t>IT Security Architect</t>
  </si>
  <si>
    <t>81443922057</t>
  </si>
  <si>
    <t>Schmidt</t>
  </si>
  <si>
    <t>aschmidt@davita.com</t>
  </si>
  <si>
    <t>Manager IT Security Threat Management</t>
  </si>
  <si>
    <t>81443922051</t>
  </si>
  <si>
    <t>ahoward@davita.com</t>
  </si>
  <si>
    <t>Senior IT Security Analyst - Threat Management - Red Team</t>
  </si>
  <si>
    <t>81444889676</t>
  </si>
  <si>
    <t>Gartland</t>
  </si>
  <si>
    <t>jgartland@davita.com</t>
  </si>
  <si>
    <t>Director, Assistant General Counsel - Privacy Legal &amp; Cybersecurity</t>
  </si>
  <si>
    <t>84547872837</t>
  </si>
  <si>
    <t>Morton</t>
  </si>
  <si>
    <t>jason.morton@davita.com</t>
  </si>
  <si>
    <t>Principal Security Architect</t>
  </si>
  <si>
    <t>84547872838</t>
  </si>
  <si>
    <t>stan.ewert@davita.com</t>
  </si>
  <si>
    <t>Sr. IT Security Administrator</t>
  </si>
  <si>
    <t>Decus Biomedical</t>
  </si>
  <si>
    <t>Jen</t>
  </si>
  <si>
    <t>M</t>
  </si>
  <si>
    <t>jennifer+regs@decusbiomedical.com</t>
  </si>
  <si>
    <t>decusbiomedical.com</t>
  </si>
  <si>
    <t>DEKA Research and Development</t>
  </si>
  <si>
    <t>Tania</t>
  </si>
  <si>
    <t>Zirn</t>
  </si>
  <si>
    <t>tzirn@dekaresearch.com</t>
  </si>
  <si>
    <t>dekaresearch.com</t>
  </si>
  <si>
    <t>Software lead</t>
  </si>
  <si>
    <t>Dattolo</t>
  </si>
  <si>
    <t>jdattolo@dekaresearch.com</t>
  </si>
  <si>
    <t>Sr. Software Engineer</t>
  </si>
  <si>
    <t>Doyon</t>
  </si>
  <si>
    <t>tdoyon@dekaresearch.com</t>
  </si>
  <si>
    <t>Steele</t>
  </si>
  <si>
    <t>bsteele@dekaresearch.com</t>
  </si>
  <si>
    <t>Software Engineer</t>
  </si>
  <si>
    <t>Schipelliti</t>
  </si>
  <si>
    <t>pschipelliti@dekaresearch.com</t>
  </si>
  <si>
    <t>International Regulatory Affairs Project Manager</t>
  </si>
  <si>
    <t>Delve Bio</t>
  </si>
  <si>
    <t>Tim</t>
  </si>
  <si>
    <t>Blicharz</t>
  </si>
  <si>
    <t>tim.blicharz@delve.bio</t>
  </si>
  <si>
    <t>delve.bio</t>
  </si>
  <si>
    <t>Senior Director Clinical Research</t>
  </si>
  <si>
    <t>Denise Richardt Consulting</t>
  </si>
  <si>
    <t>Denise</t>
  </si>
  <si>
    <t>Richardt</t>
  </si>
  <si>
    <t>denise.richardt@drconsulting.co.za</t>
  </si>
  <si>
    <t>drconsulting.co.za</t>
  </si>
  <si>
    <t>Director/CEO</t>
  </si>
  <si>
    <t xml:space="preserve"> +27 82 822 5109</t>
  </si>
  <si>
    <t>Dentsply Sirona</t>
  </si>
  <si>
    <t>81433262592</t>
  </si>
  <si>
    <t>Parr</t>
  </si>
  <si>
    <t>matt.parr@dentsplysirona.com</t>
  </si>
  <si>
    <t>Director Cyber Security</t>
  </si>
  <si>
    <t>81442926446</t>
  </si>
  <si>
    <t>Franz</t>
  </si>
  <si>
    <t>Schmid</t>
  </si>
  <si>
    <t>franz.schmid@dentsplysirona.com</t>
  </si>
  <si>
    <t>Manager, IT and Cybersecurity Audit</t>
  </si>
  <si>
    <t>Department of Health and Human Services</t>
  </si>
  <si>
    <t>Hazelett</t>
  </si>
  <si>
    <t>matthew.hazelett@fda.hhs.gov</t>
  </si>
  <si>
    <t>fda.hhs.gov</t>
  </si>
  <si>
    <t>Biomedical Engineer</t>
  </si>
  <si>
    <t>Wilkerson</t>
  </si>
  <si>
    <t>jessica.wilkerson@fda.hhs.gov</t>
  </si>
  <si>
    <t>Senior Cyber Policy Advisor</t>
  </si>
  <si>
    <t>Design Solutions, Inc.</t>
  </si>
  <si>
    <t>Bushey</t>
  </si>
  <si>
    <t>paul.bushey@design-solutions.com</t>
  </si>
  <si>
    <t>design-solutions.com</t>
  </si>
  <si>
    <t>Larry</t>
  </si>
  <si>
    <t>Marko</t>
  </si>
  <si>
    <t>larry.marko@design-solutions.com</t>
  </si>
  <si>
    <t>Senior Engineering Manager</t>
  </si>
  <si>
    <t>Detect</t>
  </si>
  <si>
    <t>Sarai</t>
  </si>
  <si>
    <t>Meyer</t>
  </si>
  <si>
    <t>smeyer@detect.com</t>
  </si>
  <si>
    <t>detect.com</t>
  </si>
  <si>
    <t>Principal Regulatory Affairs Specialist</t>
  </si>
  <si>
    <t>Digicuto Sas</t>
  </si>
  <si>
    <t>Q</t>
  </si>
  <si>
    <t>D</t>
  </si>
  <si>
    <t>quentin@lupindental.com</t>
  </si>
  <si>
    <t>lupindental.com</t>
  </si>
  <si>
    <t>Ra</t>
  </si>
  <si>
    <t>Direct Healthcare Group</t>
  </si>
  <si>
    <t>Annie</t>
  </si>
  <si>
    <t>Goverde</t>
  </si>
  <si>
    <t>annie.goverde@directhealthcaregroup.com</t>
  </si>
  <si>
    <t>directhealthcaregroup.com</t>
  </si>
  <si>
    <t>Distalmotion SA 11891</t>
  </si>
  <si>
    <t>Margaux</t>
  </si>
  <si>
    <t>Jaquiéry</t>
  </si>
  <si>
    <t>margaux.jaquiery@distalmotion.com</t>
  </si>
  <si>
    <t>distalmotion.com</t>
  </si>
  <si>
    <t>Quality Assurance Validation Engineer</t>
  </si>
  <si>
    <t>Mathieu</t>
  </si>
  <si>
    <t>Herbette</t>
  </si>
  <si>
    <t>mathieu.herbette@distalmotion.com</t>
  </si>
  <si>
    <t>Head of Software</t>
  </si>
  <si>
    <t>DNV</t>
  </si>
  <si>
    <t>Aline</t>
  </si>
  <si>
    <t>Cruz</t>
  </si>
  <si>
    <t>aline.cruz@dnv.com</t>
  </si>
  <si>
    <t>dnv.com</t>
  </si>
  <si>
    <t>Integrated Clinician</t>
  </si>
  <si>
    <t>DoMore Diagnostics AS 10953</t>
  </si>
  <si>
    <t>Sepp</t>
  </si>
  <si>
    <t>De Raedt</t>
  </si>
  <si>
    <t>sepp.de.raedt@domorediagnostics.com</t>
  </si>
  <si>
    <t>domorediagnostics.com</t>
  </si>
  <si>
    <t>CTO</t>
  </si>
  <si>
    <t>Door County Medical Center</t>
  </si>
  <si>
    <t>81442455895</t>
  </si>
  <si>
    <t>Shipp</t>
  </si>
  <si>
    <t>paul.shipp@dcmedical.org</t>
  </si>
  <si>
    <t>Dornerworks, Ltd.</t>
  </si>
  <si>
    <t>Rittersdorf</t>
  </si>
  <si>
    <t>dan.rittersdorf@dornerworks.com</t>
  </si>
  <si>
    <t>dornerworks.com</t>
  </si>
  <si>
    <t>Technology Strategy Leader - Senior Embedded Software Engineer</t>
  </si>
  <si>
    <t>Drive DeVilbiss Healthcare</t>
  </si>
  <si>
    <t>81424649053</t>
  </si>
  <si>
    <t>Joe</t>
  </si>
  <si>
    <t>Pascale</t>
  </si>
  <si>
    <t>jpascale@drivemedical.com</t>
  </si>
  <si>
    <t>Director of IT Infrastructure &amp; Cybersecurity</t>
  </si>
  <si>
    <t>Drug Device Consulting LLC</t>
  </si>
  <si>
    <t>Darren</t>
  </si>
  <si>
    <t>Scheer</t>
  </si>
  <si>
    <t>dscheer@regchoice.com</t>
  </si>
  <si>
    <t>regchoice.com</t>
  </si>
  <si>
    <t>DV7 Engineering</t>
  </si>
  <si>
    <t>Rafael</t>
  </si>
  <si>
    <t>Blanco</t>
  </si>
  <si>
    <t>rafael@dv7engineering.com</t>
  </si>
  <si>
    <t>dv7engineering.com</t>
  </si>
  <si>
    <t>Director Quality/Test Engineering</t>
  </si>
  <si>
    <t>DxLab</t>
  </si>
  <si>
    <t>Ho-Jun</t>
  </si>
  <si>
    <t>Suk</t>
  </si>
  <si>
    <t>hojun@dxlab.bio</t>
  </si>
  <si>
    <t>dxlab.bio</t>
  </si>
  <si>
    <t>edelweisstechnology.com</t>
  </si>
  <si>
    <t>Heinz</t>
  </si>
  <si>
    <t>Huber</t>
  </si>
  <si>
    <t>hhuber@edelweisstechnology.com</t>
  </si>
  <si>
    <t>Elanco Animal Health</t>
  </si>
  <si>
    <t>Benjamin</t>
  </si>
  <si>
    <t>Hall</t>
  </si>
  <si>
    <t>benjamin.g.hall@elancoah.com</t>
  </si>
  <si>
    <t>elancoah.com</t>
  </si>
  <si>
    <t>Senior Advisor IT - GRC Lead</t>
  </si>
  <si>
    <t>Elekta</t>
  </si>
  <si>
    <t>Chenoweth</t>
  </si>
  <si>
    <t>john.chenoweth@elekta.com</t>
  </si>
  <si>
    <t>elekta.com</t>
  </si>
  <si>
    <t>Chief Product Security Officer</t>
  </si>
  <si>
    <t>81442488191</t>
  </si>
  <si>
    <t>Harfst</t>
  </si>
  <si>
    <t>david.harfst@elekta.com</t>
  </si>
  <si>
    <t>82314697822</t>
  </si>
  <si>
    <t>Deal Won</t>
  </si>
  <si>
    <t>152053224503</t>
  </si>
  <si>
    <t>Rousseau</t>
  </si>
  <si>
    <t>thomas.rousseau@elekta.com</t>
  </si>
  <si>
    <t>Principal Product Lead - Leksell Gamma Knife</t>
  </si>
  <si>
    <t>152053224502</t>
  </si>
  <si>
    <t>katrinemma.ammendrup@elekta.com</t>
  </si>
  <si>
    <t>152053224504</t>
  </si>
  <si>
    <t>anders.kallin@elekta.com</t>
  </si>
  <si>
    <t>88871105919</t>
  </si>
  <si>
    <t>Ari</t>
  </si>
  <si>
    <t>Irvings</t>
  </si>
  <si>
    <t>ari.irvings@elekta.com</t>
  </si>
  <si>
    <t>Senior Product Security Analyst</t>
  </si>
  <si>
    <t>128874732823</t>
  </si>
  <si>
    <t>jeroen</t>
  </si>
  <si>
    <t>sonnemans</t>
  </si>
  <si>
    <t>jeroen.sonnemans@elekta.com</t>
  </si>
  <si>
    <t>Software Architect</t>
  </si>
  <si>
    <t>141781620820</t>
  </si>
  <si>
    <t>Kyle</t>
  </si>
  <si>
    <t>Burnett</t>
  </si>
  <si>
    <t>kyle.burnett@elekta.com</t>
  </si>
  <si>
    <t>118519210156</t>
  </si>
  <si>
    <t>Chandrasekaran</t>
  </si>
  <si>
    <t>Srinivasan</t>
  </si>
  <si>
    <t>sekar.srinivasan@elekta.com</t>
  </si>
  <si>
    <t>Elephas Bio Corporation 10648</t>
  </si>
  <si>
    <t>Jake</t>
  </si>
  <si>
    <t>Klister</t>
  </si>
  <si>
    <t>jklister@elephas.com</t>
  </si>
  <si>
    <t>elephas.com</t>
  </si>
  <si>
    <t>Elite Quality Solutions</t>
  </si>
  <si>
    <t>Leslie</t>
  </si>
  <si>
    <t>Mathie</t>
  </si>
  <si>
    <t>lmathie@elitequalitysolutions.com</t>
  </si>
  <si>
    <t>elitequalitysolutions.com</t>
  </si>
  <si>
    <t>Elucent Medical</t>
  </si>
  <si>
    <t>Justin</t>
  </si>
  <si>
    <t>McGuire</t>
  </si>
  <si>
    <t>licensing@elucent.com</t>
  </si>
  <si>
    <t>elucent.com</t>
  </si>
  <si>
    <t>Arnoldo</t>
  </si>
  <si>
    <t>Ganuza</t>
  </si>
  <si>
    <t>arnoldo.ganuza@elucent.com</t>
  </si>
  <si>
    <t>Kotula</t>
  </si>
  <si>
    <t>jeff.kotula@elucent.com</t>
  </si>
  <si>
    <t>Chief Software Architect</t>
  </si>
  <si>
    <t>Elvie</t>
  </si>
  <si>
    <t>Amelia</t>
  </si>
  <si>
    <t>Ortiz</t>
  </si>
  <si>
    <t>amelia.ortiz@chiaro.co.uk</t>
  </si>
  <si>
    <t>chiaro.co.uk</t>
  </si>
  <si>
    <t>Elypta</t>
  </si>
  <si>
    <t>Balazs</t>
  </si>
  <si>
    <t>Szabo</t>
  </si>
  <si>
    <t>balazs.szabo@elypta.com</t>
  </si>
  <si>
    <t>elypta.com</t>
  </si>
  <si>
    <t>Gabriel</t>
  </si>
  <si>
    <t>gabriel.ortiz@elypta.com</t>
  </si>
  <si>
    <t>VP of Software Engineering</t>
  </si>
  <si>
    <t>Nils</t>
  </si>
  <si>
    <t>Nordeman</t>
  </si>
  <si>
    <t>nils.nordeman@elypta.com</t>
  </si>
  <si>
    <t>Software engineer</t>
  </si>
  <si>
    <t>EM.S. Electro Medical Systems S.A.</t>
  </si>
  <si>
    <t>Janier</t>
  </si>
  <si>
    <t>mjanier@ems-ch.com</t>
  </si>
  <si>
    <t>ems-ch.com</t>
  </si>
  <si>
    <t>RA specialist</t>
  </si>
  <si>
    <t>Embecta</t>
  </si>
  <si>
    <t>Danny</t>
  </si>
  <si>
    <t>Aponte</t>
  </si>
  <si>
    <t>danny.aponte@embecta.com</t>
  </si>
  <si>
    <t>embecta.com</t>
  </si>
  <si>
    <t>Sr. Director, Software &amp; Digital Health</t>
  </si>
  <si>
    <t>EMG Consulting Services</t>
  </si>
  <si>
    <t>Emerance</t>
  </si>
  <si>
    <t>Gummels</t>
  </si>
  <si>
    <t>emerance@emgconsultingservices.com</t>
  </si>
  <si>
    <t>emgconsultingservices.com</t>
  </si>
  <si>
    <t>Engenious Design</t>
  </si>
  <si>
    <t>Jimmy</t>
  </si>
  <si>
    <t>Townsend</t>
  </si>
  <si>
    <t>jtownsend@engenio.us</t>
  </si>
  <si>
    <t>engenio.us</t>
  </si>
  <si>
    <t>Director of Software</t>
  </si>
  <si>
    <t>Enhatch Inc. 10818</t>
  </si>
  <si>
    <t>Monica</t>
  </si>
  <si>
    <t>Williams</t>
  </si>
  <si>
    <t>monica@enhatch.com</t>
  </si>
  <si>
    <t>enhatch.com</t>
  </si>
  <si>
    <t>QARA Manager</t>
  </si>
  <si>
    <t>Ensemble Health Partners</t>
  </si>
  <si>
    <t>Terrill</t>
  </si>
  <si>
    <t>chris.terrill@ensemblehp.com</t>
  </si>
  <si>
    <t>ensemblehp.com</t>
  </si>
  <si>
    <t>Analyst II Cybersecurity Audit</t>
  </si>
  <si>
    <t>Collins</t>
  </si>
  <si>
    <t>jason.collins@ensemblehp.com</t>
  </si>
  <si>
    <t>Director Cybersecurity</t>
  </si>
  <si>
    <t>david.anderson@ensemblehp.com</t>
  </si>
  <si>
    <t>Entech Medical</t>
  </si>
  <si>
    <t>Newton</t>
  </si>
  <si>
    <t>jason@entechmedical.com</t>
  </si>
  <si>
    <t>entechmedical.com</t>
  </si>
  <si>
    <t>CPO</t>
  </si>
  <si>
    <t>Entourage</t>
  </si>
  <si>
    <t>Claudia</t>
  </si>
  <si>
    <t>Choi-Nahrstaedt</t>
  </si>
  <si>
    <t>claudia.choi@theentourage.de</t>
  </si>
  <si>
    <t>theentourage.de</t>
  </si>
  <si>
    <t>Senior Consultant Regulatory Affairs</t>
  </si>
  <si>
    <t>Epitel, Inc.</t>
  </si>
  <si>
    <t>Randy</t>
  </si>
  <si>
    <t>Parry</t>
  </si>
  <si>
    <t>r.parry@epitel.com</t>
  </si>
  <si>
    <t>epitel.com</t>
  </si>
  <si>
    <t>Staff Reg Affairs Specialist</t>
  </si>
  <si>
    <t>Euclid Systems</t>
  </si>
  <si>
    <t>SANDRA</t>
  </si>
  <si>
    <t>FREITEZ</t>
  </si>
  <si>
    <t>sandra.freitez@euclidsys.com</t>
  </si>
  <si>
    <t>euclidsys.com</t>
  </si>
  <si>
    <t>VP RA</t>
  </si>
  <si>
    <t>Evondos AB</t>
  </si>
  <si>
    <t>Jyrki</t>
  </si>
  <si>
    <t>Järvinen</t>
  </si>
  <si>
    <t>jyrki.jarvinen@evondos.com</t>
  </si>
  <si>
    <t>evondos.com</t>
  </si>
  <si>
    <t>Exact Sciences</t>
  </si>
  <si>
    <t>Steven</t>
  </si>
  <si>
    <t>sttaylor@exactsciences.com</t>
  </si>
  <si>
    <t>exactsciences.com</t>
  </si>
  <si>
    <t>Principal Cybersecurity Engineer</t>
  </si>
  <si>
    <t>Nitin</t>
  </si>
  <si>
    <t>Shelar</t>
  </si>
  <si>
    <t>nshelar@exactsciences.com</t>
  </si>
  <si>
    <t>Janelle</t>
  </si>
  <si>
    <t>Deen</t>
  </si>
  <si>
    <t>jdeen@exactsciences.com</t>
  </si>
  <si>
    <t>Sr. Cybersecurity Compliance Leader II</t>
  </si>
  <si>
    <t>Rob</t>
  </si>
  <si>
    <t>Keis</t>
  </si>
  <si>
    <t>rkeis@exactsciences.com</t>
  </si>
  <si>
    <t>Director, Cybersecurity Operations and Incident Response</t>
  </si>
  <si>
    <t>Exini Diagnostics</t>
  </si>
  <si>
    <t>Mohanad</t>
  </si>
  <si>
    <t>Hayatleh</t>
  </si>
  <si>
    <t>mohanad.hayatleh@exini.com</t>
  </si>
  <si>
    <t>exini.com</t>
  </si>
  <si>
    <t>QA/RA Coordinator</t>
  </si>
  <si>
    <t>FIRE1 Foundry</t>
  </si>
  <si>
    <t>Flaherty</t>
  </si>
  <si>
    <t>kristen.flaherty@fire1foundry.com</t>
  </si>
  <si>
    <t>fire1foundry.com</t>
  </si>
  <si>
    <t>Software QA Manager</t>
  </si>
  <si>
    <t>First Source Inc.</t>
  </si>
  <si>
    <t>Harley</t>
  </si>
  <si>
    <t>Milks</t>
  </si>
  <si>
    <t>hmilks@fsimed.com</t>
  </si>
  <si>
    <t>fsimed.com</t>
  </si>
  <si>
    <t>Quality and Regulatory Manager</t>
  </si>
  <si>
    <t>Florida State University</t>
  </si>
  <si>
    <t>Ukaga</t>
  </si>
  <si>
    <t>christian.ukaga@med.fsu.edu</t>
  </si>
  <si>
    <t>med.fsu.edu</t>
  </si>
  <si>
    <t>Cybersecurity and Privacy Program Coordinator</t>
  </si>
  <si>
    <t>Fort HealthCare</t>
  </si>
  <si>
    <t>81442954407</t>
  </si>
  <si>
    <t>Angel</t>
  </si>
  <si>
    <t>Belovarac</t>
  </si>
  <si>
    <t>angel.belovarac@forthealthcare.com</t>
  </si>
  <si>
    <t>Cyber Surety</t>
  </si>
  <si>
    <t>Fresenius</t>
  </si>
  <si>
    <t>Rodolfo</t>
  </si>
  <si>
    <t>Bamberg</t>
  </si>
  <si>
    <t>rodolfo.bamberg@freseniusmedicalcare.com</t>
  </si>
  <si>
    <t>freseniusmedicalcare.com</t>
  </si>
  <si>
    <t>Product Security Manager</t>
  </si>
  <si>
    <t>Weber</t>
  </si>
  <si>
    <t>mark.weber@fresenius-kabi.com</t>
  </si>
  <si>
    <t>fresenius-kabi.com</t>
  </si>
  <si>
    <t>VP R&amp;D</t>
  </si>
  <si>
    <t>Fresenius medical care</t>
  </si>
  <si>
    <t>Kendyl</t>
  </si>
  <si>
    <t>kendyl.hall@freseniusmedicalcare.com</t>
  </si>
  <si>
    <t>Sr. Director, Information Security Governance &amp; Chief of Staff to the CISO</t>
  </si>
  <si>
    <t>Fresenius Medical Care</t>
  </si>
  <si>
    <t>Melanie</t>
  </si>
  <si>
    <t>Lavigne</t>
  </si>
  <si>
    <t>melanie.lavigne@freseniusmedicalcare.com</t>
  </si>
  <si>
    <t>Senior Biocompatibility Specialist</t>
  </si>
  <si>
    <t>81421608469</t>
  </si>
  <si>
    <t>Worth</t>
  </si>
  <si>
    <t>eworth@freseniusmedicalcare.com</t>
  </si>
  <si>
    <t>81407018824</t>
  </si>
  <si>
    <t>Ali</t>
  </si>
  <si>
    <t>aali@freseniusmedicalcare.com</t>
  </si>
  <si>
    <t>Cyber Security Architect</t>
  </si>
  <si>
    <t>81415694456</t>
  </si>
  <si>
    <t>Rivera</t>
  </si>
  <si>
    <t>rrivera@freseniusmedicalcare.com</t>
  </si>
  <si>
    <t>Sr. IT Security Engineer</t>
  </si>
  <si>
    <t>81424649056</t>
  </si>
  <si>
    <t>bflaherty@freseniusmedicalcare.com</t>
  </si>
  <si>
    <t>Principal IT Security RiskSpecialist</t>
  </si>
  <si>
    <t>81433952598</t>
  </si>
  <si>
    <t>Brooks</t>
  </si>
  <si>
    <t>jbrooks@freseniusmedicalcare.com</t>
  </si>
  <si>
    <t>81433245259</t>
  </si>
  <si>
    <t>Thom</t>
  </si>
  <si>
    <t>Floyd</t>
  </si>
  <si>
    <t>tfloyd@freseniusmedicalcare.com</t>
  </si>
  <si>
    <t>Director, Lead Cybersecurity Architect</t>
  </si>
  <si>
    <t>81433929808</t>
  </si>
  <si>
    <t>Ihor</t>
  </si>
  <si>
    <t>Akinshyn</t>
  </si>
  <si>
    <t>iakinshyn@freseniusmedicalcare.com</t>
  </si>
  <si>
    <t>Senior Director, Cybersecurity Architecture</t>
  </si>
  <si>
    <t>81433952594</t>
  </si>
  <si>
    <t>Mussie</t>
  </si>
  <si>
    <t>Petros</t>
  </si>
  <si>
    <t>mpetros@freseniusmedicalcare.com</t>
  </si>
  <si>
    <t>81433915998</t>
  </si>
  <si>
    <t>Morad</t>
  </si>
  <si>
    <t>Sitt</t>
  </si>
  <si>
    <t>msitt@freseniusmedicalcare.com</t>
  </si>
  <si>
    <t>Senior Director Cyber Security Program Managment</t>
  </si>
  <si>
    <t>81433262661</t>
  </si>
  <si>
    <t>Idowu</t>
  </si>
  <si>
    <t>Agblu</t>
  </si>
  <si>
    <t>iagblu@freseniusmedicalcare.com</t>
  </si>
  <si>
    <t>81437600033</t>
  </si>
  <si>
    <t>Kolton</t>
  </si>
  <si>
    <t>Duwa</t>
  </si>
  <si>
    <t>kduwa@freseniusmedicalcare.com</t>
  </si>
  <si>
    <t>81434455838</t>
  </si>
  <si>
    <t>Lawrence</t>
  </si>
  <si>
    <t>Park</t>
  </si>
  <si>
    <t>lpark@freseniusmedicalcare.com</t>
  </si>
  <si>
    <t>Vice President Corp. Health, Safety, Envir. Affairs, Engineering, Security, and Risk Management</t>
  </si>
  <si>
    <t>81441151048</t>
  </si>
  <si>
    <t>Doherty</t>
  </si>
  <si>
    <t>cdoherty@freseniusmedicalcare.com</t>
  </si>
  <si>
    <t>Sr. Lead GRA Software &amp; Cybersecurity</t>
  </si>
  <si>
    <t>81442488328</t>
  </si>
  <si>
    <t>Tomawski</t>
  </si>
  <si>
    <t>jtomawski@freseniusmedicalcare.com</t>
  </si>
  <si>
    <t>Lead IT Security Engineer</t>
  </si>
  <si>
    <t>81440633982</t>
  </si>
  <si>
    <t>Fontana</t>
  </si>
  <si>
    <t>gfontana@freseniusmedicalcare.com</t>
  </si>
  <si>
    <t>Sr IT Security System Admin</t>
  </si>
  <si>
    <t>81441309863</t>
  </si>
  <si>
    <t>Vincent</t>
  </si>
  <si>
    <t>Carta</t>
  </si>
  <si>
    <t>vcarta@freseniusmedicalcare.com</t>
  </si>
  <si>
    <t>81442724977</t>
  </si>
  <si>
    <t>Ritzer</t>
  </si>
  <si>
    <t>rritzer@freseniusmedicalcare.com</t>
  </si>
  <si>
    <t>Sr Manager IT Security</t>
  </si>
  <si>
    <t>81442540564</t>
  </si>
  <si>
    <t>Fallon</t>
  </si>
  <si>
    <t>mfallon@freseniusmedicalcare.com</t>
  </si>
  <si>
    <t>Agile Cyber Security Program Manager</t>
  </si>
  <si>
    <t>81442567215</t>
  </si>
  <si>
    <t>Kiran</t>
  </si>
  <si>
    <t>Sudam</t>
  </si>
  <si>
    <t>ksudam@freseniusmedicalcare.com</t>
  </si>
  <si>
    <t>Cybersecurity Product Owner and Engineering Manager</t>
  </si>
  <si>
    <t>81442997056</t>
  </si>
  <si>
    <t>Hadass</t>
  </si>
  <si>
    <t>mhadass@freseniusmedicalcare.com</t>
  </si>
  <si>
    <t>81443314080</t>
  </si>
  <si>
    <t>Elaine</t>
  </si>
  <si>
    <t>etaylor@freseniusmedicalcare.com</t>
  </si>
  <si>
    <t>IT Network Security Engineer</t>
  </si>
  <si>
    <t>81444862059</t>
  </si>
  <si>
    <t>Ashby</t>
  </si>
  <si>
    <t>cashby@freseniusmedicalcare.com</t>
  </si>
  <si>
    <t>Head of Cybersecurity Architecture and Operations</t>
  </si>
  <si>
    <t>81443664664</t>
  </si>
  <si>
    <t>Renae</t>
  </si>
  <si>
    <t>Tvedt</t>
  </si>
  <si>
    <t>rtvedt@freseniusmedicalcare.com</t>
  </si>
  <si>
    <t>Cybersecurity Awareness Lead</t>
  </si>
  <si>
    <t>81443664666</t>
  </si>
  <si>
    <t>Littleton</t>
  </si>
  <si>
    <t>mlittleton@freseniusmedicalcare.com</t>
  </si>
  <si>
    <t>Senior Principal IT Security Risk Analyst</t>
  </si>
  <si>
    <t>Fujifilm Corporation</t>
  </si>
  <si>
    <t>81442753357</t>
  </si>
  <si>
    <t>Klinghagen</t>
  </si>
  <si>
    <t>cklinghagen@fujifilm.com</t>
  </si>
  <si>
    <t>IT Security Response Specialist</t>
  </si>
  <si>
    <t>Fujifilm Healthcare</t>
  </si>
  <si>
    <t>Riddle</t>
  </si>
  <si>
    <t>triddle@fujifilm.com</t>
  </si>
  <si>
    <t>fujifilm.com</t>
  </si>
  <si>
    <t>Assoc. Director, Information Security</t>
  </si>
  <si>
    <t>Fusion Medtech, Inc. 12162</t>
  </si>
  <si>
    <t>Pforr</t>
  </si>
  <si>
    <t>susan.pforr@fusionmedtech.com</t>
  </si>
  <si>
    <t>fusionmedtech.com</t>
  </si>
  <si>
    <t>Quality Assurance Specialist</t>
  </si>
  <si>
    <t>Gabi SmartCare</t>
  </si>
  <si>
    <t>Olivier</t>
  </si>
  <si>
    <t>Staquet</t>
  </si>
  <si>
    <t>olivier.staquet@gabismartcare.com</t>
  </si>
  <si>
    <t>gabismartcare.com</t>
  </si>
  <si>
    <t>GAIA</t>
  </si>
  <si>
    <t>Bernhard</t>
  </si>
  <si>
    <t>Wellhöfer</t>
  </si>
  <si>
    <t>bernhard.wellhoefer@gaia-group.com</t>
  </si>
  <si>
    <t>gaia-group.com</t>
  </si>
  <si>
    <t>CTO and Head of Regulatory Affairs</t>
  </si>
  <si>
    <t>GE HealthCare</t>
  </si>
  <si>
    <t>81408265990</t>
  </si>
  <si>
    <t>Borden</t>
  </si>
  <si>
    <t>glenn.borden@gehealthcare.com</t>
  </si>
  <si>
    <t>Cyber Security Engineering Specialist</t>
  </si>
  <si>
    <t>81421608341</t>
  </si>
  <si>
    <t>Kuthi</t>
  </si>
  <si>
    <t>balazs.kuthi@gehealthcare.com</t>
  </si>
  <si>
    <t>Sr. Director - Cybersecurity</t>
  </si>
  <si>
    <t>81418251782</t>
  </si>
  <si>
    <t>Connie</t>
  </si>
  <si>
    <t>Wen</t>
  </si>
  <si>
    <t>connie.wen@gehealthcare.com</t>
  </si>
  <si>
    <t>GE HealthCare Cyber Client Service Technician</t>
  </si>
  <si>
    <t>81424649025</t>
  </si>
  <si>
    <t>Toomey</t>
  </si>
  <si>
    <t>brian.toomey@gehealthcare.com</t>
  </si>
  <si>
    <t>Customer Experience &amp; Cyber Programs Director</t>
  </si>
  <si>
    <t>81433857940</t>
  </si>
  <si>
    <t>Baumgartner</t>
  </si>
  <si>
    <t>mark.baumgartner@gehealthcare.com</t>
  </si>
  <si>
    <t>Senior Staff Cyber Security Architect</t>
  </si>
  <si>
    <t>81433952528</t>
  </si>
  <si>
    <t>david.joseph@gehealthcare.com</t>
  </si>
  <si>
    <t>IT &amp; Cyber Audit</t>
  </si>
  <si>
    <t>81433915951</t>
  </si>
  <si>
    <t>Kohli</t>
  </si>
  <si>
    <t>jim@gehealthcare.com</t>
  </si>
  <si>
    <t>Cybersecurity Principal Software Engineer at GE Healthcare</t>
  </si>
  <si>
    <t>81434455719</t>
  </si>
  <si>
    <t>Senthilselvi</t>
  </si>
  <si>
    <t>Pandi</t>
  </si>
  <si>
    <t>senthilselvi.pandi@gehealthcare.com</t>
  </si>
  <si>
    <t>Enterprise Cyber Security Integrations Leader</t>
  </si>
  <si>
    <t>81434455734</t>
  </si>
  <si>
    <t>Jaap</t>
  </si>
  <si>
    <t>Qualm</t>
  </si>
  <si>
    <t>jaap.qualm@gehealthcare.com</t>
  </si>
  <si>
    <t>VP, Global Product &amp; Customer Cybersecurity</t>
  </si>
  <si>
    <t>81434443528</t>
  </si>
  <si>
    <t>Addison</t>
  </si>
  <si>
    <t>chris@gehealthcare.com</t>
  </si>
  <si>
    <t>Enterprise Software and Cybersecurity Leader</t>
  </si>
  <si>
    <t>81434443521</t>
  </si>
  <si>
    <t>Burgoyne</t>
  </si>
  <si>
    <t>joe@gehealthcare.com</t>
  </si>
  <si>
    <t>Sr. Director, Cyber Security</t>
  </si>
  <si>
    <t>81441165178</t>
  </si>
  <si>
    <t>Kaeppner</t>
  </si>
  <si>
    <t>brian.kaeppner@gehealthcare.com</t>
  </si>
  <si>
    <t>Director of Cyber Security - Identity</t>
  </si>
  <si>
    <t>81441165177</t>
  </si>
  <si>
    <t>Walborn</t>
  </si>
  <si>
    <t>alexander.walborn@gehealthcare.com</t>
  </si>
  <si>
    <t>Cyber Client Service Technician</t>
  </si>
  <si>
    <t>81441165176</t>
  </si>
  <si>
    <t>sean.mitchell@gehealthcare.com</t>
  </si>
  <si>
    <t>Staff Cyber Risk Analyst</t>
  </si>
  <si>
    <t>81442473989</t>
  </si>
  <si>
    <t>christopher.smith@gehealthcare.com</t>
  </si>
  <si>
    <t>Sr. Dir of Cyber Security</t>
  </si>
  <si>
    <t>81441150978</t>
  </si>
  <si>
    <t>Logan</t>
  </si>
  <si>
    <t>ashley.logan@gehealthcare.com</t>
  </si>
  <si>
    <t>Project Manager - Customer Experience Cybersecurity</t>
  </si>
  <si>
    <t>81442455866</t>
  </si>
  <si>
    <t>Brophy</t>
  </si>
  <si>
    <t>eric.brophy@gehealthcare.com</t>
  </si>
  <si>
    <t>Digital Workplace Cyber Policy Execution &amp; Governance Leader</t>
  </si>
  <si>
    <t>81442455870</t>
  </si>
  <si>
    <t>Addy</t>
  </si>
  <si>
    <t>addy.greene@gehealthcare.com</t>
  </si>
  <si>
    <t>Lead Audit Specialist - Cyber Assurance</t>
  </si>
  <si>
    <t>81442753294</t>
  </si>
  <si>
    <t>Kaphingst</t>
  </si>
  <si>
    <t>tyler.kaphingst@gehealthcare.com</t>
  </si>
  <si>
    <t>Senior Cyber Assurance Specialist</t>
  </si>
  <si>
    <t>81442581383</t>
  </si>
  <si>
    <t>Argynov</t>
  </si>
  <si>
    <t>dan.argynov@gehealthcare.com</t>
  </si>
  <si>
    <t>Cyber Assurance Senior Leader at Internal Audit</t>
  </si>
  <si>
    <t>81442711452</t>
  </si>
  <si>
    <t>Inda</t>
  </si>
  <si>
    <t>allan.inda@gehealthcare.com</t>
  </si>
  <si>
    <t>Cybersecurity Analyst at GE HealthCare</t>
  </si>
  <si>
    <t>81442711450</t>
  </si>
  <si>
    <t>Brooke</t>
  </si>
  <si>
    <t>michael.brooke@gehealthcare.com</t>
  </si>
  <si>
    <t>81442540447</t>
  </si>
  <si>
    <t>Walsh</t>
  </si>
  <si>
    <t>james.walsh@gehealthcare.com</t>
  </si>
  <si>
    <t>81442766481</t>
  </si>
  <si>
    <t>Gulke</t>
  </si>
  <si>
    <t>thomas.gulke@gehealthcare.com</t>
  </si>
  <si>
    <t>Senior Manager Cyber Security</t>
  </si>
  <si>
    <t>81442552994</t>
  </si>
  <si>
    <t>Bek</t>
  </si>
  <si>
    <t>Serna</t>
  </si>
  <si>
    <t>bek.serna@gehealthcare.com</t>
  </si>
  <si>
    <t>81442553011</t>
  </si>
  <si>
    <t>Laumann</t>
  </si>
  <si>
    <t>david.laumann@gehealthcare.com</t>
  </si>
  <si>
    <t>senior director - cyber security</t>
  </si>
  <si>
    <t>81442926430</t>
  </si>
  <si>
    <t>Montano</t>
  </si>
  <si>
    <t>thomas@gehealthcare.com</t>
  </si>
  <si>
    <t>Director, Product Management Networking &amp; Cybersecurity</t>
  </si>
  <si>
    <t>81443392049</t>
  </si>
  <si>
    <t>Chip</t>
  </si>
  <si>
    <t>chip.greene@gehealthcare.com</t>
  </si>
  <si>
    <t>81442996996</t>
  </si>
  <si>
    <t>Fraughton</t>
  </si>
  <si>
    <t>jason.fraughton@gehealthcare.com</t>
  </si>
  <si>
    <t>81443922022</t>
  </si>
  <si>
    <t>Rigoberto</t>
  </si>
  <si>
    <t>Mancilla</t>
  </si>
  <si>
    <t>rigoberto.mancilla@gehealthcare.com</t>
  </si>
  <si>
    <t>Medical device cybersecurity Tech</t>
  </si>
  <si>
    <t>81443637057</t>
  </si>
  <si>
    <t>Sabel</t>
  </si>
  <si>
    <t>dean.sabel@gehealthcare.com</t>
  </si>
  <si>
    <t>Senior Director of Cybersecurity</t>
  </si>
  <si>
    <t>81444842403</t>
  </si>
  <si>
    <t>Claude</t>
  </si>
  <si>
    <t>Champagne</t>
  </si>
  <si>
    <t>claude.champagne@gehealthcare.com</t>
  </si>
  <si>
    <t>Senior Director Cyber Security - US&amp;Canada region Information Security Officer</t>
  </si>
  <si>
    <t>81444842423</t>
  </si>
  <si>
    <t>Hemanth</t>
  </si>
  <si>
    <t>Dhavala</t>
  </si>
  <si>
    <t>hemanth.dhavala@gehealthcare.com</t>
  </si>
  <si>
    <t>Director of Cyber Security - IAM</t>
  </si>
  <si>
    <t>81445329072</t>
  </si>
  <si>
    <t>Iannillo</t>
  </si>
  <si>
    <t>jason.iannillo@gehealthcare.com</t>
  </si>
  <si>
    <t>Director Of Cyber Security , Risk &amp; Compliance</t>
  </si>
  <si>
    <t>81444889649</t>
  </si>
  <si>
    <t>Gediminas</t>
  </si>
  <si>
    <t>Jomantas</t>
  </si>
  <si>
    <t>gediminas.jomantas@gehealthcare.com</t>
  </si>
  <si>
    <t>Sr. Director - Product Cybersecurity</t>
  </si>
  <si>
    <t>81444889620</t>
  </si>
  <si>
    <t>Ted</t>
  </si>
  <si>
    <t>Epperson</t>
  </si>
  <si>
    <t>ted.epperson@gehealthcare.com</t>
  </si>
  <si>
    <t>Genae Associates NV</t>
  </si>
  <si>
    <t>Uri</t>
  </si>
  <si>
    <t>Hoffer</t>
  </si>
  <si>
    <t>uri.hoffer@genae.com</t>
  </si>
  <si>
    <t>genae.com</t>
  </si>
  <si>
    <t>Gifford Medical Center</t>
  </si>
  <si>
    <t>81442926486</t>
  </si>
  <si>
    <t>Emily</t>
  </si>
  <si>
    <t>Cron</t>
  </si>
  <si>
    <t>ecron@giffordhealthcare.org</t>
  </si>
  <si>
    <t>Senior System and Cybersecurity Analyst</t>
  </si>
  <si>
    <t>Gift of Hope Organ and Tissue Donation Network</t>
  </si>
  <si>
    <t>Matusiak</t>
  </si>
  <si>
    <t>rmatusiak@giftofhope.org</t>
  </si>
  <si>
    <t>giftofhope.org</t>
  </si>
  <si>
    <t>EMR Access Coordinator/ Infrastructure Team</t>
  </si>
  <si>
    <t>Glidewell</t>
  </si>
  <si>
    <t>Haiyan</t>
  </si>
  <si>
    <t>Wei</t>
  </si>
  <si>
    <t>weihaiyan@hotmail.com</t>
  </si>
  <si>
    <t>hotmail.com</t>
  </si>
  <si>
    <t>Global Orthopedic Technology</t>
  </si>
  <si>
    <t>Yves</t>
  </si>
  <si>
    <t>Willems</t>
  </si>
  <si>
    <t>yves@wyno.be</t>
  </si>
  <si>
    <t>wyno.be</t>
  </si>
  <si>
    <t>medical device consultant</t>
  </si>
  <si>
    <t>Globus Medical</t>
  </si>
  <si>
    <t>Tilford</t>
  </si>
  <si>
    <t>etilford@globusmedical.com</t>
  </si>
  <si>
    <t>globusmedical.com</t>
  </si>
  <si>
    <t>Manager, Quality Engineering</t>
  </si>
  <si>
    <t>Glooma</t>
  </si>
  <si>
    <t>Flávia</t>
  </si>
  <si>
    <t>Barreiro</t>
  </si>
  <si>
    <t>flavia.barreiro@glooma.pt</t>
  </si>
  <si>
    <t>glooma.pt</t>
  </si>
  <si>
    <t>gnhearing.com</t>
  </si>
  <si>
    <t>Swathi</t>
  </si>
  <si>
    <t>Lekshmi</t>
  </si>
  <si>
    <t>slekshmi@gnhearing.com</t>
  </si>
  <si>
    <t>Regulatory Project Manager</t>
  </si>
  <si>
    <t>google private limited</t>
  </si>
  <si>
    <t>Mitun</t>
  </si>
  <si>
    <t>mitunpatel160674@gmail.com</t>
  </si>
  <si>
    <t>Greenlight Guru 10582</t>
  </si>
  <si>
    <t>Etienne</t>
  </si>
  <si>
    <t>Nichols</t>
  </si>
  <si>
    <t>etienne.nichols@greenlight.guru</t>
  </si>
  <si>
    <t>greenlight.guru</t>
  </si>
  <si>
    <t>Head of Industry Insights &amp; Education</t>
  </si>
  <si>
    <t>Naber</t>
  </si>
  <si>
    <t>alex.naber@greenlight.guru</t>
  </si>
  <si>
    <t>Medical Device Guru</t>
  </si>
  <si>
    <t>Wade</t>
  </si>
  <si>
    <t>Schroeder</t>
  </si>
  <si>
    <t>wade.schroeder@greenlight.guru</t>
  </si>
  <si>
    <t>Manager, Guru Services</t>
  </si>
  <si>
    <t>Alpert</t>
  </si>
  <si>
    <t>mark.alpert@greenlight.guru</t>
  </si>
  <si>
    <t>Director QA/RA</t>
  </si>
  <si>
    <t>Gsap</t>
  </si>
  <si>
    <t>Avital</t>
  </si>
  <si>
    <t>Levertov</t>
  </si>
  <si>
    <t>avital@gsap.co.il</t>
  </si>
  <si>
    <t>gsap.co.il</t>
  </si>
  <si>
    <t>QA RA specialist</t>
  </si>
  <si>
    <t>Guerbet</t>
  </si>
  <si>
    <t>Anne</t>
  </si>
  <si>
    <t>B Sommer</t>
  </si>
  <si>
    <t>anne.sommer@guerbet.com</t>
  </si>
  <si>
    <t>guerbet.com</t>
  </si>
  <si>
    <t>Manager, Regulatory Compliance</t>
  </si>
  <si>
    <t>HAA Llc 11792</t>
  </si>
  <si>
    <t>Hyman</t>
  </si>
  <si>
    <t>eric@haapd.com</t>
  </si>
  <si>
    <t>haapd.com</t>
  </si>
  <si>
    <t>VP, Engineering</t>
  </si>
  <si>
    <t>HAAG - Streit</t>
  </si>
  <si>
    <t>Alexandra</t>
  </si>
  <si>
    <t>Medrea</t>
  </si>
  <si>
    <t>alexandra.medrea@haag-streit.com</t>
  </si>
  <si>
    <t>haag-streit.com</t>
  </si>
  <si>
    <t>Risk Manager</t>
  </si>
  <si>
    <t>Haleon</t>
  </si>
  <si>
    <t>Zina</t>
  </si>
  <si>
    <t>Manji</t>
  </si>
  <si>
    <t>zina.manji@innopathwayz.com</t>
  </si>
  <si>
    <t>innopathwayz.com</t>
  </si>
  <si>
    <t>Founder/Principal Regulatory Strategist</t>
  </si>
  <si>
    <t>Hartmann</t>
  </si>
  <si>
    <t>Trey</t>
  </si>
  <si>
    <t>Thorsen</t>
  </si>
  <si>
    <t>trey@oconnellmyers.com</t>
  </si>
  <si>
    <t>oconnellmyers.com</t>
  </si>
  <si>
    <t>HCA Healthcare</t>
  </si>
  <si>
    <t>Manuel</t>
  </si>
  <si>
    <t>luke.manuel@hcahealthcare.com</t>
  </si>
  <si>
    <t>hcahealthcare.com</t>
  </si>
  <si>
    <t>Program Manager-Physical Security</t>
  </si>
  <si>
    <t>81415694408</t>
  </si>
  <si>
    <t>Pruett</t>
  </si>
  <si>
    <t>spruett@hcahealthcare.com</t>
  </si>
  <si>
    <t>AVP, Physical Security</t>
  </si>
  <si>
    <t>81433952587</t>
  </si>
  <si>
    <t>Haruna</t>
  </si>
  <si>
    <t>Gabra</t>
  </si>
  <si>
    <t>hgabra@hcahealthcare.com</t>
  </si>
  <si>
    <t>IT Disaster Security Analyst</t>
  </si>
  <si>
    <t>81433858057</t>
  </si>
  <si>
    <t>mphillips@hcahealthcare.com</t>
  </si>
  <si>
    <t>Director, Cyber Risk Management</t>
  </si>
  <si>
    <t>81433262630</t>
  </si>
  <si>
    <t>Cebulla</t>
  </si>
  <si>
    <t>bcebulla@hcahealthcare.com</t>
  </si>
  <si>
    <t>IT Security Consultant II</t>
  </si>
  <si>
    <t>81440605562</t>
  </si>
  <si>
    <t>Caleb</t>
  </si>
  <si>
    <t>Chitwood</t>
  </si>
  <si>
    <t>cchitwood@hcahealthcare.com</t>
  </si>
  <si>
    <t>AVP - Cybersecurity Operations</t>
  </si>
  <si>
    <t>81435480717</t>
  </si>
  <si>
    <t>Sharon</t>
  </si>
  <si>
    <t>Bersuder</t>
  </si>
  <si>
    <t>sbersuder@hcahealthcare.com</t>
  </si>
  <si>
    <t>81434355460</t>
  </si>
  <si>
    <t>Upshaw</t>
  </si>
  <si>
    <t>aupshaw@hcahealthcare.com</t>
  </si>
  <si>
    <t>Cyber Security Threat Engineer</t>
  </si>
  <si>
    <t>81440633974</t>
  </si>
  <si>
    <t>Bobby</t>
  </si>
  <si>
    <t>Martinez</t>
  </si>
  <si>
    <t>bmartinez@hcahealthcare.com</t>
  </si>
  <si>
    <t>IT &amp; Security Operations Analyst</t>
  </si>
  <si>
    <t>81442474005</t>
  </si>
  <si>
    <t>Gilbert</t>
  </si>
  <si>
    <t>mgilbert@hcahealthcare.com</t>
  </si>
  <si>
    <t>Director-Physical Security Technology</t>
  </si>
  <si>
    <t>81440779958</t>
  </si>
  <si>
    <t>Watson</t>
  </si>
  <si>
    <t>ewatson@hcahealthcare.com</t>
  </si>
  <si>
    <t>Cyber Security Project Manager</t>
  </si>
  <si>
    <t>81442724961</t>
  </si>
  <si>
    <t>Garrick</t>
  </si>
  <si>
    <t>Goodwiler</t>
  </si>
  <si>
    <t>ggoodwiler@hcahealthcare.com</t>
  </si>
  <si>
    <t>Director Physical Security, Staffing</t>
  </si>
  <si>
    <t>81442766493</t>
  </si>
  <si>
    <t>Patty</t>
  </si>
  <si>
    <t>Votta</t>
  </si>
  <si>
    <t>pvotta@hcahealthcare.com</t>
  </si>
  <si>
    <t>IT Security Specialist</t>
  </si>
  <si>
    <t>81443091076</t>
  </si>
  <si>
    <t>Jose</t>
  </si>
  <si>
    <t>Larraga</t>
  </si>
  <si>
    <t>jlarraga@hcahealthcare.com</t>
  </si>
  <si>
    <t>Cyber Threat Engineer</t>
  </si>
  <si>
    <t>81444862040</t>
  </si>
  <si>
    <t>Ghanem</t>
  </si>
  <si>
    <t>Faik</t>
  </si>
  <si>
    <t>gfaik@hcahealthcare.com</t>
  </si>
  <si>
    <t>81443552297</t>
  </si>
  <si>
    <t>Gabel</t>
  </si>
  <si>
    <t>cgabel@hcahealthcare.com</t>
  </si>
  <si>
    <t>Sr. Director, Expanse Cyber Resilience</t>
  </si>
  <si>
    <t>81444625825</t>
  </si>
  <si>
    <t>Daymon</t>
  </si>
  <si>
    <t>McCartney</t>
  </si>
  <si>
    <t>dmccartney@hcahealthcare.com</t>
  </si>
  <si>
    <t>Enterprise Fellow, IT Security</t>
  </si>
  <si>
    <t>81443922064</t>
  </si>
  <si>
    <t>Sreenivas</t>
  </si>
  <si>
    <t>Ganji</t>
  </si>
  <si>
    <t>sganji@hcahealthcare.com</t>
  </si>
  <si>
    <t>Senior Analytics Engineer, Cyber Threat Science</t>
  </si>
  <si>
    <t>81443770498</t>
  </si>
  <si>
    <t>Kwadwo</t>
  </si>
  <si>
    <t>Kyei</t>
  </si>
  <si>
    <t>kkyei@hcahealthcare.com</t>
  </si>
  <si>
    <t>81444915526</t>
  </si>
  <si>
    <t>Rowland</t>
  </si>
  <si>
    <t>jrowland@hcahealthcare.com</t>
  </si>
  <si>
    <t>Physical Security Operations Specialist</t>
  </si>
  <si>
    <t>81444875557</t>
  </si>
  <si>
    <t>sparks@hcahealthcare.com</t>
  </si>
  <si>
    <t>Cyber Threat Intelligence Analyst</t>
  </si>
  <si>
    <t>81444889662</t>
  </si>
  <si>
    <t>Mosier</t>
  </si>
  <si>
    <t>smosier@hcahealthcare.com</t>
  </si>
  <si>
    <t>Security Threat Engineer II (Cyber Tools Engineering)</t>
  </si>
  <si>
    <t>85175186950</t>
  </si>
  <si>
    <t>Bean</t>
  </si>
  <si>
    <t>t.bean@hcahealthcare.com</t>
  </si>
  <si>
    <t>VP Chief Info Security Officer</t>
  </si>
  <si>
    <t>123055815328</t>
  </si>
  <si>
    <t>kent.petty@hcahealthcare.com</t>
  </si>
  <si>
    <t>Chief Physical Security Officer</t>
  </si>
  <si>
    <t>HCL Technologies</t>
  </si>
  <si>
    <t>PARTHIBAN</t>
  </si>
  <si>
    <t>LAKSHMANAN</t>
  </si>
  <si>
    <t>parthiban-l@hcltech.com</t>
  </si>
  <si>
    <t>hcltech.com</t>
  </si>
  <si>
    <t>Health Care District of Palm Beach County</t>
  </si>
  <si>
    <t>Otto</t>
  </si>
  <si>
    <t>motto@hcdpbc.org</t>
  </si>
  <si>
    <t>hcdpbc.org</t>
  </si>
  <si>
    <t>Manager, Information Security</t>
  </si>
  <si>
    <t>Health Care Services Corporation</t>
  </si>
  <si>
    <t>Ian</t>
  </si>
  <si>
    <t>Schneller</t>
  </si>
  <si>
    <t>ian_schneller@bcbstx.com</t>
  </si>
  <si>
    <t>bcbstx.com</t>
  </si>
  <si>
    <t>DSVP Information Security Chief</t>
  </si>
  <si>
    <t>Health First</t>
  </si>
  <si>
    <t>Jolliffe</t>
  </si>
  <si>
    <t>christopher.jolliffe@hf.org</t>
  </si>
  <si>
    <t>hf.org</t>
  </si>
  <si>
    <t>Manager. Cybersecurity Engineering</t>
  </si>
  <si>
    <t>Health Line International 11740</t>
  </si>
  <si>
    <t>Caycho</t>
  </si>
  <si>
    <t>danielc@hlic.net</t>
  </si>
  <si>
    <t>hlic.net</t>
  </si>
  <si>
    <t>Healthcare Leaders Group</t>
  </si>
  <si>
    <t>81444946583</t>
  </si>
  <si>
    <t>Pushpak</t>
  </si>
  <si>
    <t>Kalra</t>
  </si>
  <si>
    <t>pkalra@healthcareleadersgroup.com</t>
  </si>
  <si>
    <t>Healthfirst</t>
  </si>
  <si>
    <t>Racquel</t>
  </si>
  <si>
    <t>racruz@healthfirst.org</t>
  </si>
  <si>
    <t>healthfirst.org</t>
  </si>
  <si>
    <t>Sr. Cybersecurity Engineer</t>
  </si>
  <si>
    <t>Sattler</t>
  </si>
  <si>
    <t>ssattler@healthfirst.org</t>
  </si>
  <si>
    <t>Healthmap Solutions</t>
  </si>
  <si>
    <t>Peterson</t>
  </si>
  <si>
    <t>eric.peterson@healthmapsolutions.com</t>
  </si>
  <si>
    <t>healthmapsolutions.com</t>
  </si>
  <si>
    <t>Director, Information Security Operations</t>
  </si>
  <si>
    <t>HealthTechConnex</t>
  </si>
  <si>
    <t>Deneb</t>
  </si>
  <si>
    <t>Ragbar</t>
  </si>
  <si>
    <t>denebragbar@healthtechconnex.com</t>
  </si>
  <si>
    <t>healthtechconnex.com</t>
  </si>
  <si>
    <t>QA/RA Team Lead</t>
  </si>
  <si>
    <t>Healthy.io</t>
  </si>
  <si>
    <t>Acobas</t>
  </si>
  <si>
    <t>jennifer.acobas@healthy.io</t>
  </si>
  <si>
    <t>healthy.io</t>
  </si>
  <si>
    <t>RA/QA Specialist</t>
  </si>
  <si>
    <t>HeartBeam</t>
  </si>
  <si>
    <t>Debbie</t>
  </si>
  <si>
    <t>Castillo</t>
  </si>
  <si>
    <t>dcastillo@heartbeam.com</t>
  </si>
  <si>
    <t>heartbeam.com</t>
  </si>
  <si>
    <t>VP of RA</t>
  </si>
  <si>
    <t>HeartFlow</t>
  </si>
  <si>
    <t>Avelina</t>
  </si>
  <si>
    <t>Alvarado</t>
  </si>
  <si>
    <t>avalvarado@heartflow.com</t>
  </si>
  <si>
    <t>heartflow.com</t>
  </si>
  <si>
    <t>HeartSciences</t>
  </si>
  <si>
    <t>Utrup</t>
  </si>
  <si>
    <t>gary.utrup@heartsciences.com</t>
  </si>
  <si>
    <t>heartsciences.com</t>
  </si>
  <si>
    <t>Quality &amp; CM Operations Manager</t>
  </si>
  <si>
    <t>Helbling Precision Engineering</t>
  </si>
  <si>
    <t>Constantineau</t>
  </si>
  <si>
    <t>cole.constantineau@helbling-inc.com</t>
  </si>
  <si>
    <t>helbling-inc.com</t>
  </si>
  <si>
    <t>Head Of Development, Medical Devices</t>
  </si>
  <si>
    <t>Funk</t>
  </si>
  <si>
    <t>michel.bruehwiler@helbling-inc.com</t>
  </si>
  <si>
    <t>Clinical Application Specialist</t>
  </si>
  <si>
    <t>Helen Of Troy</t>
  </si>
  <si>
    <t>Rameshwar</t>
  </si>
  <si>
    <t>Sundaresan</t>
  </si>
  <si>
    <t>rsundaresan@helenoftroy.com</t>
  </si>
  <si>
    <t>helenoftroy.com</t>
  </si>
  <si>
    <t>Helena Laboratories 10363</t>
  </si>
  <si>
    <t>Easley</t>
  </si>
  <si>
    <t>reasley@helena.com</t>
  </si>
  <si>
    <t>helena.com</t>
  </si>
  <si>
    <t>Highmark</t>
  </si>
  <si>
    <t>Giannoutsos</t>
  </si>
  <si>
    <t>peter.giannoutsos@hmhs.com</t>
  </si>
  <si>
    <t>hmhs.com</t>
  </si>
  <si>
    <t>Soc Security Architect</t>
  </si>
  <si>
    <t>Highmark Health</t>
  </si>
  <si>
    <t>Schilling</t>
  </si>
  <si>
    <t>joseph.schilling@hmhs.com</t>
  </si>
  <si>
    <t>Manager Cyber Incident Response</t>
  </si>
  <si>
    <t>Martin</t>
  </si>
  <si>
    <t>jason.martin@hmhs.com</t>
  </si>
  <si>
    <t>Manager</t>
  </si>
  <si>
    <t>eric.hampton@hmhs.com</t>
  </si>
  <si>
    <t>Manager Data Protection</t>
  </si>
  <si>
    <t>Hilum Healthcare</t>
  </si>
  <si>
    <t>Climent</t>
  </si>
  <si>
    <t>olivier.climent@hilum-healthcare.com</t>
  </si>
  <si>
    <t>hilum-healthcare.com</t>
  </si>
  <si>
    <t>Qara manager</t>
  </si>
  <si>
    <t>Hollister</t>
  </si>
  <si>
    <t>Raphael</t>
  </si>
  <si>
    <t>Okeke</t>
  </si>
  <si>
    <t>raphael.okeke@hollister.com</t>
  </si>
  <si>
    <t>hollister.com</t>
  </si>
  <si>
    <t>Holmed Group</t>
  </si>
  <si>
    <t>Randa</t>
  </si>
  <si>
    <t>Aoun</t>
  </si>
  <si>
    <t>randa.aoun@holmedgroup.com</t>
  </si>
  <si>
    <t>holmedgroup.com</t>
  </si>
  <si>
    <t>Hologic</t>
  </si>
  <si>
    <t>81440605552</t>
  </si>
  <si>
    <t>Kerrigan</t>
  </si>
  <si>
    <t>Murray</t>
  </si>
  <si>
    <t>kerrigan.murray@hologic.com</t>
  </si>
  <si>
    <t>81442997051</t>
  </si>
  <si>
    <t>Dick</t>
  </si>
  <si>
    <t>dick.parry@hologic.com</t>
  </si>
  <si>
    <t>Chief Security Officer (CSO) / Global Head, Environmental Health &amp; &amp; Safety</t>
  </si>
  <si>
    <t>84813737313</t>
  </si>
  <si>
    <t>VanAsselberg</t>
  </si>
  <si>
    <t>anthony.vanasselberg@hologic.com</t>
  </si>
  <si>
    <t>Lead Product Security Architect</t>
  </si>
  <si>
    <t>84813737312</t>
  </si>
  <si>
    <t>Hillyer</t>
  </si>
  <si>
    <t>matthew.hillyer@hologic.com</t>
  </si>
  <si>
    <t>Product Security Leader</t>
  </si>
  <si>
    <t>84813737314</t>
  </si>
  <si>
    <t>Amos</t>
  </si>
  <si>
    <t>richard.amos@hologic.com</t>
  </si>
  <si>
    <t>Hologic, Inc.</t>
  </si>
  <si>
    <t>Vanasselberg</t>
  </si>
  <si>
    <t>hologic.com</t>
  </si>
  <si>
    <t>Software Engineer At Hologic</t>
  </si>
  <si>
    <t>Horizon Surgical Systems, Inc 12053</t>
  </si>
  <si>
    <t>Matofa</t>
  </si>
  <si>
    <t>Fautua</t>
  </si>
  <si>
    <t>mfautua@horizonsurgicalsystems.com</t>
  </si>
  <si>
    <t>horizonsurgicalsystems.com</t>
  </si>
  <si>
    <t>Quality Head</t>
  </si>
  <si>
    <t>HRS Navigation</t>
  </si>
  <si>
    <t>Mangala</t>
  </si>
  <si>
    <t>Naik</t>
  </si>
  <si>
    <t>mangala@hrsnavigation.com</t>
  </si>
  <si>
    <t>hrsnavigation.com</t>
  </si>
  <si>
    <t>Test Engineer</t>
  </si>
  <si>
    <t>Huron Digital Pathology</t>
  </si>
  <si>
    <t>Sandy</t>
  </si>
  <si>
    <t>H.</t>
  </si>
  <si>
    <t>shong@hurondigitalpathology.com</t>
  </si>
  <si>
    <t>hurondigitalpathology.com</t>
  </si>
  <si>
    <t>QA/RA</t>
  </si>
  <si>
    <t>IBS Inc.</t>
  </si>
  <si>
    <t>daniel.brown@ibs.inc</t>
  </si>
  <si>
    <t>ibs.inc</t>
  </si>
  <si>
    <t>Head of Clinical Affairs</t>
  </si>
  <si>
    <t>IBSA Institut Biochimique SA</t>
  </si>
  <si>
    <t>simone</t>
  </si>
  <si>
    <t>sarman</t>
  </si>
  <si>
    <t>simone.sarman@ibsa.ch</t>
  </si>
  <si>
    <t>ibsa.ch</t>
  </si>
  <si>
    <t>Sr Data Management System Specialist</t>
  </si>
  <si>
    <t>iCAD</t>
  </si>
  <si>
    <t>81442552990</t>
  </si>
  <si>
    <t>mbrown@icadmed.com</t>
  </si>
  <si>
    <t>Illumina</t>
  </si>
  <si>
    <t>dmurray@illumina.com</t>
  </si>
  <si>
    <t>illumina.com</t>
  </si>
  <si>
    <t>Sr. Director, Quality</t>
  </si>
  <si>
    <t>Illumina Inc.</t>
  </si>
  <si>
    <t>Ujjwal</t>
  </si>
  <si>
    <t>Jain</t>
  </si>
  <si>
    <t>ujain@illumina.com</t>
  </si>
  <si>
    <t>Associate Director, Quality</t>
  </si>
  <si>
    <t>ImmutriX Therapeutics, Inc. 10138</t>
  </si>
  <si>
    <t>Cathy</t>
  </si>
  <si>
    <t>Connor</t>
  </si>
  <si>
    <t>cconnor@immutrix.com</t>
  </si>
  <si>
    <t>immutrix.com</t>
  </si>
  <si>
    <t>Quality Manager</t>
  </si>
  <si>
    <t>IMRIS</t>
  </si>
  <si>
    <t>Stacy</t>
  </si>
  <si>
    <t>Kramer</t>
  </si>
  <si>
    <t>skramer@imris.com</t>
  </si>
  <si>
    <t>imris.com</t>
  </si>
  <si>
    <t>Sr. Regulatory Affairs Specialist</t>
  </si>
  <si>
    <t>In Vitro Diagnostic Solutions 10932</t>
  </si>
  <si>
    <t>bthompson@ptsdiagnostics.com</t>
  </si>
  <si>
    <t>ptsdiagnostics.com</t>
  </si>
  <si>
    <t>V&amp;V Test Engineer</t>
  </si>
  <si>
    <t>Inari Medical</t>
  </si>
  <si>
    <t>81442540468</t>
  </si>
  <si>
    <t>Nguyen</t>
  </si>
  <si>
    <t>johnn@inarimedical.com</t>
  </si>
  <si>
    <t>Manager, IT Solutions &amp; Information Security</t>
  </si>
  <si>
    <t>81443524223</t>
  </si>
  <si>
    <t>Pierlot</t>
  </si>
  <si>
    <t>vincent.pierlot@inarimedical.com</t>
  </si>
  <si>
    <t>Indivi.io</t>
  </si>
  <si>
    <t>Velasco</t>
  </si>
  <si>
    <t>juan.velasco@indivi.io</t>
  </si>
  <si>
    <t>indivi.io</t>
  </si>
  <si>
    <t>.</t>
  </si>
  <si>
    <t>Innovo</t>
  </si>
  <si>
    <t>MICHAEL</t>
  </si>
  <si>
    <t>O'CONNOR</t>
  </si>
  <si>
    <t>moconnor@myinnovo.com</t>
  </si>
  <si>
    <t>myinnovo.com</t>
  </si>
  <si>
    <t>PRODUCT QUALITY ENGINEER</t>
  </si>
  <si>
    <t>Institut Straumann AG 11908</t>
  </si>
  <si>
    <t>Manikanddan</t>
  </si>
  <si>
    <t>manikanddan.chandrasekaran@straumann.com</t>
  </si>
  <si>
    <t>straumann.com</t>
  </si>
  <si>
    <t>Head of Delivery Excellence</t>
  </si>
  <si>
    <t>Integra</t>
  </si>
  <si>
    <t>Param</t>
  </si>
  <si>
    <t>Randhawa</t>
  </si>
  <si>
    <t>parampal.randhawa@integralife.com</t>
  </si>
  <si>
    <t>integralife.com</t>
  </si>
  <si>
    <t>Director, Strategic Innovation</t>
  </si>
  <si>
    <t>Intermountain Health</t>
  </si>
  <si>
    <t>81421608451</t>
  </si>
  <si>
    <t>Jaron</t>
  </si>
  <si>
    <t>jaron.blake@intermountainhealthcare.org</t>
  </si>
  <si>
    <t>Cybersecurity: Vulnerability Analyst and Penetration Tester</t>
  </si>
  <si>
    <t>81415694418</t>
  </si>
  <si>
    <t>Johnathan</t>
  </si>
  <si>
    <t>Parkes</t>
  </si>
  <si>
    <t>johnathan.parkes@intermountainhealthcare.org</t>
  </si>
  <si>
    <t>cybersecurity Manager</t>
  </si>
  <si>
    <t>81433952558</t>
  </si>
  <si>
    <t>Jayce</t>
  </si>
  <si>
    <t>jayce.barnes@intermountainhealthcare.org</t>
  </si>
  <si>
    <t>Cyber Security Analyst T2 - Staff</t>
  </si>
  <si>
    <t>81434443575</t>
  </si>
  <si>
    <t>Kris</t>
  </si>
  <si>
    <t>Kromer</t>
  </si>
  <si>
    <t>kris.kromer@intermountainhealthcare.org</t>
  </si>
  <si>
    <t>Cybersecurity (Senior)</t>
  </si>
  <si>
    <t>81441151058</t>
  </si>
  <si>
    <t>McClain</t>
  </si>
  <si>
    <t>john.mcclain@intermountainhealthcare.org</t>
  </si>
  <si>
    <t>81441309837</t>
  </si>
  <si>
    <t>jeff.johnson@intermountainhealthcare.org</t>
  </si>
  <si>
    <t>Cybersecurity Vulnerability Analyst and Penetration Tester</t>
  </si>
  <si>
    <t>81442581426</t>
  </si>
  <si>
    <t>Nyles</t>
  </si>
  <si>
    <t>Durfey</t>
  </si>
  <si>
    <t>nyles.durfey@intermountainhealthcare.org</t>
  </si>
  <si>
    <t>81442954356</t>
  </si>
  <si>
    <t>Clawson</t>
  </si>
  <si>
    <t>david.clawson@intermountainhealthcare.org</t>
  </si>
  <si>
    <t>Cyber Security, Senior, PCI ISA</t>
  </si>
  <si>
    <t>81443314042</t>
  </si>
  <si>
    <t>Mallory</t>
  </si>
  <si>
    <t>Hill</t>
  </si>
  <si>
    <t>mallory.hill@intermountainhealthcare.org</t>
  </si>
  <si>
    <t>81442926481</t>
  </si>
  <si>
    <t>tom.steele@intermountainhealthcare.org</t>
  </si>
  <si>
    <t>81442926487</t>
  </si>
  <si>
    <t>Hansen</t>
  </si>
  <si>
    <t>jeremy.hansen@intermountainhealthcare.org</t>
  </si>
  <si>
    <t>81443637081</t>
  </si>
  <si>
    <t>Cory</t>
  </si>
  <si>
    <t>Braithwaite</t>
  </si>
  <si>
    <t>cory.braithwaite@intermountainhealthcare.org</t>
  </si>
  <si>
    <t>Cybersecurity Associate</t>
  </si>
  <si>
    <t>81444625849</t>
  </si>
  <si>
    <t>Healy</t>
  </si>
  <si>
    <t>robert.healy@intermountainhealthcare.org</t>
  </si>
  <si>
    <t>Cybersecurity - Senior</t>
  </si>
  <si>
    <t>81444875561</t>
  </si>
  <si>
    <t>Pattison</t>
  </si>
  <si>
    <t>josh.pattison@intermountainhealthcare.org</t>
  </si>
  <si>
    <t>Cyber Security Analyst | Security Operations | Perimeter | Apprentice</t>
  </si>
  <si>
    <t>81444875552</t>
  </si>
  <si>
    <t>Price</t>
  </si>
  <si>
    <t>richard.price@intermountainhealthcare.org</t>
  </si>
  <si>
    <t>Principle Cybersecurity Analyst</t>
  </si>
  <si>
    <t>International Regulatory Business Consultants, LLC.</t>
  </si>
  <si>
    <t>Lebovic</t>
  </si>
  <si>
    <t>glebovic001@comcast.net</t>
  </si>
  <si>
    <t>comcast.net</t>
  </si>
  <si>
    <t>Invention Synergy</t>
  </si>
  <si>
    <t>Brad</t>
  </si>
  <si>
    <t>Little</t>
  </si>
  <si>
    <t>brad@inventionsynergy.com</t>
  </si>
  <si>
    <t>inventionsynergy.com</t>
  </si>
  <si>
    <t>Inviate</t>
  </si>
  <si>
    <t>Mita</t>
  </si>
  <si>
    <t>Hartland</t>
  </si>
  <si>
    <t>mita.hartland@invitae.com</t>
  </si>
  <si>
    <t>invitae.com</t>
  </si>
  <si>
    <t>CISO &amp; VP - IT Operations</t>
  </si>
  <si>
    <t>Inwound</t>
  </si>
  <si>
    <t>Guilherme</t>
  </si>
  <si>
    <t>Fiorezi</t>
  </si>
  <si>
    <t>guilherme@inwound.com</t>
  </si>
  <si>
    <t>inwound.com</t>
  </si>
  <si>
    <t>ra/qa</t>
  </si>
  <si>
    <t>iOrbit</t>
  </si>
  <si>
    <t>Smita</t>
  </si>
  <si>
    <t>smita.deshpande@iorbit-tech.com</t>
  </si>
  <si>
    <t>iorbit-tech.com</t>
  </si>
  <si>
    <t>QA</t>
  </si>
  <si>
    <t>ips - yes.com</t>
  </si>
  <si>
    <t>Doreen</t>
  </si>
  <si>
    <t>Swift</t>
  </si>
  <si>
    <t>doreens@ips-yes.com</t>
  </si>
  <si>
    <t>ips-yes.com</t>
  </si>
  <si>
    <t>Sr Director, Embedded Systems Engineering</t>
  </si>
  <si>
    <t>(631) 848-3552</t>
  </si>
  <si>
    <t>IQVIA Holdings,</t>
  </si>
  <si>
    <t>81433929759</t>
  </si>
  <si>
    <t>ian.lewis@iqvia.com</t>
  </si>
  <si>
    <t>Associate Director of IT Security &amp; Standards</t>
  </si>
  <si>
    <t>81441165164</t>
  </si>
  <si>
    <t>Duvall</t>
  </si>
  <si>
    <t>jason.duvall@iqvia.com</t>
  </si>
  <si>
    <t>Associate Director of Cybersecurity Incident Response</t>
  </si>
  <si>
    <t>Ivdeology</t>
  </si>
  <si>
    <t>Fiona</t>
  </si>
  <si>
    <t>fiona@ivdeology.co.uk</t>
  </si>
  <si>
    <t>ivdeology.co.uk</t>
  </si>
  <si>
    <t>Regulatory Consultant</t>
  </si>
  <si>
    <t>Jackson Healthcare</t>
  </si>
  <si>
    <t>81440779912</t>
  </si>
  <si>
    <t>Gaurav</t>
  </si>
  <si>
    <t>gjain@jacksonhealthcare.com</t>
  </si>
  <si>
    <t>Jalex Medical</t>
  </si>
  <si>
    <t>Hallie</t>
  </si>
  <si>
    <t>Piermarini</t>
  </si>
  <si>
    <t>hpiermarini@jalexmedical.com</t>
  </si>
  <si>
    <t>jalexmedical.com</t>
  </si>
  <si>
    <t>Quality Engineer Consultant</t>
  </si>
  <si>
    <t>Jefferson Health</t>
  </si>
  <si>
    <t>Weiss</t>
  </si>
  <si>
    <t>anthony.weiss@jefferson.edu</t>
  </si>
  <si>
    <t>jefferson.edu</t>
  </si>
  <si>
    <t>Security Analyst</t>
  </si>
  <si>
    <t>Antony</t>
  </si>
  <si>
    <t>aym430@jefferson.edu</t>
  </si>
  <si>
    <t>Jefferson Healthcare</t>
  </si>
  <si>
    <t>85163537832</t>
  </si>
  <si>
    <t>Weis</t>
  </si>
  <si>
    <t>rweis@jeffersonhealthcare.org</t>
  </si>
  <si>
    <t>Director of IT</t>
  </si>
  <si>
    <t>85187168024</t>
  </si>
  <si>
    <t>Birdsall</t>
  </si>
  <si>
    <t>abirdsall@jeffersonhealthcare.org</t>
  </si>
  <si>
    <t>Systems Administrator</t>
  </si>
  <si>
    <t>johnminier.com</t>
  </si>
  <si>
    <t>Minier</t>
  </si>
  <si>
    <t>johnminier@yahoo.com</t>
  </si>
  <si>
    <t>yahoo.com</t>
  </si>
  <si>
    <t>Johnson &amp; Johnson</t>
  </si>
  <si>
    <t>Harbison</t>
  </si>
  <si>
    <t>gharbiso@its.jnj.com</t>
  </si>
  <si>
    <t>its.jnj.com</t>
  </si>
  <si>
    <t>West Mancuso</t>
  </si>
  <si>
    <t>amancuso@its.jnj.com</t>
  </si>
  <si>
    <t>Vice President, MedTech BISO &amp; Product</t>
  </si>
  <si>
    <t>Bob</t>
  </si>
  <si>
    <t>Haack</t>
  </si>
  <si>
    <t>rhaack@its.jnj.com</t>
  </si>
  <si>
    <t>Sr. Mgr. MedTech Vuln. Mgmnt.</t>
  </si>
  <si>
    <t>81421608459</t>
  </si>
  <si>
    <t>Marcel</t>
  </si>
  <si>
    <t>Martori</t>
  </si>
  <si>
    <t>mmartori@jnj.com</t>
  </si>
  <si>
    <t>IT Lead, Computing Platform Security Technologies</t>
  </si>
  <si>
    <t>81408266059</t>
  </si>
  <si>
    <t>Phil</t>
  </si>
  <si>
    <t>Kostenbader</t>
  </si>
  <si>
    <t>pkostenbader@jnj.com</t>
  </si>
  <si>
    <t>Manager - IT Security Technologies</t>
  </si>
  <si>
    <t>81407018823</t>
  </si>
  <si>
    <t>Reza</t>
  </si>
  <si>
    <t>Rahimi</t>
  </si>
  <si>
    <t>rrahimi@jnj.com</t>
  </si>
  <si>
    <t>Director of Cybersecurity Data Science, Analytics, and Intelligent Automation</t>
  </si>
  <si>
    <t>81408266023</t>
  </si>
  <si>
    <t>Kristin</t>
  </si>
  <si>
    <t>Esbeck</t>
  </si>
  <si>
    <t>kesbeck@jnj.com</t>
  </si>
  <si>
    <t>Director of Cyber Security Operations</t>
  </si>
  <si>
    <t>81415694416</t>
  </si>
  <si>
    <t>Erin</t>
  </si>
  <si>
    <t>ewalsh@jnj.com</t>
  </si>
  <si>
    <t>Enterprise Cybersecurity Communications &amp; Awareness</t>
  </si>
  <si>
    <t>81433901460</t>
  </si>
  <si>
    <t>Brent</t>
  </si>
  <si>
    <t>McCarty</t>
  </si>
  <si>
    <t>bmccarty@jnj.com</t>
  </si>
  <si>
    <t>Director of Cybersecurity Investigations</t>
  </si>
  <si>
    <t>81433944212</t>
  </si>
  <si>
    <t>Linda</t>
  </si>
  <si>
    <t>Tremper</t>
  </si>
  <si>
    <t>ltremper@jnj.com</t>
  </si>
  <si>
    <t>Cyber Security Director</t>
  </si>
  <si>
    <t>81433944208</t>
  </si>
  <si>
    <t>Maina</t>
  </si>
  <si>
    <t>dmaina@jnj.com</t>
  </si>
  <si>
    <t>Sr. Director - Cyber Security Engineering</t>
  </si>
  <si>
    <t>81433929792</t>
  </si>
  <si>
    <t>Jenn</t>
  </si>
  <si>
    <t>Talley</t>
  </si>
  <si>
    <t>jtalley@jnj.com</t>
  </si>
  <si>
    <t>Director, J&amp;J MedTech Commercial Cyber Effectiveness</t>
  </si>
  <si>
    <t>81433915978</t>
  </si>
  <si>
    <t>zgardner@jnj.com</t>
  </si>
  <si>
    <t>Cybersecurity Sr Analyst MedTech R&amp;D</t>
  </si>
  <si>
    <t>81433245253</t>
  </si>
  <si>
    <t>Chann</t>
  </si>
  <si>
    <t>Vuppalamarthi</t>
  </si>
  <si>
    <t>cvuppalamarthi@jnj.com</t>
  </si>
  <si>
    <t>Portfolio Manager | Transformation Leader - Cyber Tech, Architecture &amp; Engineering</t>
  </si>
  <si>
    <t>81433858061</t>
  </si>
  <si>
    <t>Cushman</t>
  </si>
  <si>
    <t>mcushman@jnj.com</t>
  </si>
  <si>
    <t>IT Security &amp; Compliance Controls</t>
  </si>
  <si>
    <t>81433858065</t>
  </si>
  <si>
    <t>athomas@jnj.com</t>
  </si>
  <si>
    <t>81433245236</t>
  </si>
  <si>
    <t>amorgan@jnj.com</t>
  </si>
  <si>
    <t>Sr CyberSecurity Engineer</t>
  </si>
  <si>
    <t>81433872681</t>
  </si>
  <si>
    <t>Dennis</t>
  </si>
  <si>
    <t>King</t>
  </si>
  <si>
    <t>dking@jnj.com</t>
  </si>
  <si>
    <t>IT Lead - ERP Security and Risk Management</t>
  </si>
  <si>
    <t>81437600016</t>
  </si>
  <si>
    <t>Sheryl</t>
  </si>
  <si>
    <t>saustin@jnj.com</t>
  </si>
  <si>
    <t>Director Information Security and RIsk Mgmt - supply chain applications and IT SOX PMO</t>
  </si>
  <si>
    <t>81437600009</t>
  </si>
  <si>
    <t>Kuonen</t>
  </si>
  <si>
    <t>ckuonen@jnj.com</t>
  </si>
  <si>
    <t>IT Manager, Global Security Solutions</t>
  </si>
  <si>
    <t>81440633952</t>
  </si>
  <si>
    <t>Prasath</t>
  </si>
  <si>
    <t>Rangaraj</t>
  </si>
  <si>
    <t>prangaraj@jnj.com</t>
  </si>
  <si>
    <t>Software Quality &amp; Cybersecurity Engineering Leader</t>
  </si>
  <si>
    <t>81440633928</t>
  </si>
  <si>
    <t>Khari</t>
  </si>
  <si>
    <t>Davis-Fletcher</t>
  </si>
  <si>
    <t>kdavis-fletcher@jnj.com</t>
  </si>
  <si>
    <t>Cyber Security Lead</t>
  </si>
  <si>
    <t>81434355469</t>
  </si>
  <si>
    <t>Quintin</t>
  </si>
  <si>
    <t>qoliver@jnj.com</t>
  </si>
  <si>
    <t>81434355458</t>
  </si>
  <si>
    <t>Frye</t>
  </si>
  <si>
    <t>cfrye@jnj.com</t>
  </si>
  <si>
    <t>Senior Warehouse Operator/OT Cyber SPOC</t>
  </si>
  <si>
    <t>81434443576</t>
  </si>
  <si>
    <t>Krauss</t>
  </si>
  <si>
    <t>bkrauss@jnj.com</t>
  </si>
  <si>
    <t>Manager, CyberIncident Response - Cyber Security Operations Center</t>
  </si>
  <si>
    <t>81442455916</t>
  </si>
  <si>
    <t>Doyle</t>
  </si>
  <si>
    <t>wdoyle@jnj.com</t>
  </si>
  <si>
    <t>Cyber Security Risk Automation</t>
  </si>
  <si>
    <t>81440633956</t>
  </si>
  <si>
    <t>ekruse@jnj.com</t>
  </si>
  <si>
    <t>Acquisitions and Divestitures (A&amp;D) Cyber Security</t>
  </si>
  <si>
    <t>81440633954</t>
  </si>
  <si>
    <t>Rolando</t>
  </si>
  <si>
    <t>Burgos</t>
  </si>
  <si>
    <t>rburgos@jnj.com</t>
  </si>
  <si>
    <t>IT Security and Risk Management at J&amp;J World Headquaters</t>
  </si>
  <si>
    <t>81442526489</t>
  </si>
  <si>
    <t>Shawn</t>
  </si>
  <si>
    <t>Cunningham</t>
  </si>
  <si>
    <t>scunningham@jnj.com</t>
  </si>
  <si>
    <t>Lead Adversarial Cyber Engineering</t>
  </si>
  <si>
    <t>81440633980</t>
  </si>
  <si>
    <t>Snyder</t>
  </si>
  <si>
    <t>asnyder@jnj.com</t>
  </si>
  <si>
    <t>OT Cybersecurity Senior Director</t>
  </si>
  <si>
    <t>81442474001</t>
  </si>
  <si>
    <t>Roopal</t>
  </si>
  <si>
    <t>Thakkar</t>
  </si>
  <si>
    <t>rthakkar@jnj.com</t>
  </si>
  <si>
    <t>Enterprise Security Leadership- Cyber Security, SAP S/4 HANA, BW/4 HANA, CFin, Anaplan and more</t>
  </si>
  <si>
    <t>81442474006</t>
  </si>
  <si>
    <t>Scotty</t>
  </si>
  <si>
    <t>Ayers</t>
  </si>
  <si>
    <t>sayers@jnj.com</t>
  </si>
  <si>
    <t>Senior Director, Cybersecurity - Business Information Security</t>
  </si>
  <si>
    <t>81442526504</t>
  </si>
  <si>
    <t>Forrest</t>
  </si>
  <si>
    <t>lforrest@jnj.com</t>
  </si>
  <si>
    <t>81442526496</t>
  </si>
  <si>
    <t>Baumlin</t>
  </si>
  <si>
    <t>dbaumlin@jnj.com</t>
  </si>
  <si>
    <t>IT Manager, Identity and Access, Information Security and Risk Management</t>
  </si>
  <si>
    <t>81442488232</t>
  </si>
  <si>
    <t>Mahendri</t>
  </si>
  <si>
    <t>mramesh@jnj.com</t>
  </si>
  <si>
    <t>Cybersecurity Lead Analyst</t>
  </si>
  <si>
    <t>81441309858</t>
  </si>
  <si>
    <t>Ethan</t>
  </si>
  <si>
    <t>escott@jnj.com</t>
  </si>
  <si>
    <t>IT Security Project Coordinator - Information Security &amp; Risk Management//Sarbanes-Oxley</t>
  </si>
  <si>
    <t>81442724942</t>
  </si>
  <si>
    <t>Belleh</t>
  </si>
  <si>
    <t>Asaha</t>
  </si>
  <si>
    <t>basaha@jnj.com</t>
  </si>
  <si>
    <t>Information Technology Security Compliance Consultant</t>
  </si>
  <si>
    <t>81442724941</t>
  </si>
  <si>
    <t>Koba</t>
  </si>
  <si>
    <t>wkoba@jnj.com</t>
  </si>
  <si>
    <t>Sr. Software Manager, Applications, UI, Cybersecurity</t>
  </si>
  <si>
    <t>81442711567</t>
  </si>
  <si>
    <t>Anand</t>
  </si>
  <si>
    <t>Munuswamy</t>
  </si>
  <si>
    <t>amunuswamy@jnj.com</t>
  </si>
  <si>
    <t>IT Director - ERP Competency and Application security Leader</t>
  </si>
  <si>
    <t>81442711563</t>
  </si>
  <si>
    <t>Dellapietro</t>
  </si>
  <si>
    <t>kdellapietro@jnj.com</t>
  </si>
  <si>
    <t>Cyber Security Lead Analyst</t>
  </si>
  <si>
    <t>81442766603</t>
  </si>
  <si>
    <t>Wolfe</t>
  </si>
  <si>
    <t>cwolfe@jnj.com</t>
  </si>
  <si>
    <t>Cybersecurity Senior Analyst MedTech R&amp;D</t>
  </si>
  <si>
    <t>81442567198</t>
  </si>
  <si>
    <t>Vic</t>
  </si>
  <si>
    <t>Galante</t>
  </si>
  <si>
    <t>vgalante@jnj.com</t>
  </si>
  <si>
    <t>MANAGER Level 2 Cyber Threat Detection â€¢ ISRM INFO SEC</t>
  </si>
  <si>
    <t>81442845968</t>
  </si>
  <si>
    <t>Gross</t>
  </si>
  <si>
    <t>jgross@jnj.com</t>
  </si>
  <si>
    <t>Senior Engineer, OT Cybersecurity</t>
  </si>
  <si>
    <t>81442526505</t>
  </si>
  <si>
    <t>Pinali</t>
  </si>
  <si>
    <t>Kadakia</t>
  </si>
  <si>
    <t>pkadakia@jnj.com</t>
  </si>
  <si>
    <t>Program Manager - Innovative Medicine R&amp;D - Cyber Security</t>
  </si>
  <si>
    <t>81443296325</t>
  </si>
  <si>
    <t>Olds</t>
  </si>
  <si>
    <t>jolds@jnj.com</t>
  </si>
  <si>
    <t>Medical Device Cybersecurity Expert</t>
  </si>
  <si>
    <t>81442939931</t>
  </si>
  <si>
    <t>Shoeb</t>
  </si>
  <si>
    <t>Hussain</t>
  </si>
  <si>
    <t>shussain@jnj.com</t>
  </si>
  <si>
    <t>81442845984</t>
  </si>
  <si>
    <t>Ochei</t>
  </si>
  <si>
    <t>bochei@jnj.com</t>
  </si>
  <si>
    <t>81442984204</t>
  </si>
  <si>
    <t>Shafeeq</t>
  </si>
  <si>
    <t>Shaikh</t>
  </si>
  <si>
    <t>sshaikh@jnj.com</t>
  </si>
  <si>
    <t>Global Network/Cloud Networks/Cyber Security Architecture, Design - Strategy, Planning &amp; Execution</t>
  </si>
  <si>
    <t>81442954402</t>
  </si>
  <si>
    <t>Bhaskar</t>
  </si>
  <si>
    <t>Satish</t>
  </si>
  <si>
    <t>bsatish@jnj.com</t>
  </si>
  <si>
    <t>81442954391</t>
  </si>
  <si>
    <t>Janet</t>
  </si>
  <si>
    <t>Vroom</t>
  </si>
  <si>
    <t>jvroom@jnj.com</t>
  </si>
  <si>
    <t>IT Lead SAP Security</t>
  </si>
  <si>
    <t>81442966678</t>
  </si>
  <si>
    <t>Shaun</t>
  </si>
  <si>
    <t>Swenson</t>
  </si>
  <si>
    <t>sswenson@jnj.com</t>
  </si>
  <si>
    <t>Sr. Director, Cyber Security Response</t>
  </si>
  <si>
    <t>81443314049</t>
  </si>
  <si>
    <t>Lai</t>
  </si>
  <si>
    <t>wlai@jnj.com</t>
  </si>
  <si>
    <t>Compliance Manager, IT SOX and SAP Security</t>
  </si>
  <si>
    <t>81442966667</t>
  </si>
  <si>
    <t>Soltis</t>
  </si>
  <si>
    <t>psoltis@jnj.com</t>
  </si>
  <si>
    <t>81443091086</t>
  </si>
  <si>
    <t>Vinodkumar</t>
  </si>
  <si>
    <t>Nair</t>
  </si>
  <si>
    <t>vnair@jnj.com</t>
  </si>
  <si>
    <t>Staff Software Engineer, Cybersecurity</t>
  </si>
  <si>
    <t>81443552340</t>
  </si>
  <si>
    <t>Scovill</t>
  </si>
  <si>
    <t>ascovill@jnj.com</t>
  </si>
  <si>
    <t>SOC Cyber Threat Intelligence Analyst</t>
  </si>
  <si>
    <t>81443637078</t>
  </si>
  <si>
    <t>Amorim</t>
  </si>
  <si>
    <t>mamorim@jnj.com</t>
  </si>
  <si>
    <t>81444862047</t>
  </si>
  <si>
    <t>Souza</t>
  </si>
  <si>
    <t>asouza@jnj.com</t>
  </si>
  <si>
    <t>Senior IT Manager, Security Technologies</t>
  </si>
  <si>
    <t>81443552328</t>
  </si>
  <si>
    <t>Roy</t>
  </si>
  <si>
    <t>Gundy</t>
  </si>
  <si>
    <t>rgundy@jnj.com</t>
  </si>
  <si>
    <t>Head of Operational Technology Cyber Security</t>
  </si>
  <si>
    <t>81443537998</t>
  </si>
  <si>
    <t>Barrett</t>
  </si>
  <si>
    <t>mbarrett@jnj.com</t>
  </si>
  <si>
    <t>Technology Director, Worldwide Information Security</t>
  </si>
  <si>
    <t>81443637047</t>
  </si>
  <si>
    <t>rrodriguez@jnj.com</t>
  </si>
  <si>
    <t>Cyber Security Director, Risk Assurance</t>
  </si>
  <si>
    <t>81444842507</t>
  </si>
  <si>
    <t>Kbm</t>
  </si>
  <si>
    <t>Hossen</t>
  </si>
  <si>
    <t>khossen@jnj.com</t>
  </si>
  <si>
    <t>Sr. GXP / Cyber Security Engineer</t>
  </si>
  <si>
    <t>81443664659</t>
  </si>
  <si>
    <t>ssingh@jnj.com</t>
  </si>
  <si>
    <t>Lead ISRM Analyst, Cyber</t>
  </si>
  <si>
    <t>81443664565</t>
  </si>
  <si>
    <t>Paranto</t>
  </si>
  <si>
    <t>mparanto@jnj.com</t>
  </si>
  <si>
    <t>Lead Cyber Threat Hunter</t>
  </si>
  <si>
    <t>81443664558</t>
  </si>
  <si>
    <t>Albert</t>
  </si>
  <si>
    <t>Tomaro</t>
  </si>
  <si>
    <t>atomaro@jnj.com</t>
  </si>
  <si>
    <t>Cybersecurity Project Manager</t>
  </si>
  <si>
    <t>81444625818</t>
  </si>
  <si>
    <t>Olusegun</t>
  </si>
  <si>
    <t>Oyeniran</t>
  </si>
  <si>
    <t>ooyeniran@jnj.com</t>
  </si>
  <si>
    <t>Lead IT &amp; Cybersecurity Auditor</t>
  </si>
  <si>
    <t>81443770503</t>
  </si>
  <si>
    <t>Meklit</t>
  </si>
  <si>
    <t>Ambaw</t>
  </si>
  <si>
    <t>mambaw@jnj.com</t>
  </si>
  <si>
    <t>Analyst Adversarial Cyber Engineering</t>
  </si>
  <si>
    <t>81443650183</t>
  </si>
  <si>
    <t>Meredith</t>
  </si>
  <si>
    <t>Dorne</t>
  </si>
  <si>
    <t>mdorne@jnj.com</t>
  </si>
  <si>
    <t>Sr. Manager, Cybersecurity Workforce Strategy</t>
  </si>
  <si>
    <t>81444915516</t>
  </si>
  <si>
    <t>Mini</t>
  </si>
  <si>
    <t>Naidu</t>
  </si>
  <si>
    <t>mnaidu@jnj.com</t>
  </si>
  <si>
    <t>Senior Cyber Security Manager at Johnson &amp; Johnson</t>
  </si>
  <si>
    <t>81444875569</t>
  </si>
  <si>
    <t>Hendricks</t>
  </si>
  <si>
    <t>ehendricks@jnj.com</t>
  </si>
  <si>
    <t>IT LEAD-COMPUTING PLATFORM SECURITY</t>
  </si>
  <si>
    <t>81444875543</t>
  </si>
  <si>
    <t>Nabi</t>
  </si>
  <si>
    <t>Nurun</t>
  </si>
  <si>
    <t>nnurun@jnj.com</t>
  </si>
  <si>
    <t>Cyber Security Business Analyst, ETL IICS Development, Python Data Engineer , Cloud Security</t>
  </si>
  <si>
    <t>85175565931</t>
  </si>
  <si>
    <t>Noah</t>
  </si>
  <si>
    <t>Rivers</t>
  </si>
  <si>
    <t>nrivers@its.jnj.com</t>
  </si>
  <si>
    <t>Cyber Threat Intel and Threat Hunt</t>
  </si>
  <si>
    <t>85175248947</t>
  </si>
  <si>
    <t>Garima</t>
  </si>
  <si>
    <t>Maheshwari</t>
  </si>
  <si>
    <t>gmahesh@its.jnj.com</t>
  </si>
  <si>
    <t>VP Business Information Security Officer</t>
  </si>
  <si>
    <t>120241022282</t>
  </si>
  <si>
    <t>Myers</t>
  </si>
  <si>
    <t>cmyers3@its.jnj.com</t>
  </si>
  <si>
    <t>VP Acquisitions and Divestitures Corporate Technology</t>
  </si>
  <si>
    <t>123015742357</t>
  </si>
  <si>
    <t>afoley2@its.jnj.com</t>
  </si>
  <si>
    <t>JSC "Medical Technologies Ltd"</t>
  </si>
  <si>
    <t>Elvira</t>
  </si>
  <si>
    <t>Shef</t>
  </si>
  <si>
    <t>sef@mtl.ru</t>
  </si>
  <si>
    <t>mtl.ru</t>
  </si>
  <si>
    <t>KA Imaging</t>
  </si>
  <si>
    <t>Cheryl</t>
  </si>
  <si>
    <t>Winters</t>
  </si>
  <si>
    <t>cwinters@kaimaging.com</t>
  </si>
  <si>
    <t>kaimaging.com</t>
  </si>
  <si>
    <t>QA/RA Manager</t>
  </si>
  <si>
    <t>Kanopymed</t>
  </si>
  <si>
    <t>Al Amira Nour</t>
  </si>
  <si>
    <t>CHEHAB</t>
  </si>
  <si>
    <t>nchehab@kanopymed.com</t>
  </si>
  <si>
    <t>kanopymed.com</t>
  </si>
  <si>
    <t>Quality Assurance manager</t>
  </si>
  <si>
    <t>Kelley Medical Consulting</t>
  </si>
  <si>
    <t>Hopkins</t>
  </si>
  <si>
    <t>krish@raisonance.ai</t>
  </si>
  <si>
    <t>raisonance.ai</t>
  </si>
  <si>
    <t>Kenota</t>
  </si>
  <si>
    <t>Mann</t>
  </si>
  <si>
    <t>martin@kenota.com</t>
  </si>
  <si>
    <t>kenota.com</t>
  </si>
  <si>
    <t>Directory of Regulatory Affairs</t>
  </si>
  <si>
    <t>Kent Imaging Inc.</t>
  </si>
  <si>
    <t>Nessler</t>
  </si>
  <si>
    <t>jasonn@kentimaging.com</t>
  </si>
  <si>
    <t>kentimaging.com</t>
  </si>
  <si>
    <t>Liz</t>
  </si>
  <si>
    <t>Newell</t>
  </si>
  <si>
    <t>liz@kentimaging.com</t>
  </si>
  <si>
    <t>Director, Product Development</t>
  </si>
  <si>
    <t>403-561-0170</t>
  </si>
  <si>
    <t>Gill</t>
  </si>
  <si>
    <t>jacob@kentimaging.com</t>
  </si>
  <si>
    <t>Vakula</t>
  </si>
  <si>
    <t>alexv@kentimaging.com</t>
  </si>
  <si>
    <t>Montgomery</t>
  </si>
  <si>
    <t>keith@kentimaging.com</t>
  </si>
  <si>
    <t>Senior Software Developer</t>
  </si>
  <si>
    <t>Kinamed Inc.</t>
  </si>
  <si>
    <t>Heather</t>
  </si>
  <si>
    <t>Neely</t>
  </si>
  <si>
    <t>heather.neely@askmrcglobal.com</t>
  </si>
  <si>
    <t>askmrcglobal.com</t>
  </si>
  <si>
    <t>Kindred Healthcare</t>
  </si>
  <si>
    <t>81442711566</t>
  </si>
  <si>
    <t>Harvey</t>
  </si>
  <si>
    <t>rob.harvey@kindredhealthcare.com</t>
  </si>
  <si>
    <t>IT Security Manager</t>
  </si>
  <si>
    <t>King Biotech LLC</t>
  </si>
  <si>
    <t>Chayapol</t>
  </si>
  <si>
    <t>Pakachaipong</t>
  </si>
  <si>
    <t>pakac001@umn.edu</t>
  </si>
  <si>
    <t>umn.edu</t>
  </si>
  <si>
    <t>CMDC Fellow</t>
  </si>
  <si>
    <t>Kinvent</t>
  </si>
  <si>
    <t>manolis</t>
  </si>
  <si>
    <t>athanasopoulos</t>
  </si>
  <si>
    <t>manolis@k-invent.com</t>
  </si>
  <si>
    <t>k-invent.com</t>
  </si>
  <si>
    <t>cho</t>
  </si>
  <si>
    <t>KIT Invest ApS</t>
  </si>
  <si>
    <t>André</t>
  </si>
  <si>
    <t>Agerholm</t>
  </si>
  <si>
    <t>andre@agerholm.eu</t>
  </si>
  <si>
    <t>agerholm.eu</t>
  </si>
  <si>
    <t>Kittitas Valley Healthcare</t>
  </si>
  <si>
    <t>81442724907</t>
  </si>
  <si>
    <t>Schnitzius</t>
  </si>
  <si>
    <t>eschnitzius@kvhealthcare.org</t>
  </si>
  <si>
    <t>Kiwa</t>
  </si>
  <si>
    <t>Theo</t>
  </si>
  <si>
    <t>Gransier</t>
  </si>
  <si>
    <t>theo.gransier@kiwa.com</t>
  </si>
  <si>
    <t>kiwa.com</t>
  </si>
  <si>
    <t>Lead Auditor</t>
  </si>
  <si>
    <t>KMS Solutions B.V.</t>
  </si>
  <si>
    <t>Rajesh</t>
  </si>
  <si>
    <t>Kathuria</t>
  </si>
  <si>
    <t>rajesh.kathuria@kmssolutions.nl</t>
  </si>
  <si>
    <t>kmssolutions.nl</t>
  </si>
  <si>
    <t>Know Labs</t>
  </si>
  <si>
    <t>Jurre</t>
  </si>
  <si>
    <t>Wouters</t>
  </si>
  <si>
    <t>jurre@knowlabs.co</t>
  </si>
  <si>
    <t>knowlabs.co</t>
  </si>
  <si>
    <t>Senior Data Engineer</t>
  </si>
  <si>
    <t>Kota Engineering</t>
  </si>
  <si>
    <t>Kordell</t>
  </si>
  <si>
    <t>Tan</t>
  </si>
  <si>
    <t>kordell.tan@axonics.com</t>
  </si>
  <si>
    <t>Technical Project Manager</t>
  </si>
  <si>
    <t>KuartisMED</t>
  </si>
  <si>
    <t>cansu</t>
  </si>
  <si>
    <t>kılıçer</t>
  </si>
  <si>
    <t>cansu.kilicer@kuartismed.com</t>
  </si>
  <si>
    <t>kuartismed.com</t>
  </si>
  <si>
    <t>quality assurance engineer</t>
  </si>
  <si>
    <t>Kuleana Technology 11076</t>
  </si>
  <si>
    <t>Barry</t>
  </si>
  <si>
    <t>Fulkerson</t>
  </si>
  <si>
    <t>bfulkerson@kuleanatechnology.com</t>
  </si>
  <si>
    <t>kuleanatechnology.com</t>
  </si>
  <si>
    <t>Kymanox</t>
  </si>
  <si>
    <t>Blazei</t>
  </si>
  <si>
    <t>nathan.blazei@kymanox.com</t>
  </si>
  <si>
    <t>kymanox.com</t>
  </si>
  <si>
    <t>Senior Director</t>
  </si>
  <si>
    <t>Lakeland Regional Health</t>
  </si>
  <si>
    <t>Monteiro</t>
  </si>
  <si>
    <t>david.monteiro@mylrh.org</t>
  </si>
  <si>
    <t>mylrh.org</t>
  </si>
  <si>
    <t>Laza Medical</t>
  </si>
  <si>
    <t>Raj</t>
  </si>
  <si>
    <t>Kesavan</t>
  </si>
  <si>
    <t>raj@lazamedical.com</t>
  </si>
  <si>
    <t>lazamedical.com</t>
  </si>
  <si>
    <t>Cloud Infrastructure &amp; Software Developer</t>
  </si>
  <si>
    <t>LEON Medical Centers</t>
  </si>
  <si>
    <t>81444875535</t>
  </si>
  <si>
    <t>Robin</t>
  </si>
  <si>
    <t>Hix</t>
  </si>
  <si>
    <t>rhix@leonmedicalcenters.com</t>
  </si>
  <si>
    <t>Cybersecurity Compliance and Governance</t>
  </si>
  <si>
    <t>Lexitek Inc.</t>
  </si>
  <si>
    <t>Ebstein</t>
  </si>
  <si>
    <t>ebstein@lexitek.com</t>
  </si>
  <si>
    <t>lexitek.com</t>
  </si>
  <si>
    <t>Liberate Medical Llc 10004</t>
  </si>
  <si>
    <t>Guillermo</t>
  </si>
  <si>
    <t>guillermo@liberatemedical.com</t>
  </si>
  <si>
    <t>liberatemedical.com</t>
  </si>
  <si>
    <t>VP of Engineering</t>
  </si>
  <si>
    <t>Lifepoint Health</t>
  </si>
  <si>
    <t>Wetherby</t>
  </si>
  <si>
    <t>ryan.wetherby@lifepointhealth.net</t>
  </si>
  <si>
    <t>lifepointhealth.net</t>
  </si>
  <si>
    <t>Deputy CISO</t>
  </si>
  <si>
    <t>Linus Biotechnology 12048</t>
  </si>
  <si>
    <t>Jaclyn</t>
  </si>
  <si>
    <t>jaclyn.weiss@linusbio.com</t>
  </si>
  <si>
    <t>linusbio.com</t>
  </si>
  <si>
    <t>Sr. QA Mgr.</t>
  </si>
  <si>
    <t>LivaNova</t>
  </si>
  <si>
    <t>82272923651</t>
  </si>
  <si>
    <t>Thomson</t>
  </si>
  <si>
    <t>brett.thomson@livanova.com</t>
  </si>
  <si>
    <t>Live Fully, Inc. 12220</t>
  </si>
  <si>
    <t>Wood</t>
  </si>
  <si>
    <t>donna@livefullyinc.com</t>
  </si>
  <si>
    <t>livefullyinc.com</t>
  </si>
  <si>
    <t>Luminis Health</t>
  </si>
  <si>
    <t>Tigist</t>
  </si>
  <si>
    <t>Yadu</t>
  </si>
  <si>
    <t>tyadu@luminishealth.org</t>
  </si>
  <si>
    <t>luminishealth.org</t>
  </si>
  <si>
    <t>Information Security Analyst</t>
  </si>
  <si>
    <t>Lumos Labs Medical</t>
  </si>
  <si>
    <t>Lamoreux</t>
  </si>
  <si>
    <t>plamoreux@lumoslabs.com</t>
  </si>
  <si>
    <t>lumoslabs.com</t>
  </si>
  <si>
    <t>VP Quality &amp; Product Development</t>
  </si>
  <si>
    <t>Lumos Labs, Inc. 10726</t>
  </si>
  <si>
    <t>Neubauer</t>
  </si>
  <si>
    <t>julie.neubauer@lumoslabs.com</t>
  </si>
  <si>
    <t>Luxsonic Technologies Inc.</t>
  </si>
  <si>
    <t>Rushvi</t>
  </si>
  <si>
    <t>rushvi@luxsonic.ca</t>
  </si>
  <si>
    <t>luxsonic.ca</t>
  </si>
  <si>
    <t>RA/QA Intern</t>
  </si>
  <si>
    <t>MAG and More GmbH</t>
  </si>
  <si>
    <t>Juliane</t>
  </si>
  <si>
    <t>Rieß</t>
  </si>
  <si>
    <t>riess@magandmore.com</t>
  </si>
  <si>
    <t>magandmore.com</t>
  </si>
  <si>
    <t>Mak - System</t>
  </si>
  <si>
    <t>Ivana</t>
  </si>
  <si>
    <t>Krizanovic</t>
  </si>
  <si>
    <t>i.krizanovic@mak-system.net</t>
  </si>
  <si>
    <t>mak-system.net</t>
  </si>
  <si>
    <t>RA manager</t>
  </si>
  <si>
    <t>Mallinckrodt Pharmaceuticals</t>
  </si>
  <si>
    <t>Trueblood</t>
  </si>
  <si>
    <t>david.trueblood@mnk.com</t>
  </si>
  <si>
    <t>mnk.com</t>
  </si>
  <si>
    <t>Sr. Director, Regulatory Affairs</t>
  </si>
  <si>
    <t>Mantech</t>
  </si>
  <si>
    <t>S</t>
  </si>
  <si>
    <t>K</t>
  </si>
  <si>
    <t>sathish.rajasekaran@abbott.com</t>
  </si>
  <si>
    <t>Marathon Health</t>
  </si>
  <si>
    <t>81424649023</t>
  </si>
  <si>
    <t>Boschen</t>
  </si>
  <si>
    <t>rboschen@marathon.health</t>
  </si>
  <si>
    <t>Vice President Of IT Operations and Security</t>
  </si>
  <si>
    <t>Marshall Medical Center</t>
  </si>
  <si>
    <t>81443637026</t>
  </si>
  <si>
    <t>Daly</t>
  </si>
  <si>
    <t>mdaly@marshallmedical.org</t>
  </si>
  <si>
    <t>Vice President, Information Technology &amp; Security</t>
  </si>
  <si>
    <t>Matrix Requirements</t>
  </si>
  <si>
    <t>Kula</t>
  </si>
  <si>
    <t>daniel.kula@matrixreq.com</t>
  </si>
  <si>
    <t>matrixreq.com</t>
  </si>
  <si>
    <t>Maui Medical Group</t>
  </si>
  <si>
    <t>81440633934</t>
  </si>
  <si>
    <t>Keone</t>
  </si>
  <si>
    <t>Kali</t>
  </si>
  <si>
    <t>kkali@mauimedical.com</t>
  </si>
  <si>
    <t>Director of Information Technology, Security and Privacy (CIO)</t>
  </si>
  <si>
    <t>Mayborn Group</t>
  </si>
  <si>
    <t>Rebecca</t>
  </si>
  <si>
    <t>Grigg</t>
  </si>
  <si>
    <t>rgrigg@mayborngroup.com</t>
  </si>
  <si>
    <t>mayborngroup.com</t>
  </si>
  <si>
    <t>Medical regulatory affairs officer</t>
  </si>
  <si>
    <t>Mayo Clinic</t>
  </si>
  <si>
    <t>Tasha</t>
  </si>
  <si>
    <t>McDevitt</t>
  </si>
  <si>
    <t>mcdevitt.tasha@mayo.edu</t>
  </si>
  <si>
    <t>mayo.edu</t>
  </si>
  <si>
    <t>Regualtory Affairs Coordinator</t>
  </si>
  <si>
    <t>Mayo Foundation for Medical Education and Research</t>
  </si>
  <si>
    <t>Holmen</t>
  </si>
  <si>
    <t>holmen.brenda@mayo.edu</t>
  </si>
  <si>
    <t>Regulatory Affairs Coordinator</t>
  </si>
  <si>
    <t>McKesson Canada</t>
  </si>
  <si>
    <t>Joanna</t>
  </si>
  <si>
    <t>Sendek</t>
  </si>
  <si>
    <t>joanna.sendek@mckesson.com</t>
  </si>
  <si>
    <t>mckesson.com</t>
  </si>
  <si>
    <t>MDCS Japan</t>
  </si>
  <si>
    <t>Isoko</t>
  </si>
  <si>
    <t>Hirase</t>
  </si>
  <si>
    <t>hirase@mdcsjapan.com</t>
  </si>
  <si>
    <t>mdcsjapan.com</t>
  </si>
  <si>
    <t>Managing Member</t>
  </si>
  <si>
    <t>MedAlliance</t>
  </si>
  <si>
    <t>Ivan</t>
  </si>
  <si>
    <t>Vecerina</t>
  </si>
  <si>
    <t>ivecerina@medalliance.com</t>
  </si>
  <si>
    <t>medalliance.com</t>
  </si>
  <si>
    <t>Global Clinical Safety Director</t>
  </si>
  <si>
    <t>MedCAD</t>
  </si>
  <si>
    <t>Madeline</t>
  </si>
  <si>
    <t>Bowie</t>
  </si>
  <si>
    <t>madeline@medcad.net</t>
  </si>
  <si>
    <t>medcad.net</t>
  </si>
  <si>
    <t>Medical Eye Center</t>
  </si>
  <si>
    <t>81438936673</t>
  </si>
  <si>
    <t>Collie</t>
  </si>
  <si>
    <t>davecollie@medicaleyecenter.com</t>
  </si>
  <si>
    <t>IT &amp; Security Manager</t>
  </si>
  <si>
    <t>Medical Indicators</t>
  </si>
  <si>
    <t>Bedwuine</t>
  </si>
  <si>
    <t>Senatus</t>
  </si>
  <si>
    <t>bsenatus@medicalindicators.com</t>
  </si>
  <si>
    <t>medicalindicators.com</t>
  </si>
  <si>
    <t>QA Director</t>
  </si>
  <si>
    <t>Medical Informatics Corp. 11968</t>
  </si>
  <si>
    <t>Bryant</t>
  </si>
  <si>
    <t>Kim</t>
  </si>
  <si>
    <t>bryant.kim@michealthcare.com</t>
  </si>
  <si>
    <t>michealthcare.com</t>
  </si>
  <si>
    <t>Sr. QA Manager</t>
  </si>
  <si>
    <t>Medical Management Services</t>
  </si>
  <si>
    <t>Rius</t>
  </si>
  <si>
    <t>albert.rius@grifols.com</t>
  </si>
  <si>
    <t>grifols.com</t>
  </si>
  <si>
    <t>SQA Engineer</t>
  </si>
  <si>
    <t>Medical Properties Trust</t>
  </si>
  <si>
    <t>81442966640</t>
  </si>
  <si>
    <t>Ryland</t>
  </si>
  <si>
    <t>Byars</t>
  </si>
  <si>
    <t>rbyars@medicalpropertiestrust.com</t>
  </si>
  <si>
    <t>Director of IT and Security</t>
  </si>
  <si>
    <t>Medicept</t>
  </si>
  <si>
    <t>Gregg</t>
  </si>
  <si>
    <t>Van Citters</t>
  </si>
  <si>
    <t>gvancitters@medicept.com</t>
  </si>
  <si>
    <t>medicept.com</t>
  </si>
  <si>
    <t>Engineer</t>
  </si>
  <si>
    <t>Medis Corp</t>
  </si>
  <si>
    <t>Anna</t>
  </si>
  <si>
    <t>Tizzanini</t>
  </si>
  <si>
    <t>anna@medis.nl</t>
  </si>
  <si>
    <t>medis.nl</t>
  </si>
  <si>
    <t>QA Intern</t>
  </si>
  <si>
    <t>Medis Imaging</t>
  </si>
  <si>
    <t>Olaf</t>
  </si>
  <si>
    <t>Such</t>
  </si>
  <si>
    <t>osuch@medisimaging.com</t>
  </si>
  <si>
    <t>medisimaging.com</t>
  </si>
  <si>
    <t>Head of Diagnostic Imaging</t>
  </si>
  <si>
    <t>Medis Medical Imaging</t>
  </si>
  <si>
    <t>Goedhart</t>
  </si>
  <si>
    <t>bgoedhart@medisimaging.com</t>
  </si>
  <si>
    <t>Head of QARA</t>
  </si>
  <si>
    <t>Meditology Services</t>
  </si>
  <si>
    <t>Rice</t>
  </si>
  <si>
    <t>steve.rice@meditologyservices.com</t>
  </si>
  <si>
    <t>meditologyservices.com</t>
  </si>
  <si>
    <t>Sr. Enterprise Account Executive</t>
  </si>
  <si>
    <t>MediView XR, Inc. 10522</t>
  </si>
  <si>
    <t>Schriner</t>
  </si>
  <si>
    <t>jacob.schriner@mediview.com</t>
  </si>
  <si>
    <t>mediview.com</t>
  </si>
  <si>
    <t>IT Specialist</t>
  </si>
  <si>
    <t>Crew</t>
  </si>
  <si>
    <t>Weunski</t>
  </si>
  <si>
    <t>crew.weunski@mediview.com</t>
  </si>
  <si>
    <t>Regulatory Affairs Lead</t>
  </si>
  <si>
    <t>greg.miller@mediview.com</t>
  </si>
  <si>
    <t>Raudins</t>
  </si>
  <si>
    <t>glenn.raudins@mediview.com</t>
  </si>
  <si>
    <t>Medline Industries, Inc. (PARTNER)</t>
  </si>
  <si>
    <t>mrodriguez@medline.com</t>
  </si>
  <si>
    <t>medline.com</t>
  </si>
  <si>
    <t>Sr. Software Design Engineer</t>
  </si>
  <si>
    <t>MedSec</t>
  </si>
  <si>
    <t>Rene'</t>
  </si>
  <si>
    <t>Hardee</t>
  </si>
  <si>
    <t>renehardee@medsec.com</t>
  </si>
  <si>
    <t>medsec.com</t>
  </si>
  <si>
    <t>Director RA and Program Management</t>
  </si>
  <si>
    <t>medsoft - consulting.com</t>
  </si>
  <si>
    <t>Hytt</t>
  </si>
  <si>
    <t>rob@invent-medical.com</t>
  </si>
  <si>
    <t>invent-medical.com</t>
  </si>
  <si>
    <t>ra-qa</t>
  </si>
  <si>
    <t>Medtronic</t>
  </si>
  <si>
    <t>Nancy</t>
  </si>
  <si>
    <t>Brainerd</t>
  </si>
  <si>
    <t>nancy.brainerd@medtronic.com</t>
  </si>
  <si>
    <t>medtronic.com</t>
  </si>
  <si>
    <t>Senior Engineering Director</t>
  </si>
  <si>
    <t>Vorhees</t>
  </si>
  <si>
    <t>matthew.a.vorhees@medtronic.com</t>
  </si>
  <si>
    <t>Engineering Program Manager - Product</t>
  </si>
  <si>
    <t>Reed</t>
  </si>
  <si>
    <t>chris.reed@medtronic.com</t>
  </si>
  <si>
    <t>VP, Product Security</t>
  </si>
  <si>
    <t>Pinto</t>
  </si>
  <si>
    <t>david.pinto@medtronic.com</t>
  </si>
  <si>
    <t>Principal CyberSecurity Analyst | Client Trust</t>
  </si>
  <si>
    <t>vince.nguyen2@medtronic.com</t>
  </si>
  <si>
    <t>Sr. Security Program Manager</t>
  </si>
  <si>
    <t>81421608464</t>
  </si>
  <si>
    <t>tmartin@medtronic.com</t>
  </si>
  <si>
    <t>81408266048</t>
  </si>
  <si>
    <t>Bradshaw</t>
  </si>
  <si>
    <t>bbradshaw@medtronic.com</t>
  </si>
  <si>
    <t>Principal Cybersecurity Specialist - Cyber Threat Intelligence</t>
  </si>
  <si>
    <t>81416833182</t>
  </si>
  <si>
    <t>Olivia</t>
  </si>
  <si>
    <t>Alsterlund</t>
  </si>
  <si>
    <t>oalsterlund@medtronic.com</t>
  </si>
  <si>
    <t>Principal Cyber Information Assurance Analyst</t>
  </si>
  <si>
    <t>81407018827</t>
  </si>
  <si>
    <t>Bichler</t>
  </si>
  <si>
    <t>mbichler@medtronic.com</t>
  </si>
  <si>
    <t>SR IT Manager - Attack Surface Reduction | Global Security Office at Medtronic</t>
  </si>
  <si>
    <t>81415694420</t>
  </si>
  <si>
    <t>Luisa</t>
  </si>
  <si>
    <t>Brito</t>
  </si>
  <si>
    <t>lbrito@medtronic.com</t>
  </si>
  <si>
    <t>Principal Business Process Project Manager - Product Cybersecurity</t>
  </si>
  <si>
    <t>81421608374</t>
  </si>
  <si>
    <t>Wendell</t>
  </si>
  <si>
    <t>Rios</t>
  </si>
  <si>
    <t>wrios@medtronic.com</t>
  </si>
  <si>
    <t>Senior Network IT Technologist - Connectivity &amp; Data Center Services - Global Network and Security</t>
  </si>
  <si>
    <t>81418251829</t>
  </si>
  <si>
    <t>Nolan</t>
  </si>
  <si>
    <t>nwalker@medtronic.com</t>
  </si>
  <si>
    <t>81433887375</t>
  </si>
  <si>
    <t>Tracey</t>
  </si>
  <si>
    <t>Jansen</t>
  </si>
  <si>
    <t>tjansen@medtronic.com</t>
  </si>
  <si>
    <t>Cyber Info Assurance Analyst</t>
  </si>
  <si>
    <t>81433901466</t>
  </si>
  <si>
    <t>Abdourahman</t>
  </si>
  <si>
    <t>Camara</t>
  </si>
  <si>
    <t>acamara@medtronic.com</t>
  </si>
  <si>
    <t>81433262614</t>
  </si>
  <si>
    <t>Katie</t>
  </si>
  <si>
    <t>Ostrom</t>
  </si>
  <si>
    <t>kostrom@medtronic.com</t>
  </si>
  <si>
    <t>Principal Cybersecurity Information Technology Assurance Analyst</t>
  </si>
  <si>
    <t>81433245245</t>
  </si>
  <si>
    <t>Marie</t>
  </si>
  <si>
    <t>Fromm</t>
  </si>
  <si>
    <t>mfromm@medtronic.com</t>
  </si>
  <si>
    <t>Distinguished Cybersecurity Advisor, Cryptography Team</t>
  </si>
  <si>
    <t>81433262629</t>
  </si>
  <si>
    <t>Ravichandra</t>
  </si>
  <si>
    <t>Manam</t>
  </si>
  <si>
    <t>rmanam@medtronic.com</t>
  </si>
  <si>
    <t>Principal Cybersecurity Specialist</t>
  </si>
  <si>
    <t>81437600021</t>
  </si>
  <si>
    <t>Cissp</t>
  </si>
  <si>
    <t>dcissp@medtronic.com</t>
  </si>
  <si>
    <t>Principal Cybersecurity Incident Responder</t>
  </si>
  <si>
    <t>81437600020</t>
  </si>
  <si>
    <t>Colin</t>
  </si>
  <si>
    <t>Cunniff</t>
  </si>
  <si>
    <t>ccunniff@medtronic.com</t>
  </si>
  <si>
    <t>81440605564</t>
  </si>
  <si>
    <t>Alesha</t>
  </si>
  <si>
    <t>Kelley</t>
  </si>
  <si>
    <t>akelley@medtronic.com</t>
  </si>
  <si>
    <t>81438936665</t>
  </si>
  <si>
    <t>Kori</t>
  </si>
  <si>
    <t>Prins</t>
  </si>
  <si>
    <t>kprins@medtronic.com</t>
  </si>
  <si>
    <t>Sr Cyber Info Assurance Analyst</t>
  </si>
  <si>
    <t>81438936648</t>
  </si>
  <si>
    <t>Ayao</t>
  </si>
  <si>
    <t>Konishi</t>
  </si>
  <si>
    <t>akonishi@medtronic.com</t>
  </si>
  <si>
    <t>IT Security Compliance Manager</t>
  </si>
  <si>
    <t>81434650983</t>
  </si>
  <si>
    <t>Shpilfoygel</t>
  </si>
  <si>
    <t>sshpilfoygel@medtronic.com</t>
  </si>
  <si>
    <t>Senior Engineering Manager- Product Cybersecurity</t>
  </si>
  <si>
    <t>81434455820</t>
  </si>
  <si>
    <t>Nasradin</t>
  </si>
  <si>
    <t>Tahir</t>
  </si>
  <si>
    <t>ntahir@medtronic.com</t>
  </si>
  <si>
    <t>81434355472</t>
  </si>
  <si>
    <t>Timothy</t>
  </si>
  <si>
    <t>Lu</t>
  </si>
  <si>
    <t>tlu@medtronic.com</t>
  </si>
  <si>
    <t>Global Cybersecurity Audit &amp; Compliance Program Manager</t>
  </si>
  <si>
    <t>81442473994</t>
  </si>
  <si>
    <t>Urbanski</t>
  </si>
  <si>
    <t>turbanski@medtronic.com</t>
  </si>
  <si>
    <t>81442526488</t>
  </si>
  <si>
    <t>ORourke</t>
  </si>
  <si>
    <t>lorourke@medtronic.com</t>
  </si>
  <si>
    <t>IAM Cyber Info Assurance Analyst | Global Cyber &amp; Information Security Office</t>
  </si>
  <si>
    <t>81442474010</t>
  </si>
  <si>
    <t>Grayburn</t>
  </si>
  <si>
    <t>egrayburn@medtronic.com</t>
  </si>
  <si>
    <t>ECP IT Analyst - Cyber Security Incident Response Team (CSIRT)</t>
  </si>
  <si>
    <t>81442474021</t>
  </si>
  <si>
    <t>Cronin</t>
  </si>
  <si>
    <t>tcronin@medtronic.com</t>
  </si>
  <si>
    <t>81441151013</t>
  </si>
  <si>
    <t>Friedrich</t>
  </si>
  <si>
    <t>jfriedrich@medtronic.com</t>
  </si>
  <si>
    <t>Principal Cyber Info Assurance Analyst</t>
  </si>
  <si>
    <t>81441165207</t>
  </si>
  <si>
    <t>Cliff</t>
  </si>
  <si>
    <t>Schneider</t>
  </si>
  <si>
    <t>cschneider@medtronic.com</t>
  </si>
  <si>
    <t>Sr Cybersecurity Specialist</t>
  </si>
  <si>
    <t>81442488247</t>
  </si>
  <si>
    <t>Becca</t>
  </si>
  <si>
    <t>Lafoy</t>
  </si>
  <si>
    <t>blafoy@medtronic.com</t>
  </si>
  <si>
    <t>Sr. Cyber Info Assurance Analyst</t>
  </si>
  <si>
    <t>81441165224</t>
  </si>
  <si>
    <t>Gonzalez</t>
  </si>
  <si>
    <t>mgonzalez@medtronic.com</t>
  </si>
  <si>
    <t>81442739038</t>
  </si>
  <si>
    <t>Taras</t>
  </si>
  <si>
    <t>Hutsal</t>
  </si>
  <si>
    <t>thutsal@medtronic.com</t>
  </si>
  <si>
    <t>Associate ECRP IT Analyst - Cyber Security Incident Response Team</t>
  </si>
  <si>
    <t>81442845967</t>
  </si>
  <si>
    <t>Rodgers</t>
  </si>
  <si>
    <t>arodgers@medtronic.com</t>
  </si>
  <si>
    <t>81442567179</t>
  </si>
  <si>
    <t>LT</t>
  </si>
  <si>
    <t>McGary</t>
  </si>
  <si>
    <t>lmcgary@medtronic.com</t>
  </si>
  <si>
    <t>81442567199</t>
  </si>
  <si>
    <t>Merritte</t>
  </si>
  <si>
    <t>Stidston</t>
  </si>
  <si>
    <t>mstidston@medtronic.com</t>
  </si>
  <si>
    <t>IT Director, Enterprise Architecture &amp; Cloud Security</t>
  </si>
  <si>
    <t>81442845972</t>
  </si>
  <si>
    <t>Rahul</t>
  </si>
  <si>
    <t>rs@medtronic.com</t>
  </si>
  <si>
    <t>Principal Cybersecurity Specialist-Identity and Access Management</t>
  </si>
  <si>
    <t>81442711480</t>
  </si>
  <si>
    <t>Boddapati</t>
  </si>
  <si>
    <t>rboddapati@medtronic.com</t>
  </si>
  <si>
    <t>Senior Principal IT Project Lead - Global Functions SAP Security</t>
  </si>
  <si>
    <t>81442581425</t>
  </si>
  <si>
    <t>Diondria</t>
  </si>
  <si>
    <t>Holliman</t>
  </si>
  <si>
    <t>dholliman@medtronic.com</t>
  </si>
  <si>
    <t>Principal IT Cybersecurity Analyst</t>
  </si>
  <si>
    <t>81443091068</t>
  </si>
  <si>
    <t>Pall</t>
  </si>
  <si>
    <t>mpall@medtronic.com</t>
  </si>
  <si>
    <t>Senior Principal Cybersecurity Analyst</t>
  </si>
  <si>
    <t>81443296329</t>
  </si>
  <si>
    <t>Bangert</t>
  </si>
  <si>
    <t>pbangert@medtronic.com</t>
  </si>
  <si>
    <t>81442997046</t>
  </si>
  <si>
    <t>Dylan</t>
  </si>
  <si>
    <t>dturner@medtronic.com</t>
  </si>
  <si>
    <t>81443296312</t>
  </si>
  <si>
    <t>Kelly</t>
  </si>
  <si>
    <t>akelly@medtronic.com</t>
  </si>
  <si>
    <t>81442997016</t>
  </si>
  <si>
    <t>Thielen</t>
  </si>
  <si>
    <t>sthielen@medtronic.com</t>
  </si>
  <si>
    <t>Senior Principal IT Technologist - Security / Sr BISO</t>
  </si>
  <si>
    <t>81442939917</t>
  </si>
  <si>
    <t>ccissp@medtronic.com</t>
  </si>
  <si>
    <t>Senior Director Cybersecurity Strategy &amp; Governance</t>
  </si>
  <si>
    <t>81442984109</t>
  </si>
  <si>
    <t>Tebid</t>
  </si>
  <si>
    <t>Dalynda</t>
  </si>
  <si>
    <t>tdalynda@medtronic.com</t>
  </si>
  <si>
    <t>81442926464</t>
  </si>
  <si>
    <t>dmichael@medtronic.com</t>
  </si>
  <si>
    <t>81442926474</t>
  </si>
  <si>
    <t>Ruby</t>
  </si>
  <si>
    <t>Vazquez</t>
  </si>
  <si>
    <t>rvazquez@medtronic.com</t>
  </si>
  <si>
    <t>Sr IT Manager, Cybersecurity Culture, Strategy &amp; Programs</t>
  </si>
  <si>
    <t>81443091081</t>
  </si>
  <si>
    <t>Sinn</t>
  </si>
  <si>
    <t>msinn@medtronic.com</t>
  </si>
  <si>
    <t>Sr. Cyber Information Assurance Analyst | Insider Risk Management Program</t>
  </si>
  <si>
    <t>81443770481</t>
  </si>
  <si>
    <t>Crum</t>
  </si>
  <si>
    <t>scrum@medtronic.com</t>
  </si>
  <si>
    <t>81443637076</t>
  </si>
  <si>
    <t>Deremer</t>
  </si>
  <si>
    <t>hderemer@medtronic.com</t>
  </si>
  <si>
    <t>Senior Cybersecurity Information Assurance Analyst</t>
  </si>
  <si>
    <t>81443537979</t>
  </si>
  <si>
    <t>Ceass</t>
  </si>
  <si>
    <t>rceass@medtronic.com</t>
  </si>
  <si>
    <t>Sr. Cybersecurity Specialist</t>
  </si>
  <si>
    <t>81443524273</t>
  </si>
  <si>
    <t>kswenson@medtronic.com</t>
  </si>
  <si>
    <t>81443524278</t>
  </si>
  <si>
    <t>dpinto@medtronic.com</t>
  </si>
  <si>
    <t>81444625848</t>
  </si>
  <si>
    <t>Kumar</t>
  </si>
  <si>
    <t>hkumar@medtronic.com</t>
  </si>
  <si>
    <t>81443664541</t>
  </si>
  <si>
    <t>Abrar</t>
  </si>
  <si>
    <t>Alomary</t>
  </si>
  <si>
    <t>aalomary@medtronic.com</t>
  </si>
  <si>
    <t>IT Security specialist</t>
  </si>
  <si>
    <t>81443770505</t>
  </si>
  <si>
    <t>Charles</t>
  </si>
  <si>
    <t>Speckman</t>
  </si>
  <si>
    <t>cspeckman@medtronic.com</t>
  </si>
  <si>
    <t>Sr. Cyber Security Specialist - Global Privacy and Security Office</t>
  </si>
  <si>
    <t>81444889673</t>
  </si>
  <si>
    <t>creed@medtronic.com</t>
  </si>
  <si>
    <t>Sr. Director of Cybersecurity Policy | Global Regulatory Affairs</t>
  </si>
  <si>
    <t>85183009653</t>
  </si>
  <si>
    <t>Cat</t>
  </si>
  <si>
    <t>Adams</t>
  </si>
  <si>
    <t>cat.s.adams@medtronic.com</t>
  </si>
  <si>
    <t>81444904259</t>
  </si>
  <si>
    <t>cthompson@medtronic.com</t>
  </si>
  <si>
    <t>85175205506</t>
  </si>
  <si>
    <t>simon.d.shpilfoygel@medtronic.com</t>
  </si>
  <si>
    <t>Senior Software Engineering Manager</t>
  </si>
  <si>
    <t>81444875546</t>
  </si>
  <si>
    <t>Ajith</t>
  </si>
  <si>
    <t>Takur</t>
  </si>
  <si>
    <t>atakur@medtronic.com</t>
  </si>
  <si>
    <t>Sr IAM Cybersecurity Specialist</t>
  </si>
  <si>
    <t>81445329188</t>
  </si>
  <si>
    <t>cmatt@medtronic.com</t>
  </si>
  <si>
    <t>81444946575</t>
  </si>
  <si>
    <t>Lena</t>
  </si>
  <si>
    <t>Karkar</t>
  </si>
  <si>
    <t>lkarkar@medtronic.com</t>
  </si>
  <si>
    <t>Director of Product Cybersecurity and Privacy [Cardiac Rhythm Management]</t>
  </si>
  <si>
    <t>85131847092</t>
  </si>
  <si>
    <t>Rhodes</t>
  </si>
  <si>
    <t>melissa.m.rhodes@medtronic.com</t>
  </si>
  <si>
    <t>Engineering Program Manager</t>
  </si>
  <si>
    <t>85174228263</t>
  </si>
  <si>
    <t>Yefim</t>
  </si>
  <si>
    <t>Lipovskiy</t>
  </si>
  <si>
    <t>yefim.b.lipovskiy@medtronic.com</t>
  </si>
  <si>
    <t>Sr. Prin. Systems Security Engineer</t>
  </si>
  <si>
    <t>85174228264</t>
  </si>
  <si>
    <t>Vogenthaler</t>
  </si>
  <si>
    <t>thomas.vogenthaler@medtronic.com</t>
  </si>
  <si>
    <t>120201473672</t>
  </si>
  <si>
    <t>Sefkow</t>
  </si>
  <si>
    <t>ryan.sefkow@medtronic.com</t>
  </si>
  <si>
    <t>Senior Director of Engineering</t>
  </si>
  <si>
    <t>120201467277</t>
  </si>
  <si>
    <t>B</t>
  </si>
  <si>
    <t>chris.b@medtronic.com</t>
  </si>
  <si>
    <t>Sr. Director Engineering</t>
  </si>
  <si>
    <t>120250408551</t>
  </si>
  <si>
    <t>Nikolas</t>
  </si>
  <si>
    <t>nikolas.larson@medtronic.com</t>
  </si>
  <si>
    <t>120250407536</t>
  </si>
  <si>
    <t>Aaron S</t>
  </si>
  <si>
    <t>Gonzales</t>
  </si>
  <si>
    <t>aaron.s.gonzales@medtronic.com</t>
  </si>
  <si>
    <t>120201468818</t>
  </si>
  <si>
    <t>Louise</t>
  </si>
  <si>
    <t>louise.flaherty@medtronic.com</t>
  </si>
  <si>
    <t>Sr. Director of Engineering</t>
  </si>
  <si>
    <t>120241032119</t>
  </si>
  <si>
    <t>Loic</t>
  </si>
  <si>
    <t>Josse</t>
  </si>
  <si>
    <t>loic.josse@medtronic.com</t>
  </si>
  <si>
    <t>120228470386</t>
  </si>
  <si>
    <t>Douglas S</t>
  </si>
  <si>
    <t>Hine</t>
  </si>
  <si>
    <t>douglas.s.hine@medtronic.com</t>
  </si>
  <si>
    <t>120228471676</t>
  </si>
  <si>
    <t>Arvind</t>
  </si>
  <si>
    <t>Puri</t>
  </si>
  <si>
    <t>arvind.puri@medtronic.com</t>
  </si>
  <si>
    <t>120241028271</t>
  </si>
  <si>
    <t>alexander.h@medtronic.com</t>
  </si>
  <si>
    <t>120250410297</t>
  </si>
  <si>
    <t>Delin</t>
  </si>
  <si>
    <t>Shen</t>
  </si>
  <si>
    <t>delin.shen@medtronic.com</t>
  </si>
  <si>
    <t>120241031596</t>
  </si>
  <si>
    <t>Jason T</t>
  </si>
  <si>
    <t>Iceman</t>
  </si>
  <si>
    <t>jason.t.iceman@medtronic.com</t>
  </si>
  <si>
    <t>120228470888</t>
  </si>
  <si>
    <t>Haider</t>
  </si>
  <si>
    <t>greg.haider@medtronic.com</t>
  </si>
  <si>
    <t>120228471388</t>
  </si>
  <si>
    <t>john.b@medtronic.com</t>
  </si>
  <si>
    <t>120196423734</t>
  </si>
  <si>
    <t>Alyse</t>
  </si>
  <si>
    <t>Stofer</t>
  </si>
  <si>
    <t>alyse.r.stofer@medtronic.com</t>
  </si>
  <si>
    <t>120196423735</t>
  </si>
  <si>
    <t>Stephane</t>
  </si>
  <si>
    <t>stephane.moreau@medtronic.com</t>
  </si>
  <si>
    <t>120250409743</t>
  </si>
  <si>
    <t>Amol P</t>
  </si>
  <si>
    <t>Kodag</t>
  </si>
  <si>
    <t>amol.p.kodag@medtronic.com</t>
  </si>
  <si>
    <t>120228472902</t>
  </si>
  <si>
    <t>lena.karkar@medtronic.com</t>
  </si>
  <si>
    <t>Sr. Program Manager Product Security</t>
  </si>
  <si>
    <t>120241031284</t>
  </si>
  <si>
    <t>jennifer.miller@medtronic.com</t>
  </si>
  <si>
    <t>120241026931</t>
  </si>
  <si>
    <t>Vishal</t>
  </si>
  <si>
    <t>Nazareth</t>
  </si>
  <si>
    <t>vishal.nazareth@medtronic.com</t>
  </si>
  <si>
    <t>120201472257</t>
  </si>
  <si>
    <t>Arco</t>
  </si>
  <si>
    <t>steve.arco@medtronic.com</t>
  </si>
  <si>
    <t>120241031012</t>
  </si>
  <si>
    <t>Fagan</t>
  </si>
  <si>
    <t>ryan.fagan@medtronic.com</t>
  </si>
  <si>
    <t>120241023841</t>
  </si>
  <si>
    <t>Nicholas T</t>
  </si>
  <si>
    <t>nicholas.t.anderson@medtronic.com</t>
  </si>
  <si>
    <t>123045726866</t>
  </si>
  <si>
    <t>emily.grayburn@medtronic.com</t>
  </si>
  <si>
    <t>119937389653</t>
  </si>
  <si>
    <t>erica</t>
  </si>
  <si>
    <t>steffe1@medtronic.com</t>
  </si>
  <si>
    <t>120241029719</t>
  </si>
  <si>
    <t>Barbara</t>
  </si>
  <si>
    <t>Tyrrell</t>
  </si>
  <si>
    <t>barbara.tyrrell@medtronic.com</t>
  </si>
  <si>
    <t>127365244208</t>
  </si>
  <si>
    <t>Dustin</t>
  </si>
  <si>
    <t>Eastman</t>
  </si>
  <si>
    <t>dustin.c.eastman@medtronic.com</t>
  </si>
  <si>
    <t>Director of Product Security</t>
  </si>
  <si>
    <t>85187255614</t>
  </si>
  <si>
    <t>Sr. Product Security Manager, R&amp;D</t>
  </si>
  <si>
    <t>85187444262</t>
  </si>
  <si>
    <t>Senior Director, Product Security Office</t>
  </si>
  <si>
    <t>120241026641</t>
  </si>
  <si>
    <t>Davis</t>
  </si>
  <si>
    <t>emily.davis@medtronic.com</t>
  </si>
  <si>
    <t>120241027654</t>
  </si>
  <si>
    <t>Fontecchio</t>
  </si>
  <si>
    <t>john.fontecchio@medtronic.com</t>
  </si>
  <si>
    <t>120201469502</t>
  </si>
  <si>
    <t>Daniel J</t>
  </si>
  <si>
    <t>Rotty</t>
  </si>
  <si>
    <t>daniel.j.rotty@medtronic.com</t>
  </si>
  <si>
    <t>120241029199</t>
  </si>
  <si>
    <t>Shohan</t>
  </si>
  <si>
    <t>Hossain</t>
  </si>
  <si>
    <t>shohan.hossain@medtronic.com</t>
  </si>
  <si>
    <t>120241033268</t>
  </si>
  <si>
    <t>Daniel C</t>
  </si>
  <si>
    <t>Broom</t>
  </si>
  <si>
    <t>daniel.c.broom@medtronic.com</t>
  </si>
  <si>
    <t>120241034302</t>
  </si>
  <si>
    <t>Monika</t>
  </si>
  <si>
    <t>Budhabhatti</t>
  </si>
  <si>
    <t>monika.budhabhatti@medtronic.com</t>
  </si>
  <si>
    <t>120201472836</t>
  </si>
  <si>
    <t>Borowick</t>
  </si>
  <si>
    <t>jim.borowick@medtronic.com</t>
  </si>
  <si>
    <t>85187222854</t>
  </si>
  <si>
    <t>Swagata</t>
  </si>
  <si>
    <t>Bergquist</t>
  </si>
  <si>
    <t>swagata.bergquist@medtronic.com</t>
  </si>
  <si>
    <t>Prin Product Security Engineer</t>
  </si>
  <si>
    <t>120204530812</t>
  </si>
  <si>
    <t>Allen</t>
  </si>
  <si>
    <t>Kluz</t>
  </si>
  <si>
    <t>allen.e.kluz@medtronic.com</t>
  </si>
  <si>
    <t>Senior Manufacturing Engineering Manager</t>
  </si>
  <si>
    <t>85187222853</t>
  </si>
  <si>
    <t>Dwenger</t>
  </si>
  <si>
    <t>tyler.j.dwenger@medtronic.com</t>
  </si>
  <si>
    <t>120201475176</t>
  </si>
  <si>
    <t>Elizabeth G</t>
  </si>
  <si>
    <t>Shields</t>
  </si>
  <si>
    <t>elizabeth.g.shields@medtronic.com</t>
  </si>
  <si>
    <t>120241032465</t>
  </si>
  <si>
    <t>Plocharsky</t>
  </si>
  <si>
    <t>christopher.plocharsky@medtronic.com</t>
  </si>
  <si>
    <t>120201473388</t>
  </si>
  <si>
    <t>Ann Marie</t>
  </si>
  <si>
    <t>Odonnell</t>
  </si>
  <si>
    <t>ann.marie.odonnell@medtronic.com</t>
  </si>
  <si>
    <t>120201473907</t>
  </si>
  <si>
    <t>Robert T</t>
  </si>
  <si>
    <t>Sandgren</t>
  </si>
  <si>
    <t>robert.t.sandgren@medtronic.com</t>
  </si>
  <si>
    <t>120241027343</t>
  </si>
  <si>
    <t>Amanda</t>
  </si>
  <si>
    <t>amanda.wilson@medtronic.com</t>
  </si>
  <si>
    <t>120250407839</t>
  </si>
  <si>
    <t>Emir</t>
  </si>
  <si>
    <t>Osmanagic</t>
  </si>
  <si>
    <t>emir.osmanagic@medtronic.com</t>
  </si>
  <si>
    <t>MedWare Cyber, LLC - Medical Device Cybersecurity</t>
  </si>
  <si>
    <t>Silvia</t>
  </si>
  <si>
    <t>jsilvia@medwarecyber.com</t>
  </si>
  <si>
    <t>medwarecyber.com</t>
  </si>
  <si>
    <t>Mentice</t>
  </si>
  <si>
    <t>Cristina</t>
  </si>
  <si>
    <t>Belmonte Herrera</t>
  </si>
  <si>
    <t>cristina.belmonte@mentice.com</t>
  </si>
  <si>
    <t>mentice.com</t>
  </si>
  <si>
    <t>QA/RA technician</t>
  </si>
  <si>
    <t>Merative</t>
  </si>
  <si>
    <t>C.</t>
  </si>
  <si>
    <t>Nakagawa</t>
  </si>
  <si>
    <t>carol.nakagawa@merative.com</t>
  </si>
  <si>
    <t>merative.com</t>
  </si>
  <si>
    <t>Merck &amp; Co.</t>
  </si>
  <si>
    <t>Craig</t>
  </si>
  <si>
    <t>Morea</t>
  </si>
  <si>
    <t>craig.morea@merck.com</t>
  </si>
  <si>
    <t>merck.com</t>
  </si>
  <si>
    <t>Exec Dir, Core Security</t>
  </si>
  <si>
    <t>Vish</t>
  </si>
  <si>
    <t>Gadgil</t>
  </si>
  <si>
    <t>vishwas.gadgil@merck.com</t>
  </si>
  <si>
    <t>Sr. Director, Business Technology Risk</t>
  </si>
  <si>
    <t>Ashim</t>
  </si>
  <si>
    <t>Bajwa</t>
  </si>
  <si>
    <t>ashim.bajwa@merck.com</t>
  </si>
  <si>
    <t>Manager, Cyber Threat Intelligence and Threat Defense Operations</t>
  </si>
  <si>
    <t>Terry</t>
  </si>
  <si>
    <t>terence.rice@merck.com</t>
  </si>
  <si>
    <t>VP IT Risk Management / CISO</t>
  </si>
  <si>
    <t>Merck Kgaa</t>
  </si>
  <si>
    <t>Vuong</t>
  </si>
  <si>
    <t>brandon.vuong@merck.com</t>
  </si>
  <si>
    <t>Scientist</t>
  </si>
  <si>
    <t>Meridian Bioscience</t>
  </si>
  <si>
    <t>St-Gelais</t>
  </si>
  <si>
    <t>genevieve.st-gelais@meridianbioscience.com</t>
  </si>
  <si>
    <t>meridianbioscience.com</t>
  </si>
  <si>
    <t>Metabolomic Technologies</t>
  </si>
  <si>
    <t>Azeret</t>
  </si>
  <si>
    <t>azeret.zuniga@mtidx.com</t>
  </si>
  <si>
    <t>mtidx.com</t>
  </si>
  <si>
    <t>Ens</t>
  </si>
  <si>
    <t>kevin.ens@mtidx.com</t>
  </si>
  <si>
    <t>COO/Acting CEO</t>
  </si>
  <si>
    <t>MetaOptima Technology Inc. 10916</t>
  </si>
  <si>
    <t>Vijitha</t>
  </si>
  <si>
    <t>Senanayake</t>
  </si>
  <si>
    <t>vijitha@metaoptima.com</t>
  </si>
  <si>
    <t>metaoptima.com</t>
  </si>
  <si>
    <t>Mica AI Medical</t>
  </si>
  <si>
    <t>Mor</t>
  </si>
  <si>
    <t>mor@1-protech.com</t>
  </si>
  <si>
    <t>1-protech.com</t>
  </si>
  <si>
    <t>MicroAire Surgical Instruments, LLC 10482</t>
  </si>
  <si>
    <t>Sanguinetti</t>
  </si>
  <si>
    <t>ashley.sanguinetti@microaire.com</t>
  </si>
  <si>
    <t>microaire.com</t>
  </si>
  <si>
    <t>Sr Regulatory Affairs Specialist</t>
  </si>
  <si>
    <t>Lucian</t>
  </si>
  <si>
    <t>rusty.lewis@microaire.com</t>
  </si>
  <si>
    <t>EE Technical Fellow</t>
  </si>
  <si>
    <t>Microgen LLC</t>
  </si>
  <si>
    <t>Vally</t>
  </si>
  <si>
    <t>Kommineni</t>
  </si>
  <si>
    <t>vkommineni@microgenlabs.com</t>
  </si>
  <si>
    <t>microgenlabs.com</t>
  </si>
  <si>
    <t>MIM Software</t>
  </si>
  <si>
    <t>Sarah</t>
  </si>
  <si>
    <t>E</t>
  </si>
  <si>
    <t>segan@mimsoftware.com</t>
  </si>
  <si>
    <t>mimsoftware.com</t>
  </si>
  <si>
    <t>Shekhar</t>
  </si>
  <si>
    <t>Ganore</t>
  </si>
  <si>
    <t>sganore@mimsoftware.com</t>
  </si>
  <si>
    <t>VP QnR</t>
  </si>
  <si>
    <t>Sydney</t>
  </si>
  <si>
    <t>Lindner</t>
  </si>
  <si>
    <t>slindner@mimsoftware.com</t>
  </si>
  <si>
    <t>Senior Clinical Engineer</t>
  </si>
  <si>
    <t>Papcun</t>
  </si>
  <si>
    <t>jpapcun@mimsoftware.com</t>
  </si>
  <si>
    <t>Director of Engineering, Security and Infrastructure</t>
  </si>
  <si>
    <t>MiMark</t>
  </si>
  <si>
    <t>Nuria</t>
  </si>
  <si>
    <t>Palomar</t>
  </si>
  <si>
    <t>nuria.palomar@mimark.es</t>
  </si>
  <si>
    <t>mimark.es</t>
  </si>
  <si>
    <t>Mobius Mobility</t>
  </si>
  <si>
    <t>Nutter</t>
  </si>
  <si>
    <t>jnutter@mobiusmobility.com</t>
  </si>
  <si>
    <t>mobiusmobility.com</t>
  </si>
  <si>
    <t>Product Manager</t>
  </si>
  <si>
    <t>Moffitt Cancer Center</t>
  </si>
  <si>
    <t>Joi</t>
  </si>
  <si>
    <t>joi.lee@moffitt.org</t>
  </si>
  <si>
    <t>moffitt.org</t>
  </si>
  <si>
    <t>Manager - Cyber Governance, Risk and</t>
  </si>
  <si>
    <t>Molina Healthcare</t>
  </si>
  <si>
    <t>Summers</t>
  </si>
  <si>
    <t>stacy.summers@molinahealthcare.com</t>
  </si>
  <si>
    <t>molinahealthcare.com</t>
  </si>
  <si>
    <t>VP, Physical Security &amp; Service Continuity</t>
  </si>
  <si>
    <t>Munaf</t>
  </si>
  <si>
    <t>Razzak</t>
  </si>
  <si>
    <t>munaf.razzak@molinahealthcare.com</t>
  </si>
  <si>
    <t>Director Information Security</t>
  </si>
  <si>
    <t>81408266047</t>
  </si>
  <si>
    <t>Darrell</t>
  </si>
  <si>
    <t>Wright</t>
  </si>
  <si>
    <t>darrell.wright@molinahealthcare.com</t>
  </si>
  <si>
    <t>Vice President Cybersecurity and Operations -- Molina Healthcare</t>
  </si>
  <si>
    <t>81437600004</t>
  </si>
  <si>
    <t>Gerardo</t>
  </si>
  <si>
    <t>Iglesias</t>
  </si>
  <si>
    <t>gerardo.iglesias@molinahealthcare.com</t>
  </si>
  <si>
    <t>Director, Physical Security</t>
  </si>
  <si>
    <t>81434455728</t>
  </si>
  <si>
    <t>Jeffress</t>
  </si>
  <si>
    <t>john.jeffress@molinahealthcare.com</t>
  </si>
  <si>
    <t>Program Manager, Physical Security</t>
  </si>
  <si>
    <t>81434636656</t>
  </si>
  <si>
    <t>Nusrat</t>
  </si>
  <si>
    <t>nusrat.islam@molinahealthcare.com</t>
  </si>
  <si>
    <t>Sr.Cyber Security Analyst? Windows Security Engineer</t>
  </si>
  <si>
    <t>81440605583</t>
  </si>
  <si>
    <t>Grubb</t>
  </si>
  <si>
    <t>adam.grubb@molinahealthcare.com</t>
  </si>
  <si>
    <t>Associate Program Manager - Physical Security</t>
  </si>
  <si>
    <t>81434455816</t>
  </si>
  <si>
    <t>Mauricio</t>
  </si>
  <si>
    <t>Funes</t>
  </si>
  <si>
    <t>mauricio.funes@molinahealthcare.com</t>
  </si>
  <si>
    <t>IT Security Manager &amp; Principal Architect</t>
  </si>
  <si>
    <t>81442455906</t>
  </si>
  <si>
    <t>Carlos</t>
  </si>
  <si>
    <t>Saenz</t>
  </si>
  <si>
    <t>carlos.saenz@molinahealthcare.com</t>
  </si>
  <si>
    <t>BAA Cybersecurity</t>
  </si>
  <si>
    <t>81442455925</t>
  </si>
  <si>
    <t>Pavan</t>
  </si>
  <si>
    <t>pavan.b@molinahealthcare.com</t>
  </si>
  <si>
    <t>Sr. Cyber Security consultant</t>
  </si>
  <si>
    <t>81440633959</t>
  </si>
  <si>
    <t>Cummings</t>
  </si>
  <si>
    <t>daniel.cummings@molinahealthcare.com</t>
  </si>
  <si>
    <t>Physical Security Program Manager</t>
  </si>
  <si>
    <t>81442711554</t>
  </si>
  <si>
    <t>Anurag</t>
  </si>
  <si>
    <t>Shaurya</t>
  </si>
  <si>
    <t>anurag.shaurya@molinahealthcare.com</t>
  </si>
  <si>
    <t>Manager, Cyber Security and Risk Management</t>
  </si>
  <si>
    <t>81442581424</t>
  </si>
  <si>
    <t>Kunj</t>
  </si>
  <si>
    <t>Shah</t>
  </si>
  <si>
    <t>kunj.shah@molinahealthcare.com</t>
  </si>
  <si>
    <t>Sr. Consultant, Physical Security Systems &amp; Services</t>
  </si>
  <si>
    <t>81443314040</t>
  </si>
  <si>
    <t>Sola</t>
  </si>
  <si>
    <t>danny.sola@molinahealthcare.com</t>
  </si>
  <si>
    <t>Physical Security Systems Administrator</t>
  </si>
  <si>
    <t>81442954348</t>
  </si>
  <si>
    <t>mohammed.hussain@molinahealthcare.com</t>
  </si>
  <si>
    <t>81442984197</t>
  </si>
  <si>
    <t>Irfan</t>
  </si>
  <si>
    <t>Shaik</t>
  </si>
  <si>
    <t>irfan.shaik@molinahealthcare.com</t>
  </si>
  <si>
    <t>81442954387</t>
  </si>
  <si>
    <t>Soles</t>
  </si>
  <si>
    <t>gregory.soles@molinahealthcare.com</t>
  </si>
  <si>
    <t>Physical Security Specialist</t>
  </si>
  <si>
    <t>81444862026</t>
  </si>
  <si>
    <t>Manisha</t>
  </si>
  <si>
    <t>Adhikari</t>
  </si>
  <si>
    <t>manisha.adhikari@molinahealthcare.com</t>
  </si>
  <si>
    <t>IAM Cyber Security Engineer</t>
  </si>
  <si>
    <t>81443637054</t>
  </si>
  <si>
    <t>Jenkins</t>
  </si>
  <si>
    <t>bryant.jenkins@molinahealthcare.com</t>
  </si>
  <si>
    <t>Cyber Response Manager</t>
  </si>
  <si>
    <t>81443664649</t>
  </si>
  <si>
    <t>jerry.sanchez@molinahealthcare.com</t>
  </si>
  <si>
    <t>Supervisor, IT Security</t>
  </si>
  <si>
    <t>81444625834</t>
  </si>
  <si>
    <t>Nix</t>
  </si>
  <si>
    <t>johnny.nix@molinahealthcare.com</t>
  </si>
  <si>
    <t>Physical Security Director</t>
  </si>
  <si>
    <t>81444904243</t>
  </si>
  <si>
    <t>VP, Physical Security and Service Continuity</t>
  </si>
  <si>
    <t>123054742160</t>
  </si>
  <si>
    <t>Monarch Medical Technologies 12068</t>
  </si>
  <si>
    <t>tara.burnett@monarchmedtech.com</t>
  </si>
  <si>
    <t>monarchmedtech.com</t>
  </si>
  <si>
    <t>SVP Regulatory</t>
  </si>
  <si>
    <t>Monovo 12040</t>
  </si>
  <si>
    <t>Lon</t>
  </si>
  <si>
    <t>Cook</t>
  </si>
  <si>
    <t>lon.cook@monovotech.com</t>
  </si>
  <si>
    <t>monovotech.com</t>
  </si>
  <si>
    <t>Quality</t>
  </si>
  <si>
    <t>Moog Medical Device Group</t>
  </si>
  <si>
    <t>Wayne</t>
  </si>
  <si>
    <t>Christensen</t>
  </si>
  <si>
    <t>wchristensen@moog.com</t>
  </si>
  <si>
    <t>moog.com</t>
  </si>
  <si>
    <t>Senior Quality Engineer, Software</t>
  </si>
  <si>
    <t>Adrian</t>
  </si>
  <si>
    <t>Tinc</t>
  </si>
  <si>
    <t>atinc@moog.com</t>
  </si>
  <si>
    <t>Human Factors Engineer</t>
  </si>
  <si>
    <t>Motion Composites</t>
  </si>
  <si>
    <t>Marilou</t>
  </si>
  <si>
    <t>Asselin</t>
  </si>
  <si>
    <t>m.asselin@motioncomposites.com</t>
  </si>
  <si>
    <t>motioncomposites.com</t>
  </si>
  <si>
    <t>Quality Assurance Coordinator</t>
  </si>
  <si>
    <t>Faiza</t>
  </si>
  <si>
    <t>Benazza</t>
  </si>
  <si>
    <t>f.benazza@motioncomposites.com</t>
  </si>
  <si>
    <t>MPOWERHealth</t>
  </si>
  <si>
    <t>81443314030</t>
  </si>
  <si>
    <t>mark.jordan@mpoweringhealthcare.com</t>
  </si>
  <si>
    <t>Director of IT Security</t>
  </si>
  <si>
    <t>Munson Healthcare</t>
  </si>
  <si>
    <t>81440779943</t>
  </si>
  <si>
    <t>Malowinski</t>
  </si>
  <si>
    <t>emalowinski@munsonhealthcare.org</t>
  </si>
  <si>
    <t>81441165230</t>
  </si>
  <si>
    <t>Schweigert</t>
  </si>
  <si>
    <t>kschweigert@munsonhealthcare.org</t>
  </si>
  <si>
    <t>Murata Manufacturing Co., Ltd.</t>
  </si>
  <si>
    <t>Treiber</t>
  </si>
  <si>
    <t>matt.treiber@murata.com</t>
  </si>
  <si>
    <t>murata.com</t>
  </si>
  <si>
    <t>Sr. Firmware Engineer</t>
  </si>
  <si>
    <t>Nobuhiro</t>
  </si>
  <si>
    <t>Kondo</t>
  </si>
  <si>
    <t>kondou@murata.com</t>
  </si>
  <si>
    <t>Senior Manager, Hardware Engineering</t>
  </si>
  <si>
    <t>My New Villa</t>
  </si>
  <si>
    <t>Kolczynski</t>
  </si>
  <si>
    <t>jkolczynski@mobiusmobility.com</t>
  </si>
  <si>
    <t>Director of Reimbursement and Product Management</t>
  </si>
  <si>
    <t>NA</t>
  </si>
  <si>
    <t>rowland</t>
  </si>
  <si>
    <t>lewis</t>
  </si>
  <si>
    <t>rowland.lewis@outlook.com</t>
  </si>
  <si>
    <t>founder</t>
  </si>
  <si>
    <t>Naitive Technologies 12128</t>
  </si>
  <si>
    <t>andy.brown@naitive.com</t>
  </si>
  <si>
    <t>naitive.com</t>
  </si>
  <si>
    <t>Lead Software Developer</t>
  </si>
  <si>
    <t>Nanoflex Robotics</t>
  </si>
  <si>
    <t>Sandeep</t>
  </si>
  <si>
    <t>Menta</t>
  </si>
  <si>
    <t>sandeep.menta@wysszurich.ch</t>
  </si>
  <si>
    <t>wysszurich.ch</t>
  </si>
  <si>
    <t>Software development engineer</t>
  </si>
  <si>
    <t>Nanoflex Robotics 11207</t>
  </si>
  <si>
    <t>Chadtellain</t>
  </si>
  <si>
    <t>mathieu.chastellain@nanoflexrobotics.com</t>
  </si>
  <si>
    <t>nanoflexrobotics.com</t>
  </si>
  <si>
    <t>Risk manager</t>
  </si>
  <si>
    <t>Dieter</t>
  </si>
  <si>
    <t>Flubacher</t>
  </si>
  <si>
    <t>dieter.flubacher@nanoflexrobotics.com</t>
  </si>
  <si>
    <t>SW Dev</t>
  </si>
  <si>
    <t>Natera</t>
  </si>
  <si>
    <t>Banu</t>
  </si>
  <si>
    <t>Saritas-Yildirim</t>
  </si>
  <si>
    <t>bsaritasyildirim@natera.com</t>
  </si>
  <si>
    <t>natera.com</t>
  </si>
  <si>
    <t>Senior Regulatory Affairs Director</t>
  </si>
  <si>
    <t>Navier Medical 11734</t>
  </si>
  <si>
    <t>barry.doyle@naviermedical.com</t>
  </si>
  <si>
    <t>naviermedical.com</t>
  </si>
  <si>
    <t>Navvis</t>
  </si>
  <si>
    <t>81443664537</t>
  </si>
  <si>
    <t>Margretta</t>
  </si>
  <si>
    <t>margretta.turner@navvishealthcare.com</t>
  </si>
  <si>
    <t>Disaster Recovery/Business Continuity Administrator - IT Security</t>
  </si>
  <si>
    <t>Neurent Medical 11971</t>
  </si>
  <si>
    <t>Norah</t>
  </si>
  <si>
    <t>O'Brien</t>
  </si>
  <si>
    <t>norah@neurentmedical.com</t>
  </si>
  <si>
    <t>neurentmedical.com</t>
  </si>
  <si>
    <t>R&amp;D Manager</t>
  </si>
  <si>
    <t>Fay</t>
  </si>
  <si>
    <t>Dalton</t>
  </si>
  <si>
    <t>fay@neurentmedical.com</t>
  </si>
  <si>
    <t>Senior Regulatory Affairs Specialist</t>
  </si>
  <si>
    <t>NeuroBell 12252</t>
  </si>
  <si>
    <t>robert@neurobell.com</t>
  </si>
  <si>
    <t>neurobell.com</t>
  </si>
  <si>
    <t>Meaney</t>
  </si>
  <si>
    <t>tom@neurobell.com</t>
  </si>
  <si>
    <t>Lead Software Engineer</t>
  </si>
  <si>
    <t>NEUROLECTRICS BARCELONA S.L.U. 12249</t>
  </si>
  <si>
    <t>Ignacio</t>
  </si>
  <si>
    <t>Alonso</t>
  </si>
  <si>
    <t>ignacio.alonso@neuroelectrics.com</t>
  </si>
  <si>
    <t>neuroelectrics.com</t>
  </si>
  <si>
    <t>IT Director</t>
  </si>
  <si>
    <t>Toro</t>
  </si>
  <si>
    <t>daniel.toro@neuroelectrics.com</t>
  </si>
  <si>
    <t>Peláez</t>
  </si>
  <si>
    <t>samuel.pelaez@neuroelectrics.com</t>
  </si>
  <si>
    <t>Neuronetics, Inc.</t>
  </si>
  <si>
    <t>Moise</t>
  </si>
  <si>
    <t>Dore</t>
  </si>
  <si>
    <t>moise.dore@neurostar.com</t>
  </si>
  <si>
    <t>neurostar.com</t>
  </si>
  <si>
    <t>Software test engineer</t>
  </si>
  <si>
    <t>Pentecost</t>
  </si>
  <si>
    <t>amanda.pentecost@neurostar.com</t>
  </si>
  <si>
    <t>Neurosoft Bioelectronics</t>
  </si>
  <si>
    <t>Chloé</t>
  </si>
  <si>
    <t>Fattebert</t>
  </si>
  <si>
    <t>chloe.fattebert@neurosoft-bio.com</t>
  </si>
  <si>
    <t>neurosoft-bio.com</t>
  </si>
  <si>
    <t>Neurotrigger Ltd.</t>
  </si>
  <si>
    <t>Avinoam</t>
  </si>
  <si>
    <t>Romano</t>
  </si>
  <si>
    <t>avinoam@nt-med.com</t>
  </si>
  <si>
    <t>nt-med.com</t>
  </si>
  <si>
    <t>Director of clinical product</t>
  </si>
  <si>
    <t>NeuroWave</t>
  </si>
  <si>
    <t>Tarler</t>
  </si>
  <si>
    <t>mtarler@scottcare.com</t>
  </si>
  <si>
    <t>scottcare.com</t>
  </si>
  <si>
    <t>Dir. Quality &amp; Regulatory</t>
  </si>
  <si>
    <t>Nference, Inc. 10939</t>
  </si>
  <si>
    <t>Bassett</t>
  </si>
  <si>
    <t>jbassett@nference.net</t>
  </si>
  <si>
    <t>nference.net</t>
  </si>
  <si>
    <t>Sr. Dir. Quality</t>
  </si>
  <si>
    <t>Nice Healthcare</t>
  </si>
  <si>
    <t>81418251805</t>
  </si>
  <si>
    <t>Royer</t>
  </si>
  <si>
    <t>kroyer@nice.healthcare</t>
  </si>
  <si>
    <t>Sr. Director of Information Security &amp; IT, HIPAA Compliance Officer</t>
  </si>
  <si>
    <t>Nihon Kohden America</t>
  </si>
  <si>
    <t>81442926465</t>
  </si>
  <si>
    <t>Troy</t>
  </si>
  <si>
    <t>Arkley</t>
  </si>
  <si>
    <t>tarkley@nihonkohden.com</t>
  </si>
  <si>
    <t>Senior Manager Corporate Infrastructure &amp; Cybersecurity</t>
  </si>
  <si>
    <t>NIHON KOHDEN AMERICA, INC.</t>
  </si>
  <si>
    <t>Gadeyne</t>
  </si>
  <si>
    <t>sandra_gadeyne@nihonkohden.com</t>
  </si>
  <si>
    <t>nihonkohden.com</t>
  </si>
  <si>
    <t>Sr. Director QARA</t>
  </si>
  <si>
    <t>Norton Healthcare</t>
  </si>
  <si>
    <t>81408266026</t>
  </si>
  <si>
    <t>Phelps</t>
  </si>
  <si>
    <t>dphelps@nortonhealthcare.com</t>
  </si>
  <si>
    <t>IT Sr. Security/Compliance/Auditing Administrator</t>
  </si>
  <si>
    <t>81433245257</t>
  </si>
  <si>
    <t>Naseman</t>
  </si>
  <si>
    <t>pnaseman@nortonhealthcare.com</t>
  </si>
  <si>
    <t>Cybersecurity Operations Analyst</t>
  </si>
  <si>
    <t>81441151051</t>
  </si>
  <si>
    <t>Paez</t>
  </si>
  <si>
    <t>ppaez@nortonhealthcare.com</t>
  </si>
  <si>
    <t>81442711559</t>
  </si>
  <si>
    <t>Abboud</t>
  </si>
  <si>
    <t>pabboud@nortonhealthcare.com</t>
  </si>
  <si>
    <t>81442997045</t>
  </si>
  <si>
    <t>Jessie</t>
  </si>
  <si>
    <t>jmiller@nortonhealthcare.com</t>
  </si>
  <si>
    <t>Cybersecurity Solutions Architect</t>
  </si>
  <si>
    <t>81443524281</t>
  </si>
  <si>
    <t>msmith@nortonhealthcare.com</t>
  </si>
  <si>
    <t>Nostics</t>
  </si>
  <si>
    <t>franklin</t>
  </si>
  <si>
    <t>selgert</t>
  </si>
  <si>
    <t>franklin.selgert@nostics.com</t>
  </si>
  <si>
    <t>nostics.com</t>
  </si>
  <si>
    <t>Nousq</t>
  </si>
  <si>
    <t>Camille</t>
  </si>
  <si>
    <t>Chang</t>
  </si>
  <si>
    <t>camille@nousq.com</t>
  </si>
  <si>
    <t>nousq.com</t>
  </si>
  <si>
    <t>qara</t>
  </si>
  <si>
    <t>Novo Electronique Inc. (Now Cleio) (Partner)</t>
  </si>
  <si>
    <t>Marylène</t>
  </si>
  <si>
    <t>Tourigny</t>
  </si>
  <si>
    <t>m.tourigny@cleio.com</t>
  </si>
  <si>
    <t>cleio.com</t>
  </si>
  <si>
    <t>Quality manager</t>
  </si>
  <si>
    <t>Nurix Therapeutics</t>
  </si>
  <si>
    <t>Nishi</t>
  </si>
  <si>
    <t>nshah@nurixtx.com</t>
  </si>
  <si>
    <t>nurixtx.com</t>
  </si>
  <si>
    <t>O8t</t>
  </si>
  <si>
    <t>Arie</t>
  </si>
  <si>
    <t>Henkin</t>
  </si>
  <si>
    <t>arie.henkin@o8t.com</t>
  </si>
  <si>
    <t>o8t.com</t>
  </si>
  <si>
    <t>VP, QA/RA</t>
  </si>
  <si>
    <t>Occuity</t>
  </si>
  <si>
    <t>Shashin</t>
  </si>
  <si>
    <t>Lad</t>
  </si>
  <si>
    <t>shashin.lad@occuity.com</t>
  </si>
  <si>
    <t>occuity.com</t>
  </si>
  <si>
    <t>Firmware Engineer</t>
  </si>
  <si>
    <t>Ashlesha</t>
  </si>
  <si>
    <t>Mahadar</t>
  </si>
  <si>
    <t>ashlesha.mahadar@occuity.com</t>
  </si>
  <si>
    <t>Tomlinson</t>
  </si>
  <si>
    <t>ben.tomlinson@occuity.com</t>
  </si>
  <si>
    <t>Oceans Healthcare</t>
  </si>
  <si>
    <t>81418251831</t>
  </si>
  <si>
    <t>Noteware</t>
  </si>
  <si>
    <t>jnoteware@oceanshealthcare.com</t>
  </si>
  <si>
    <t>SVP IT and Chief Information/Security Officer</t>
  </si>
  <si>
    <t>Olympic Medical Center</t>
  </si>
  <si>
    <t>81445329169</t>
  </si>
  <si>
    <t>sjohnson@olympicmedical.org</t>
  </si>
  <si>
    <t>IT Manager -Security Officer</t>
  </si>
  <si>
    <t>Olympus</t>
  </si>
  <si>
    <t>JEme</t>
  </si>
  <si>
    <t>Ertl</t>
  </si>
  <si>
    <t>jeme.ertl@olympus.com</t>
  </si>
  <si>
    <t>olympus.com</t>
  </si>
  <si>
    <t>Darin</t>
  </si>
  <si>
    <t>Chum Dew</t>
  </si>
  <si>
    <t>darin.chumdew@olympus.com</t>
  </si>
  <si>
    <t>Principal Product Security Design Assurance Engineer</t>
  </si>
  <si>
    <t>Olympus America</t>
  </si>
  <si>
    <t>81442526512</t>
  </si>
  <si>
    <t>Sherri</t>
  </si>
  <si>
    <t>Kershner</t>
  </si>
  <si>
    <t>sherri@olympusamerica.com</t>
  </si>
  <si>
    <t>Global Head, IT Security</t>
  </si>
  <si>
    <t>Olympus Corporation of the Americas</t>
  </si>
  <si>
    <t>Mohit</t>
  </si>
  <si>
    <t>mohit.gupta@olympus.com</t>
  </si>
  <si>
    <t>Delivery manager</t>
  </si>
  <si>
    <t>Omron Corp.</t>
  </si>
  <si>
    <t>Niki</t>
  </si>
  <si>
    <t>niki.price@omron.com</t>
  </si>
  <si>
    <t>omron.com</t>
  </si>
  <si>
    <t>Design assurance engineer</t>
  </si>
  <si>
    <t>One Medical</t>
  </si>
  <si>
    <t>81442526495</t>
  </si>
  <si>
    <t>Judy</t>
  </si>
  <si>
    <t>Choi</t>
  </si>
  <si>
    <t>jchoi@onemedical.com</t>
  </si>
  <si>
    <t>Sr Director, Security &amp; IT Programs</t>
  </si>
  <si>
    <t>81442766512</t>
  </si>
  <si>
    <t>Abimbola</t>
  </si>
  <si>
    <t>Filani</t>
  </si>
  <si>
    <t>afilani@onemedical.com</t>
  </si>
  <si>
    <t>81442954364</t>
  </si>
  <si>
    <t>Rovi</t>
  </si>
  <si>
    <t>rdavid@onemedical.com</t>
  </si>
  <si>
    <t>ONWARD Inc</t>
  </si>
  <si>
    <t>Romain</t>
  </si>
  <si>
    <t>Bornet</t>
  </si>
  <si>
    <t>romain.bornet@onwd.com</t>
  </si>
  <si>
    <t>onwd.com</t>
  </si>
  <si>
    <t>Director Firmware Engineering</t>
  </si>
  <si>
    <t>Optum</t>
  </si>
  <si>
    <t>Wiezel</t>
  </si>
  <si>
    <t>debbie_wiezel@optum.com</t>
  </si>
  <si>
    <t>optum.com</t>
  </si>
  <si>
    <t>Angela</t>
  </si>
  <si>
    <t>angela.park@changehealthcare.com</t>
  </si>
  <si>
    <t>changehealthcare.com</t>
  </si>
  <si>
    <t>RA Analyst</t>
  </si>
  <si>
    <t>Organon</t>
  </si>
  <si>
    <t>janet.scott@organon.com</t>
  </si>
  <si>
    <t>organon.com</t>
  </si>
  <si>
    <t>VP, CISO</t>
  </si>
  <si>
    <t>Orlando Health</t>
  </si>
  <si>
    <t>Sardar</t>
  </si>
  <si>
    <t>Babar Shamshad</t>
  </si>
  <si>
    <t>babar.shamshad@orlandohealth.com</t>
  </si>
  <si>
    <t>orlandohealth.com</t>
  </si>
  <si>
    <t>Data Security Architect/Database</t>
  </si>
  <si>
    <t>Orpyx Medical Technologies Inc. 10552</t>
  </si>
  <si>
    <t>Victoria</t>
  </si>
  <si>
    <t>Stook</t>
  </si>
  <si>
    <t>victoria.stook@orpyx.com</t>
  </si>
  <si>
    <t>orpyx.com</t>
  </si>
  <si>
    <t>Technical Documentation Specialist</t>
  </si>
  <si>
    <t>Jack</t>
  </si>
  <si>
    <t>Keys</t>
  </si>
  <si>
    <t>jack.keys@orpyx.com</t>
  </si>
  <si>
    <t>Director, Software Engineering</t>
  </si>
  <si>
    <t>Orthofix</t>
  </si>
  <si>
    <t>Garman</t>
  </si>
  <si>
    <t>philipgarman@orthofix.com</t>
  </si>
  <si>
    <t>orthofix.com</t>
  </si>
  <si>
    <t>Sr. Manager, Embedded</t>
  </si>
  <si>
    <t>Orthofix Medical 11749</t>
  </si>
  <si>
    <t>Daniela</t>
  </si>
  <si>
    <t>Behzad</t>
  </si>
  <si>
    <t>danielabehzad@orthofix.com</t>
  </si>
  <si>
    <t>Program Manager</t>
  </si>
  <si>
    <t>OSF HealthCare</t>
  </si>
  <si>
    <t>81424649009</t>
  </si>
  <si>
    <t>Timm</t>
  </si>
  <si>
    <t>andrew.timm@osfhealthcare.org</t>
  </si>
  <si>
    <t>IT Security</t>
  </si>
  <si>
    <t>81433262511</t>
  </si>
  <si>
    <t>McKenzie</t>
  </si>
  <si>
    <t>mckenzie.schroeder@osfhealthcare.org</t>
  </si>
  <si>
    <t>IT Security Analyst Student Worker</t>
  </si>
  <si>
    <t>81433944182</t>
  </si>
  <si>
    <t>Talcott</t>
  </si>
  <si>
    <t>christopher.talcott@osfhealthcare.org</t>
  </si>
  <si>
    <t>VP, Information &amp; Communication Technology and Chief Information Security Officer</t>
  </si>
  <si>
    <t>Owens &amp; Minor</t>
  </si>
  <si>
    <t>Stanton</t>
  </si>
  <si>
    <t>scott.stanton@hyh.com</t>
  </si>
  <si>
    <t>hyh.com</t>
  </si>
  <si>
    <t>Director, Threat &amp; Vuln. Mgmt.</t>
  </si>
  <si>
    <t>Prateek</t>
  </si>
  <si>
    <t>Dixit</t>
  </si>
  <si>
    <t>prateek.dixit@owens-minor.com</t>
  </si>
  <si>
    <t>owens-minor.com</t>
  </si>
  <si>
    <t>Sr Information Security Manager</t>
  </si>
  <si>
    <t>Oxos Medical</t>
  </si>
  <si>
    <t>Megan</t>
  </si>
  <si>
    <t>Norman</t>
  </si>
  <si>
    <t>megan.parker@oxos.com</t>
  </si>
  <si>
    <t>oxos.com</t>
  </si>
  <si>
    <t>Dhruv</t>
  </si>
  <si>
    <t>Vishwakarma</t>
  </si>
  <si>
    <t>dhruv@oxos.com</t>
  </si>
  <si>
    <t>P&amp;G</t>
  </si>
  <si>
    <t>Grey</t>
  </si>
  <si>
    <t>grey.dm@pg.com</t>
  </si>
  <si>
    <t>pg.com</t>
  </si>
  <si>
    <t>Senior Engineer</t>
  </si>
  <si>
    <t>Pagosa Springs Medical Center</t>
  </si>
  <si>
    <t>81433952576</t>
  </si>
  <si>
    <t>Ball</t>
  </si>
  <si>
    <t>dball@pagosaspringsmedicalcenter.org</t>
  </si>
  <si>
    <t>Director of Facilities, IT, Security, and Life Safety</t>
  </si>
  <si>
    <t>Paragon Healthcare</t>
  </si>
  <si>
    <t>81442926478</t>
  </si>
  <si>
    <t>George</t>
  </si>
  <si>
    <t>Lowe</t>
  </si>
  <si>
    <t>glowe@paragonhealthcare.com</t>
  </si>
  <si>
    <t>Parkell, Inc.</t>
  </si>
  <si>
    <t>Yasily</t>
  </si>
  <si>
    <t>Ogando Roa</t>
  </si>
  <si>
    <t>yogando@parkell.com</t>
  </si>
  <si>
    <t>parkell.com</t>
  </si>
  <si>
    <t>Doc Control</t>
  </si>
  <si>
    <t>PASB Technical Solutions</t>
  </si>
  <si>
    <t>Bassler</t>
  </si>
  <si>
    <t>paul.bassler@pasbtech.com</t>
  </si>
  <si>
    <t>pasbtech.com</t>
  </si>
  <si>
    <t>Permobil</t>
  </si>
  <si>
    <t>Gil</t>
  </si>
  <si>
    <t>Roitto</t>
  </si>
  <si>
    <t>gil.roitto@permobil.com</t>
  </si>
  <si>
    <t>permobil.com</t>
  </si>
  <si>
    <t>IT Quality Assurance Lead</t>
  </si>
  <si>
    <t>Fernandez</t>
  </si>
  <si>
    <t>ivan.fernandez@permobil.com</t>
  </si>
  <si>
    <t>Director Regulatory Compliance</t>
  </si>
  <si>
    <t>Gergen</t>
  </si>
  <si>
    <t>robin.gergen@permobil.com</t>
  </si>
  <si>
    <t>Director of Quality and Regulatory Affairs</t>
  </si>
  <si>
    <t>Pfizer</t>
  </si>
  <si>
    <t>Karin</t>
  </si>
  <si>
    <t>Kane</t>
  </si>
  <si>
    <t>karin.kane@pfizer.com</t>
  </si>
  <si>
    <t>pfizer.com</t>
  </si>
  <si>
    <t>Regulatory Manager</t>
  </si>
  <si>
    <t>Philips</t>
  </si>
  <si>
    <t>Preethika</t>
  </si>
  <si>
    <t>Shindhe</t>
  </si>
  <si>
    <t>preethika.shindhe@philips.com</t>
  </si>
  <si>
    <t>philips.com</t>
  </si>
  <si>
    <t>Director, Regulations &amp; Standards - Product Security</t>
  </si>
  <si>
    <t>Janeine</t>
  </si>
  <si>
    <t>Charpiat</t>
  </si>
  <si>
    <t>janeine.charpiat@philips.com</t>
  </si>
  <si>
    <t>Director, Product Security</t>
  </si>
  <si>
    <t>81407018778</t>
  </si>
  <si>
    <t>Wildgen</t>
  </si>
  <si>
    <t>kyle.wildgen@philips.com</t>
  </si>
  <si>
    <t>81416833161</t>
  </si>
  <si>
    <t>Jurman</t>
  </si>
  <si>
    <t>jeffrey.jurman@philips.com</t>
  </si>
  <si>
    <t>Senior Manager, People Operations - IT Security</t>
  </si>
  <si>
    <t>81418251778</t>
  </si>
  <si>
    <t>Radhika</t>
  </si>
  <si>
    <t>Chaturvedi</t>
  </si>
  <si>
    <t>radhika.chaturvedi@philips.com</t>
  </si>
  <si>
    <t>Director Cybersecurity Operations</t>
  </si>
  <si>
    <t>81433262597</t>
  </si>
  <si>
    <t>joshua.king@philips.com</t>
  </si>
  <si>
    <t>Senior Director, Commercial Cybersecurity</t>
  </si>
  <si>
    <t>81437599920</t>
  </si>
  <si>
    <t>Langevin</t>
  </si>
  <si>
    <t>matthew.langevin@philips.com</t>
  </si>
  <si>
    <t>Cybersecurity Solutions Expert</t>
  </si>
  <si>
    <t>81440779919</t>
  </si>
  <si>
    <t>Rashmi</t>
  </si>
  <si>
    <t>rashmi.rao@philips.com</t>
  </si>
  <si>
    <t>Executive Leader | Consumer Health | Medical Device | New Ventures | AI/ML | Data Security &amp; Privacy</t>
  </si>
  <si>
    <t>81442984106</t>
  </si>
  <si>
    <t>Kinahan</t>
  </si>
  <si>
    <t>tom.kinahan@philips.com</t>
  </si>
  <si>
    <t>Product Manager Network Infrastructure and Cybersecurity</t>
  </si>
  <si>
    <t>81443637052</t>
  </si>
  <si>
    <t>Cahill</t>
  </si>
  <si>
    <t>stephanie.cahill@philips.com</t>
  </si>
  <si>
    <t>Security Manager, Physical and Personnel Security North America</t>
  </si>
  <si>
    <t>81443537953</t>
  </si>
  <si>
    <t>Preethi</t>
  </si>
  <si>
    <t>Amurthur</t>
  </si>
  <si>
    <t>preethi.amurthur@philips.com</t>
  </si>
  <si>
    <t>Cybersecurity Advisor</t>
  </si>
  <si>
    <t>81444875530</t>
  </si>
  <si>
    <t>Christina</t>
  </si>
  <si>
    <t>christina.haley@philips.com</t>
  </si>
  <si>
    <t>Physical &amp; Personnel Security Manager NAM</t>
  </si>
  <si>
    <t>81444889624</t>
  </si>
  <si>
    <t>Jay</t>
  </si>
  <si>
    <t>Vandervoort</t>
  </si>
  <si>
    <t>jay.vandervoort@philips.com</t>
  </si>
  <si>
    <t>Commercial Cybersecurity Consultant</t>
  </si>
  <si>
    <t>127281182358</t>
  </si>
  <si>
    <t>Heemskerk</t>
  </si>
  <si>
    <t>alexander.heemskerk@philips.com</t>
  </si>
  <si>
    <t>Director Product Security</t>
  </si>
  <si>
    <t>129961186417</t>
  </si>
  <si>
    <t>dirk.de.wit@philips.com</t>
  </si>
  <si>
    <t>86132144007</t>
  </si>
  <si>
    <t>Rene</t>
  </si>
  <si>
    <t>Pluis</t>
  </si>
  <si>
    <t>rene.pluis@philips.com</t>
  </si>
  <si>
    <t>Regulatory &amp; Standards Officer</t>
  </si>
  <si>
    <t>127355783573</t>
  </si>
  <si>
    <t>Rima</t>
  </si>
  <si>
    <t>Cataldo</t>
  </si>
  <si>
    <t>rima.cataldo@philips.com</t>
  </si>
  <si>
    <t>Director, Products and Services Security - Connected Care</t>
  </si>
  <si>
    <t>123055698739</t>
  </si>
  <si>
    <t>Edwin</t>
  </si>
  <si>
    <t>Mooij</t>
  </si>
  <si>
    <t>edwin.mooij@philips.com</t>
  </si>
  <si>
    <t>Director Security &amp; Privacy</t>
  </si>
  <si>
    <t>119933784890</t>
  </si>
  <si>
    <t>inbal.glass@philips.com</t>
  </si>
  <si>
    <t>85187710777</t>
  </si>
  <si>
    <t>Director, Product Security &amp; Services</t>
  </si>
  <si>
    <t>127355783680</t>
  </si>
  <si>
    <t>Dirk</t>
  </si>
  <si>
    <t>De Wit</t>
  </si>
  <si>
    <t>dirk.wit@philips.com</t>
  </si>
  <si>
    <t>Head of Product Security at Philips</t>
  </si>
  <si>
    <t>Philips 12178</t>
  </si>
  <si>
    <t>Vernucci</t>
  </si>
  <si>
    <t>paul.vernucci@philips.com</t>
  </si>
  <si>
    <t>Piedmont HealthCare</t>
  </si>
  <si>
    <t>81444862018</t>
  </si>
  <si>
    <t>Shannon</t>
  </si>
  <si>
    <t>Mason</t>
  </si>
  <si>
    <t>shannon.mason@piedmonthealthcare.com</t>
  </si>
  <si>
    <t>pinemedical.com</t>
  </si>
  <si>
    <t>81434636667</t>
  </si>
  <si>
    <t>A-Olabode</t>
  </si>
  <si>
    <t>ea-olabode@pinemedical.com</t>
  </si>
  <si>
    <t>Cyber Security Specialist/Architect</t>
  </si>
  <si>
    <t>81442984212</t>
  </si>
  <si>
    <t>Adekunle</t>
  </si>
  <si>
    <t>Adegbite</t>
  </si>
  <si>
    <t>aadegbite@pinemedical.com</t>
  </si>
  <si>
    <t>Information Technology and Cybersecurity Consultant</t>
  </si>
  <si>
    <t>Planned Parenthood of SW Central FL</t>
  </si>
  <si>
    <t>jaclyn.sanchez@ppswcf.org</t>
  </si>
  <si>
    <t>ppswcf.org</t>
  </si>
  <si>
    <t>VP of Business Operations</t>
  </si>
  <si>
    <t>Polymer Technology Systems Dx</t>
  </si>
  <si>
    <t>Baehl</t>
  </si>
  <si>
    <t>bbaehl@ptsdiagnostics.com</t>
  </si>
  <si>
    <t>Pontifical Catholic University of Peru</t>
  </si>
  <si>
    <t>Gianella</t>
  </si>
  <si>
    <t>Ccama</t>
  </si>
  <si>
    <t>gianella.ccama@pucp.edu.pe</t>
  </si>
  <si>
    <t>pucp.edu.pe</t>
  </si>
  <si>
    <t>Teacher assistant</t>
  </si>
  <si>
    <t>Prevas AB</t>
  </si>
  <si>
    <t>Ing-Marie</t>
  </si>
  <si>
    <t>Ahl</t>
  </si>
  <si>
    <t>ing-marie.ahl@prevas.se</t>
  </si>
  <si>
    <t>prevas.se</t>
  </si>
  <si>
    <t>Senior Quality Consultant</t>
  </si>
  <si>
    <t>Prime Healthcare Services</t>
  </si>
  <si>
    <t>81433262512</t>
  </si>
  <si>
    <t>Izbicki</t>
  </si>
  <si>
    <t>sizbicki@primehealthcare.com</t>
  </si>
  <si>
    <t>Cyber Security Advisor - Team Lead</t>
  </si>
  <si>
    <t>81434455810</t>
  </si>
  <si>
    <t>Keerthi</t>
  </si>
  <si>
    <t>Gandavarapu</t>
  </si>
  <si>
    <t>kgandavarapu@primehealthcare.com</t>
  </si>
  <si>
    <t>Associate Cyber Security Analyst</t>
  </si>
  <si>
    <t>81442473893</t>
  </si>
  <si>
    <t>Kwiatkowski</t>
  </si>
  <si>
    <t>pkwiatkowski@primehealthcare.com</t>
  </si>
  <si>
    <t>81443524251</t>
  </si>
  <si>
    <t>Reddy</t>
  </si>
  <si>
    <t>sreddy@primehealthcare.com</t>
  </si>
  <si>
    <t>Associate Cybersecurity Analyst - Endpoint</t>
  </si>
  <si>
    <t>Procyrion</t>
  </si>
  <si>
    <t>Beth</t>
  </si>
  <si>
    <t>beth@procyrion.com</t>
  </si>
  <si>
    <t>procyrion.com</t>
  </si>
  <si>
    <t>SVP</t>
  </si>
  <si>
    <t>Prolucid Technologies Inc.</t>
  </si>
  <si>
    <t>Pravato</t>
  </si>
  <si>
    <t>laura.pravato@prolucid.ca</t>
  </si>
  <si>
    <t>prolucid.ca</t>
  </si>
  <si>
    <t>Proscia Inc.</t>
  </si>
  <si>
    <t>barbara.young@proscia.com</t>
  </si>
  <si>
    <t>proscia.com</t>
  </si>
  <si>
    <t>Quality Director</t>
  </si>
  <si>
    <t>Rendon</t>
  </si>
  <si>
    <t>kim.rendon@proscia.com</t>
  </si>
  <si>
    <t>Director of Regulatory Affairs</t>
  </si>
  <si>
    <t>Proxima CRO</t>
  </si>
  <si>
    <t>michelle.lewis@proximacro.com</t>
  </si>
  <si>
    <t>proximacro.com</t>
  </si>
  <si>
    <t>Sr Consulting Manager</t>
  </si>
  <si>
    <t>Few</t>
  </si>
  <si>
    <t>stephanie.few@proximacro.com</t>
  </si>
  <si>
    <t>RAQA Associate</t>
  </si>
  <si>
    <t>Pure Clinical</t>
  </si>
  <si>
    <t>Ilona</t>
  </si>
  <si>
    <t>Korczak-Cegielska</t>
  </si>
  <si>
    <t>i.korczak@pureclinical.eu</t>
  </si>
  <si>
    <t>pureclinical.eu</t>
  </si>
  <si>
    <t>Clinical Trial Manager</t>
  </si>
  <si>
    <t>QAS.ai</t>
  </si>
  <si>
    <t>Hajduczok</t>
  </si>
  <si>
    <t>pgygh@buffalo.edu</t>
  </si>
  <si>
    <t>buffalo.edu</t>
  </si>
  <si>
    <t>Professor</t>
  </si>
  <si>
    <t>Qiagen</t>
  </si>
  <si>
    <t>Carles</t>
  </si>
  <si>
    <t>Torrent Aixa</t>
  </si>
  <si>
    <t>carles.torrent@qiagen.com</t>
  </si>
  <si>
    <t>qiagen.com</t>
  </si>
  <si>
    <t>Regulatory Affairs Director</t>
  </si>
  <si>
    <t>Ruediger</t>
  </si>
  <si>
    <t>Schindler</t>
  </si>
  <si>
    <t>ruediger.schindler@qiagen.com</t>
  </si>
  <si>
    <t>Associate Director Product Security</t>
  </si>
  <si>
    <t>Quadrant Biosciences 10695</t>
  </si>
  <si>
    <t>Masterson</t>
  </si>
  <si>
    <t>stacy.masterson@quadrantbiosciences.com</t>
  </si>
  <si>
    <t>quadrantbiosciences.com</t>
  </si>
  <si>
    <t>VP of Quality</t>
  </si>
  <si>
    <t>Iles</t>
  </si>
  <si>
    <t>allison.iles@quadrantbiosciences.com</t>
  </si>
  <si>
    <t>QuidelOrtho</t>
  </si>
  <si>
    <t>Wesley</t>
  </si>
  <si>
    <t>Chong</t>
  </si>
  <si>
    <t>wesley.chong@quidelortho.com</t>
  </si>
  <si>
    <t>quidelortho.com</t>
  </si>
  <si>
    <t>858-302-0959</t>
  </si>
  <si>
    <t>Radiometer</t>
  </si>
  <si>
    <t>Marianne Kleist</t>
  </si>
  <si>
    <t>Elmlund</t>
  </si>
  <si>
    <t>marianne.elmlund@radiometer.dk</t>
  </si>
  <si>
    <t>radiometer.dk</t>
  </si>
  <si>
    <t>Senior project manager</t>
  </si>
  <si>
    <t>Marion</t>
  </si>
  <si>
    <t>LOPEZ</t>
  </si>
  <si>
    <t>marion.lopez@radiometer.dk</t>
  </si>
  <si>
    <t>Rapid, LLC</t>
  </si>
  <si>
    <t>Nadine</t>
  </si>
  <si>
    <t>Bonds</t>
  </si>
  <si>
    <t>nbonds@rapiddosimetry.com</t>
  </si>
  <si>
    <t>rapiddosimetry.com</t>
  </si>
  <si>
    <t>Director of QA/RA</t>
  </si>
  <si>
    <t>Kandice</t>
  </si>
  <si>
    <t>Bailey</t>
  </si>
  <si>
    <t>kbailey@rapiddosimetry.com</t>
  </si>
  <si>
    <t>Quality Assurance/ Regulatory Specialist</t>
  </si>
  <si>
    <t>Rebion 10744</t>
  </si>
  <si>
    <t>Shaka</t>
  </si>
  <si>
    <t>jgshaka@rebion.net</t>
  </si>
  <si>
    <t>rebion.net</t>
  </si>
  <si>
    <t>Reccan AB</t>
  </si>
  <si>
    <t>ANNA</t>
  </si>
  <si>
    <t>BRODEN</t>
  </si>
  <si>
    <t>anna.broden@reccandiagnostics.com</t>
  </si>
  <si>
    <t>reccandiagnostics.com</t>
  </si>
  <si>
    <t>cto</t>
  </si>
  <si>
    <t>Reciprocal Labs Corp, dba Propeller Health 11082</t>
  </si>
  <si>
    <t>Herritz</t>
  </si>
  <si>
    <t>emily.herritz@propellerhealth.com</t>
  </si>
  <si>
    <t>propellerhealth.com</t>
  </si>
  <si>
    <t>Post Market Surveillance</t>
  </si>
  <si>
    <t>Red Cross</t>
  </si>
  <si>
    <t>Christie</t>
  </si>
  <si>
    <t>christie.reed@redcross.org</t>
  </si>
  <si>
    <t>redcross.org</t>
  </si>
  <si>
    <t>Quality Assurance Consultant</t>
  </si>
  <si>
    <t>Regency Integrated Health Services</t>
  </si>
  <si>
    <t>81443650175</t>
  </si>
  <si>
    <t>Borrusso</t>
  </si>
  <si>
    <t>mborrusso@regencyhealthcare.com</t>
  </si>
  <si>
    <t>Vice President of IT Security</t>
  </si>
  <si>
    <t>Renown Health</t>
  </si>
  <si>
    <t>Ramirez</t>
  </si>
  <si>
    <t>steven.ramirez@renown.org</t>
  </si>
  <si>
    <t>renown.org</t>
  </si>
  <si>
    <t>VP CISO &amp; CTO</t>
  </si>
  <si>
    <t>ResMed</t>
  </si>
  <si>
    <t>81418251835</t>
  </si>
  <si>
    <t>Hayden</t>
  </si>
  <si>
    <t>Stephenson</t>
  </si>
  <si>
    <t>hstephenson@resmed.com</t>
  </si>
  <si>
    <t>Senior Manager, IT Security</t>
  </si>
  <si>
    <t>81442966660</t>
  </si>
  <si>
    <t>Dawson</t>
  </si>
  <si>
    <t>cdawson@resmed.com</t>
  </si>
  <si>
    <t>81444946570</t>
  </si>
  <si>
    <t>Reid</t>
  </si>
  <si>
    <t>Schwechler</t>
  </si>
  <si>
    <t>rschwechler@resmed.com</t>
  </si>
  <si>
    <t>IT Security GRC Analyst</t>
  </si>
  <si>
    <t>Ridgeview Medical</t>
  </si>
  <si>
    <t>81440605569</t>
  </si>
  <si>
    <t>Mindy</t>
  </si>
  <si>
    <t>Notch</t>
  </si>
  <si>
    <t>mindy.notch@ridgeviewmedical.org</t>
  </si>
  <si>
    <t>81444904258</t>
  </si>
  <si>
    <t>nick.barrett@ridgeviewmedical.org</t>
  </si>
  <si>
    <t>IT Data Security Specialist</t>
  </si>
  <si>
    <t>Rightway</t>
  </si>
  <si>
    <t>81443392054</t>
  </si>
  <si>
    <t>Melo</t>
  </si>
  <si>
    <t>jason.melo@rightwayhealthcare.com</t>
  </si>
  <si>
    <t>Head of Information Security &amp; Technology</t>
  </si>
  <si>
    <t>Riva Health, Inc. 10659</t>
  </si>
  <si>
    <t>Garrity</t>
  </si>
  <si>
    <t>matt@rivahealth.com</t>
  </si>
  <si>
    <t>rivahealth.com</t>
  </si>
  <si>
    <t>Roche Diagnostics</t>
  </si>
  <si>
    <t>Busenhart</t>
  </si>
  <si>
    <t>mark.busenhart@roche.com</t>
  </si>
  <si>
    <t>roche.com</t>
  </si>
  <si>
    <t>Solution Architect</t>
  </si>
  <si>
    <t>O'Connell</t>
  </si>
  <si>
    <t>bill.oconnell@roche.com</t>
  </si>
  <si>
    <t>Global Head of Product Security and Privacy</t>
  </si>
  <si>
    <t>Rosapharma.pt</t>
  </si>
  <si>
    <t>Fernandes</t>
  </si>
  <si>
    <t>afernandes@rosapharma.pt</t>
  </si>
  <si>
    <t>rosapharma.pt</t>
  </si>
  <si>
    <t>Senior Regulatory Associate</t>
  </si>
  <si>
    <t>RQM+</t>
  </si>
  <si>
    <t>DeHass</t>
  </si>
  <si>
    <t>mdehass@rqmplus.com</t>
  </si>
  <si>
    <t>rqmplus.com</t>
  </si>
  <si>
    <t>Principal</t>
  </si>
  <si>
    <t>Safco Dental Supply</t>
  </si>
  <si>
    <t>Winter</t>
  </si>
  <si>
    <t>swinter@safcodental.com</t>
  </si>
  <si>
    <t>safcodental.com</t>
  </si>
  <si>
    <t>Regulatory Compliance &amp; Quality Specialist</t>
  </si>
  <si>
    <t>Saluda Medical Pty Ltd.</t>
  </si>
  <si>
    <t>Erika</t>
  </si>
  <si>
    <t>erika.huffman@saludamedical.com</t>
  </si>
  <si>
    <t>saludamedical.com</t>
  </si>
  <si>
    <t>Regulatory Project Director</t>
  </si>
  <si>
    <t>Samaritan Healthcare</t>
  </si>
  <si>
    <t>81418251804</t>
  </si>
  <si>
    <t>Andres</t>
  </si>
  <si>
    <t>Narvaez</t>
  </si>
  <si>
    <t>anarvaez@samaritanhealthcare.com</t>
  </si>
  <si>
    <t>Saraya Co.</t>
  </si>
  <si>
    <t>Marlon</t>
  </si>
  <si>
    <t>Mamaril</t>
  </si>
  <si>
    <t>marlon@saraya.com</t>
  </si>
  <si>
    <t>saraya.com</t>
  </si>
  <si>
    <t>Deputy General Manager</t>
  </si>
  <si>
    <t>Sartorius</t>
  </si>
  <si>
    <t>Hendrik</t>
  </si>
  <si>
    <t>Kirschling</t>
  </si>
  <si>
    <t>moritz.kirschling@sartorius.com</t>
  </si>
  <si>
    <t>sartorius.com</t>
  </si>
  <si>
    <t>GMP Expert</t>
  </si>
  <si>
    <t>ScottCare Corp.</t>
  </si>
  <si>
    <t>Arnold</t>
  </si>
  <si>
    <t>garnold@scottcare.com</t>
  </si>
  <si>
    <t>Director Product Development</t>
  </si>
  <si>
    <t>Scout Health</t>
  </si>
  <si>
    <t>Marlene</t>
  </si>
  <si>
    <t>marlene@scouthealth.com</t>
  </si>
  <si>
    <t>scouthealth.com</t>
  </si>
  <si>
    <t>Director, QA</t>
  </si>
  <si>
    <t>Select Medical</t>
  </si>
  <si>
    <t>81407018829</t>
  </si>
  <si>
    <t>J</t>
  </si>
  <si>
    <t>je@selectmedical.com</t>
  </si>
  <si>
    <t>Cyber Security Analyst II</t>
  </si>
  <si>
    <t>81433887374</t>
  </si>
  <si>
    <t>Feist</t>
  </si>
  <si>
    <t>mfeist@selectmedical.com</t>
  </si>
  <si>
    <t>Senior Corporate Director, Occupational Safety &amp; Physical Security</t>
  </si>
  <si>
    <t>81433872729</t>
  </si>
  <si>
    <t>Tamanini</t>
  </si>
  <si>
    <t>atamanini@selectmedical.com</t>
  </si>
  <si>
    <t>IT Physical Security Specialist</t>
  </si>
  <si>
    <t>81434355473</t>
  </si>
  <si>
    <t>Suraj</t>
  </si>
  <si>
    <t>spatel@selectmedical.com</t>
  </si>
  <si>
    <t>81441309841</t>
  </si>
  <si>
    <t>Dobbs</t>
  </si>
  <si>
    <t>mdobbs@selectmedical.com</t>
  </si>
  <si>
    <t>81444946574</t>
  </si>
  <si>
    <t>Rearick</t>
  </si>
  <si>
    <t>drearick@selectmedical.com</t>
  </si>
  <si>
    <t>Self</t>
  </si>
  <si>
    <t>Madden</t>
  </si>
  <si>
    <t>briancmadden@theskinappearancelaboratory.org</t>
  </si>
  <si>
    <t>theskinappearancelaboratory.org</t>
  </si>
  <si>
    <t>Electrical Engineer</t>
  </si>
  <si>
    <t>Self Employed</t>
  </si>
  <si>
    <t>Gina</t>
  </si>
  <si>
    <t>To</t>
  </si>
  <si>
    <t>gto_mars@yahoo.com</t>
  </si>
  <si>
    <t>Senseye Inc. 11789</t>
  </si>
  <si>
    <t>Momin</t>
  </si>
  <si>
    <t>momin.khan@senseye.co</t>
  </si>
  <si>
    <t>senseye.co</t>
  </si>
  <si>
    <t>Quality Assurance Manager</t>
  </si>
  <si>
    <t>SenTec</t>
  </si>
  <si>
    <t>Friedli</t>
  </si>
  <si>
    <t>oliver.friedli@sentec.com</t>
  </si>
  <si>
    <t>sentec.com</t>
  </si>
  <si>
    <t>Senior RA Specialist</t>
  </si>
  <si>
    <t xml:space="preserve"> +41 77 411 05 45</t>
  </si>
  <si>
    <t>Sequel Med Tech</t>
  </si>
  <si>
    <t>Sylvie</t>
  </si>
  <si>
    <t>Couderc</t>
  </si>
  <si>
    <t>scouderc@sequelmedtech.com</t>
  </si>
  <si>
    <t>sequelmedtech.com</t>
  </si>
  <si>
    <t>RA director</t>
  </si>
  <si>
    <t>SGS</t>
  </si>
  <si>
    <t>Deirdre</t>
  </si>
  <si>
    <t>Ni Bhroin</t>
  </si>
  <si>
    <t>deirdre.nibhroin@sgs.com</t>
  </si>
  <si>
    <t>sgs.com</t>
  </si>
  <si>
    <t>MDR Lead Auditor</t>
  </si>
  <si>
    <t>SHL Medical</t>
  </si>
  <si>
    <t>Gayatri</t>
  </si>
  <si>
    <t>Bafna</t>
  </si>
  <si>
    <t>gayatri.bafna@shl-medical.com</t>
  </si>
  <si>
    <t>shl-medical.com</t>
  </si>
  <si>
    <t>81435480662</t>
  </si>
  <si>
    <t>Roman</t>
  </si>
  <si>
    <t>brian.roman@shl-medical.com</t>
  </si>
  <si>
    <t>Siemens</t>
  </si>
  <si>
    <t>2272801</t>
  </si>
  <si>
    <t>Al</t>
  </si>
  <si>
    <t>alistar.dean@siemens.com</t>
  </si>
  <si>
    <t>Content Manager</t>
  </si>
  <si>
    <t>937221</t>
  </si>
  <si>
    <t>Hiroshiro</t>
  </si>
  <si>
    <t>Tsugawa</t>
  </si>
  <si>
    <t>hiroo.tsugawa@siemens.com</t>
  </si>
  <si>
    <t>account manager</t>
  </si>
  <si>
    <t>938269</t>
  </si>
  <si>
    <t>Mohamed</t>
  </si>
  <si>
    <t>Abdelwahab Ahmed, Ahmed</t>
  </si>
  <si>
    <t>ahmed.abdelwahab@siemens.com</t>
  </si>
  <si>
    <t>938002</t>
  </si>
  <si>
    <t>Nina</t>
  </si>
  <si>
    <t>Freitag</t>
  </si>
  <si>
    <t>nina.freitag@siemens.com</t>
  </si>
  <si>
    <t>Working student Connected eMobility</t>
  </si>
  <si>
    <t>937747</t>
  </si>
  <si>
    <t>Boaz</t>
  </si>
  <si>
    <t>Budnick</t>
  </si>
  <si>
    <t>boaz.budnick@siemens.com</t>
  </si>
  <si>
    <t>940078</t>
  </si>
  <si>
    <t>Oane</t>
  </si>
  <si>
    <t>van der Heide</t>
  </si>
  <si>
    <t>oane.van_der_heide@siemens.com</t>
  </si>
  <si>
    <t>Research engineer</t>
  </si>
  <si>
    <t>1708601</t>
  </si>
  <si>
    <t>Vivek</t>
  </si>
  <si>
    <t>vivekkumar.gupta@siemens.com</t>
  </si>
  <si>
    <t>938530</t>
  </si>
  <si>
    <t>jiaxi</t>
  </si>
  <si>
    <t>lu</t>
  </si>
  <si>
    <t>jiaxi.lu@siemens.com</t>
  </si>
  <si>
    <t>934735</t>
  </si>
  <si>
    <t>Ajinkya</t>
  </si>
  <si>
    <t>Bhave</t>
  </si>
  <si>
    <t>ajinkya.bhave@siemens.com</t>
  </si>
  <si>
    <t>2777952</t>
  </si>
  <si>
    <t>lee.harrison@siemens.com</t>
  </si>
  <si>
    <t>934725</t>
  </si>
  <si>
    <t>Cappendijk</t>
  </si>
  <si>
    <t>dennis.cappendijk@siemens.com</t>
  </si>
  <si>
    <t>Tech lead</t>
  </si>
  <si>
    <t>935022</t>
  </si>
  <si>
    <t>Pavel</t>
  </si>
  <si>
    <t>Shumejko</t>
  </si>
  <si>
    <t>pavel.shumejko@siemens.com</t>
  </si>
  <si>
    <t>2516552</t>
  </si>
  <si>
    <t>noah.cole@siemens.com</t>
  </si>
  <si>
    <t>937313</t>
  </si>
  <si>
    <t>Enguerrand</t>
  </si>
  <si>
    <t>Prioux</t>
  </si>
  <si>
    <t>enguerrand.prioux@siemens.com</t>
  </si>
  <si>
    <t>ADAS/AD PLM</t>
  </si>
  <si>
    <t>937851</t>
  </si>
  <si>
    <t>SAikat</t>
  </si>
  <si>
    <t>Mukherjee</t>
  </si>
  <si>
    <t>mukherjee.saikat@siemens.com</t>
  </si>
  <si>
    <t>2379601</t>
  </si>
  <si>
    <t>piyush.karkare@siemens.com</t>
  </si>
  <si>
    <t>1463401</t>
  </si>
  <si>
    <t>Zdenek</t>
  </si>
  <si>
    <t>Fiedler</t>
  </si>
  <si>
    <t>zdenek.fiedler@siemens.com</t>
  </si>
  <si>
    <t>Manager of Product Management</t>
  </si>
  <si>
    <t>937860</t>
  </si>
  <si>
    <t>Katharina</t>
  </si>
  <si>
    <t>Aumueller</t>
  </si>
  <si>
    <t>katharina.aumueller@siemens.com</t>
  </si>
  <si>
    <t>936833</t>
  </si>
  <si>
    <t>Techpartner</t>
  </si>
  <si>
    <t>Plm</t>
  </si>
  <si>
    <t>techpartner.plm@siemens.com</t>
  </si>
  <si>
    <t>939393</t>
  </si>
  <si>
    <t>Girish</t>
  </si>
  <si>
    <t>Rama</t>
  </si>
  <si>
    <t>girish.maskerirama@siemens.com</t>
  </si>
  <si>
    <t>Head of Research Group</t>
  </si>
  <si>
    <t>81415694404</t>
  </si>
  <si>
    <t>brett.harris@siemens-healthineers.com</t>
  </si>
  <si>
    <t>Head of Cybersecurity Business Enablement</t>
  </si>
  <si>
    <t>1688752</t>
  </si>
  <si>
    <t>Luther</t>
  </si>
  <si>
    <t>frank@siemens.com</t>
  </si>
  <si>
    <t>1689002</t>
  </si>
  <si>
    <t>Reuter</t>
  </si>
  <si>
    <t>Wibke</t>
  </si>
  <si>
    <t>wibke.reuter@siemens.com</t>
  </si>
  <si>
    <t>81145189639</t>
  </si>
  <si>
    <t>Hans-Martin</t>
  </si>
  <si>
    <t>von Stockhausen</t>
  </si>
  <si>
    <t>hm.von_stockhausen@siemens-healthineers.com</t>
  </si>
  <si>
    <t>Principle Key Expert Cybersecurity</t>
  </si>
  <si>
    <t>77925301023</t>
  </si>
  <si>
    <t>Conhas</t>
  </si>
  <si>
    <t>conhas.thakkar@siemens.com</t>
  </si>
  <si>
    <t>2534301</t>
  </si>
  <si>
    <t>Richter</t>
  </si>
  <si>
    <t>thomasrichter@siemens.com</t>
  </si>
  <si>
    <t>939465</t>
  </si>
  <si>
    <t>Joachim</t>
  </si>
  <si>
    <t>Froehlich</t>
  </si>
  <si>
    <t>froehlich.joachim@siemens.com</t>
  </si>
  <si>
    <t>935876</t>
  </si>
  <si>
    <t>Holger</t>
  </si>
  <si>
    <t>Last</t>
  </si>
  <si>
    <t>holger.last@siemens.com</t>
  </si>
  <si>
    <t>937439</t>
  </si>
  <si>
    <t>Lo</t>
  </si>
  <si>
    <t>van den Berg</t>
  </si>
  <si>
    <t>lo.vandenberg@siemens.com</t>
  </si>
  <si>
    <t>1370051</t>
  </si>
  <si>
    <t>Leron</t>
  </si>
  <si>
    <t>Baron</t>
  </si>
  <si>
    <t>leron.baron@siemens.com</t>
  </si>
  <si>
    <t>934866</t>
  </si>
  <si>
    <t>Navid</t>
  </si>
  <si>
    <t>Hermidas</t>
  </si>
  <si>
    <t>navid.hermidas@siemens.com</t>
  </si>
  <si>
    <t>935661</t>
  </si>
  <si>
    <t>Bhavuk</t>
  </si>
  <si>
    <t>Nagpal</t>
  </si>
  <si>
    <t>bhavuk.nagpal@siemens.com</t>
  </si>
  <si>
    <t>Senior Manager, Global Marketing</t>
  </si>
  <si>
    <t>936673</t>
  </si>
  <si>
    <t>Loeffler</t>
  </si>
  <si>
    <t>loeffler.manuel@siemens.com</t>
  </si>
  <si>
    <t>Software &amp; Technology Partner Program Office</t>
  </si>
  <si>
    <t>937467</t>
  </si>
  <si>
    <t>Lennart</t>
  </si>
  <si>
    <t>Kilian</t>
  </si>
  <si>
    <t>lennart.kilian@siemens.com</t>
  </si>
  <si>
    <t>937718</t>
  </si>
  <si>
    <t>Cornel</t>
  </si>
  <si>
    <t>Klein</t>
  </si>
  <si>
    <t>cornel.klein@siemens.com</t>
  </si>
  <si>
    <t>935925</t>
  </si>
  <si>
    <t>Belkov</t>
  </si>
  <si>
    <t>alexander.belkov@siemens.com</t>
  </si>
  <si>
    <t>Product Owner AI for Automated Driving Railway</t>
  </si>
  <si>
    <t>81433857955</t>
  </si>
  <si>
    <t>McLean</t>
  </si>
  <si>
    <t>james.mclean@siemens-healthineers.com</t>
  </si>
  <si>
    <t>Healthcare cybersecurity</t>
  </si>
  <si>
    <t>81433872693</t>
  </si>
  <si>
    <t>Freeman</t>
  </si>
  <si>
    <t>michael.freeman@siemens-healthineers.com</t>
  </si>
  <si>
    <t>Senior cybersecurity engineer</t>
  </si>
  <si>
    <t>81438936627</t>
  </si>
  <si>
    <t>Sharanya</t>
  </si>
  <si>
    <t>sharanya.bhaskar@siemens-healthineers.com</t>
  </si>
  <si>
    <t>Cybersecurity Design Engineer</t>
  </si>
  <si>
    <t>81434355333</t>
  </si>
  <si>
    <t>Alfonso</t>
  </si>
  <si>
    <t>Dejesus</t>
  </si>
  <si>
    <t>alfonso.dejesus@siemens-healthineers.com</t>
  </si>
  <si>
    <t>Cyber Security Manager - Technology Services at Siemens Healthcare</t>
  </si>
  <si>
    <t>81435480675</t>
  </si>
  <si>
    <t>Navya</t>
  </si>
  <si>
    <t>Lakshmana</t>
  </si>
  <si>
    <t>navya.lakshmana@siemens-healthineers.com</t>
  </si>
  <si>
    <t>81442455881</t>
  </si>
  <si>
    <t>Satyendra</t>
  </si>
  <si>
    <t>satyendra.singh@siemens-healthineers.com</t>
  </si>
  <si>
    <t>81441150904</t>
  </si>
  <si>
    <t>Eller</t>
  </si>
  <si>
    <t>jesse.eller@siemens-healthineers.com</t>
  </si>
  <si>
    <t>81442567182</t>
  </si>
  <si>
    <t>Wickline</t>
  </si>
  <si>
    <t>michael.wickline@siemens-healthineers.com</t>
  </si>
  <si>
    <t>Head of Facility Management &amp; Services</t>
  </si>
  <si>
    <t>81442753315</t>
  </si>
  <si>
    <t>Maria</t>
  </si>
  <si>
    <t>Shaw</t>
  </si>
  <si>
    <t>maria.shaw@siemens-healthineers.com</t>
  </si>
  <si>
    <t>VP, Principal Cybersecurity Officer - CyberHealth</t>
  </si>
  <si>
    <t>81442581413</t>
  </si>
  <si>
    <t>Killheffer</t>
  </si>
  <si>
    <t>kristen.killheffer@siemens-healthineers.com</t>
  </si>
  <si>
    <t>Cybersecurity Regulatory Policy</t>
  </si>
  <si>
    <t>81443091064</t>
  </si>
  <si>
    <t>Nathans</t>
  </si>
  <si>
    <t>david.nathans@siemens-healthineers.com</t>
  </si>
  <si>
    <t>CISO - Cybersecurity Officer for the Americas</t>
  </si>
  <si>
    <t>81442926459</t>
  </si>
  <si>
    <t>Miroslav</t>
  </si>
  <si>
    <t>Hricko</t>
  </si>
  <si>
    <t>miroslav.hricko@siemens-healthineers.com</t>
  </si>
  <si>
    <t>81442984099</t>
  </si>
  <si>
    <t>brandon.wright@siemens-healthineers.com</t>
  </si>
  <si>
    <t>Physical Security Operations Lead</t>
  </si>
  <si>
    <t>81443922031</t>
  </si>
  <si>
    <t>Perumal</t>
  </si>
  <si>
    <t>Poopathy</t>
  </si>
  <si>
    <t>perumal.poopathy@siemens-healthineers.com</t>
  </si>
  <si>
    <t>Cybersecurity Officer</t>
  </si>
  <si>
    <t>81443650148</t>
  </si>
  <si>
    <t>Fullerton</t>
  </si>
  <si>
    <t>gregory.fullerton@siemens-healthineers.com</t>
  </si>
  <si>
    <t>81444889650</t>
  </si>
  <si>
    <t>Kullberg</t>
  </si>
  <si>
    <t>marion.kullberg@siemens-healthineers.com</t>
  </si>
  <si>
    <t>Senior Cybersecurity Manager</t>
  </si>
  <si>
    <t>84740792142</t>
  </si>
  <si>
    <t>Claud</t>
  </si>
  <si>
    <t>claud.alexander@siemens-healthineers.com</t>
  </si>
  <si>
    <t>127356328987</t>
  </si>
  <si>
    <t>Stockhausen</t>
  </si>
  <si>
    <t>hans-martin.stockhausen@siemens-healthineers.com</t>
  </si>
  <si>
    <t>97209865248</t>
  </si>
  <si>
    <t>katarina</t>
  </si>
  <si>
    <t>amrichova</t>
  </si>
  <si>
    <t>katarina.amrichova@siemens-healthineers.com</t>
  </si>
  <si>
    <t>97209865249</t>
  </si>
  <si>
    <t>Limmer</t>
  </si>
  <si>
    <t>tobias.limmer@siemens.com</t>
  </si>
  <si>
    <t>97209865247</t>
  </si>
  <si>
    <t>rikhiya</t>
  </si>
  <si>
    <t>ghosh</t>
  </si>
  <si>
    <t>rikhiya.ghosh@siemens-healthineers.com</t>
  </si>
  <si>
    <t>86132051977</t>
  </si>
  <si>
    <t>Schmitt</t>
  </si>
  <si>
    <t>martin.schmitt@siemens-healthineers.com</t>
  </si>
  <si>
    <t>Vulnerability Response Manager</t>
  </si>
  <si>
    <t>123048886957</t>
  </si>
  <si>
    <t>ernest.liu@siemens-healthineers.com</t>
  </si>
  <si>
    <t>Siemens Healthineers</t>
  </si>
  <si>
    <t>siemens-healthineers.com</t>
  </si>
  <si>
    <t>Director - Information Security</t>
  </si>
  <si>
    <t>Principal Key Expert Cybersecurity</t>
  </si>
  <si>
    <t>Shilpa</t>
  </si>
  <si>
    <t>Rapaka</t>
  </si>
  <si>
    <t>shilpa.rapaka@siemens-healthineers.com</t>
  </si>
  <si>
    <t>Sift Healthcare</t>
  </si>
  <si>
    <t>81408266017</t>
  </si>
  <si>
    <t>Lindsey</t>
  </si>
  <si>
    <t>Orrick</t>
  </si>
  <si>
    <t>lindsey.orrick@sifthealthcare.com</t>
  </si>
  <si>
    <t>Director of Cybersecurity and IT</t>
  </si>
  <si>
    <t>Signia Xperience</t>
  </si>
  <si>
    <t>Ambica</t>
  </si>
  <si>
    <t>Dattakumar</t>
  </si>
  <si>
    <t>ambica.dattakumar@wsa.com</t>
  </si>
  <si>
    <t>wsa.com</t>
  </si>
  <si>
    <t>Head of Post Market Quality and Data Analytics</t>
  </si>
  <si>
    <t>SIH</t>
  </si>
  <si>
    <t>81441165201</t>
  </si>
  <si>
    <t>Mandi</t>
  </si>
  <si>
    <t>Alegria</t>
  </si>
  <si>
    <t>mandi.alegria@sih.net</t>
  </si>
  <si>
    <t>81442540575</t>
  </si>
  <si>
    <t>Calloni</t>
  </si>
  <si>
    <t>taylor.calloni@sih.net</t>
  </si>
  <si>
    <t>Cyber Security Engineer III</t>
  </si>
  <si>
    <t>81443314056</t>
  </si>
  <si>
    <t>Fabricio</t>
  </si>
  <si>
    <t>Gamboa</t>
  </si>
  <si>
    <t>fabricio.gamboa@sih.net</t>
  </si>
  <si>
    <t>81444946578</t>
  </si>
  <si>
    <t>Phoenix</t>
  </si>
  <si>
    <t>nathan.phoenix@sih.net</t>
  </si>
  <si>
    <t>Director Information Technology / Information Security Officer</t>
  </si>
  <si>
    <t>SiteRx</t>
  </si>
  <si>
    <t>Kirschner</t>
  </si>
  <si>
    <t>neal@siterx.com</t>
  </si>
  <si>
    <t>siterx.com</t>
  </si>
  <si>
    <t>Sivan</t>
  </si>
  <si>
    <t>Kara</t>
  </si>
  <si>
    <t>Wolley</t>
  </si>
  <si>
    <t>kwolley@zynex.com</t>
  </si>
  <si>
    <t>zynex.com</t>
  </si>
  <si>
    <t>Sk - Telemed.co.at</t>
  </si>
  <si>
    <t>Ann</t>
  </si>
  <si>
    <t>Umanka</t>
  </si>
  <si>
    <t>a.umanska@sk-telemed.co.at</t>
  </si>
  <si>
    <t>sk-telemed.co.at</t>
  </si>
  <si>
    <t>SKILLPAD</t>
  </si>
  <si>
    <t>Vani</t>
  </si>
  <si>
    <t>mvani@skillpadcompliance.com</t>
  </si>
  <si>
    <t>skillpadcompliance.com</t>
  </si>
  <si>
    <t>Compliance Consultant</t>
  </si>
  <si>
    <t>514-296-2731</t>
  </si>
  <si>
    <t>Smart Breast Corp.</t>
  </si>
  <si>
    <t>Chen</t>
  </si>
  <si>
    <t>martin.chen@smartbreast.com</t>
  </si>
  <si>
    <t>smartbreast.com</t>
  </si>
  <si>
    <t>Smart Network</t>
  </si>
  <si>
    <t>Sindhu</t>
  </si>
  <si>
    <t>snair@ualberta.ca</t>
  </si>
  <si>
    <t>ualberta.ca</t>
  </si>
  <si>
    <t>Smith &amp; Nephew</t>
  </si>
  <si>
    <t>Key</t>
  </si>
  <si>
    <t>paul.key@smith-nephew.com</t>
  </si>
  <si>
    <t>smith-nephew.com</t>
  </si>
  <si>
    <t>VP Information Security / CISO</t>
  </si>
  <si>
    <t>Smith &amp; Nephew, Inc</t>
  </si>
  <si>
    <t>Rhonda</t>
  </si>
  <si>
    <t>Johnston</t>
  </si>
  <si>
    <t>rhonda.johnston@smith-nephew.com</t>
  </si>
  <si>
    <t>Sr. Mgr. DQA</t>
  </si>
  <si>
    <t>Solenic Medical</t>
  </si>
  <si>
    <t>Tepper</t>
  </si>
  <si>
    <t>john.tepper@solenic.com</t>
  </si>
  <si>
    <t>solenic.com</t>
  </si>
  <si>
    <t>VP Eng</t>
  </si>
  <si>
    <t>Solventum Oy, Matti Lehtomäki</t>
  </si>
  <si>
    <t>81438936646</t>
  </si>
  <si>
    <t>Egan</t>
  </si>
  <si>
    <t>jim@solventum.com</t>
  </si>
  <si>
    <t>Sr. Director Program Management &amp; Strategy - Cybersecurity</t>
  </si>
  <si>
    <t>81434443547</t>
  </si>
  <si>
    <t>Loren</t>
  </si>
  <si>
    <t>Maloney</t>
  </si>
  <si>
    <t>lmaloney@solventum.com</t>
  </si>
  <si>
    <t>Privacy and Cybersecurity Counsel</t>
  </si>
  <si>
    <t>81442455896</t>
  </si>
  <si>
    <t>Spence</t>
  </si>
  <si>
    <t>Flandro</t>
  </si>
  <si>
    <t>sflandro@solventum.com</t>
  </si>
  <si>
    <t>Cyber Defense Engineering Manager</t>
  </si>
  <si>
    <t>81441309808</t>
  </si>
  <si>
    <t>Streicher</t>
  </si>
  <si>
    <t>dstreicher@solventum.com</t>
  </si>
  <si>
    <t>Cybersecurity Leader - Product Security</t>
  </si>
  <si>
    <t>81441165192</t>
  </si>
  <si>
    <t>Joy</t>
  </si>
  <si>
    <t>Vogt</t>
  </si>
  <si>
    <t>jvogt@solventum.com</t>
  </si>
  <si>
    <t>Program Leader Risk Analytics, Cybersecurity</t>
  </si>
  <si>
    <t>81442711461</t>
  </si>
  <si>
    <t>Ferko</t>
  </si>
  <si>
    <t>kferko@solventum.com</t>
  </si>
  <si>
    <t>Cyber Security Automation and Vulnerability Engineer</t>
  </si>
  <si>
    <t>102630392374</t>
  </si>
  <si>
    <t>blawrence@solventum.com</t>
  </si>
  <si>
    <t>Solutions Architect</t>
  </si>
  <si>
    <t>102630390340</t>
  </si>
  <si>
    <t>Gibbons</t>
  </si>
  <si>
    <t>rgibbons@solventum.com</t>
  </si>
  <si>
    <t>Sr. Manager Information Security</t>
  </si>
  <si>
    <t>123046684308</t>
  </si>
  <si>
    <t>ecolon@solventum.com</t>
  </si>
  <si>
    <t>Insider Threat Lead</t>
  </si>
  <si>
    <t>102622124333</t>
  </si>
  <si>
    <t>Laird</t>
  </si>
  <si>
    <t>jlaird@solventum.com</t>
  </si>
  <si>
    <t>Director, Digital Wound Care</t>
  </si>
  <si>
    <t>Sonic Healthcare</t>
  </si>
  <si>
    <t>81443538003</t>
  </si>
  <si>
    <t>Brooker</t>
  </si>
  <si>
    <t>hbrooker@sonichealthcare.com</t>
  </si>
  <si>
    <t>Senior IT Security Specialist</t>
  </si>
  <si>
    <t>Sonic Healthcare USA</t>
  </si>
  <si>
    <t>81442939941</t>
  </si>
  <si>
    <t>Day</t>
  </si>
  <si>
    <t>tday@sonichealthcareusa.com</t>
  </si>
  <si>
    <t>81443922039</t>
  </si>
  <si>
    <t>Flint</t>
  </si>
  <si>
    <t>Cave</t>
  </si>
  <si>
    <t>fcave@sonichealthcareusa.com</t>
  </si>
  <si>
    <t>Information Technology Security Specialist</t>
  </si>
  <si>
    <t>Sonrai Analytics 10974</t>
  </si>
  <si>
    <t>Alice</t>
  </si>
  <si>
    <t>Geaney</t>
  </si>
  <si>
    <t>a.geaney@sonraianalytics.com</t>
  </si>
  <si>
    <t>sonraianalytics.com</t>
  </si>
  <si>
    <t>Soundwave Hearing LLC 11750</t>
  </si>
  <si>
    <t>eva@hearsoundwave.com</t>
  </si>
  <si>
    <t>hearsoundwave.com</t>
  </si>
  <si>
    <t>Software Project Manager</t>
  </si>
  <si>
    <t>Southeast Georgia Health System</t>
  </si>
  <si>
    <t>DiMaggio</t>
  </si>
  <si>
    <t>frank.dimaggio@sghs.org</t>
  </si>
  <si>
    <t>sghs.org</t>
  </si>
  <si>
    <t>SpaceBander Corp.</t>
  </si>
  <si>
    <t>Hsieh Yie</t>
  </si>
  <si>
    <t>hsiehyie.lee@medtronic.com</t>
  </si>
  <si>
    <t>Supplier Quality Engineer</t>
  </si>
  <si>
    <t>Chuidian</t>
  </si>
  <si>
    <t>dave.chuidian@medtronic.com</t>
  </si>
  <si>
    <t>Sr. Engineering Program Manager</t>
  </si>
  <si>
    <t>Rohan</t>
  </si>
  <si>
    <t>Pande</t>
  </si>
  <si>
    <t>rohan.pande@medtronic.com</t>
  </si>
  <si>
    <t>Americas Commercial Manager</t>
  </si>
  <si>
    <t>Hummel</t>
  </si>
  <si>
    <t>james.d.hummel@medtronic.com</t>
  </si>
  <si>
    <t>Principal Quality System Specialist</t>
  </si>
  <si>
    <t>Spacelabs Healthcare</t>
  </si>
  <si>
    <t>81408266046</t>
  </si>
  <si>
    <t>Oh</t>
  </si>
  <si>
    <t>mary.oh@spacelabshealthcare.com</t>
  </si>
  <si>
    <t>81440633969</t>
  </si>
  <si>
    <t>Valina</t>
  </si>
  <si>
    <t>jonathan.valina@spacelabshealthcare.com</t>
  </si>
  <si>
    <t>Sr Manager Cybersecurity</t>
  </si>
  <si>
    <t>Spark Biomedical LLC 10271</t>
  </si>
  <si>
    <t>Wettenstein</t>
  </si>
  <si>
    <t>jared.wettenstein@sparkbiomedical.com</t>
  </si>
  <si>
    <t>sparkbiomedical.com</t>
  </si>
  <si>
    <t>Sr Director of Product Development</t>
  </si>
  <si>
    <t>SpectraWAVE</t>
  </si>
  <si>
    <t>kobrien@spectrawave.com</t>
  </si>
  <si>
    <t>spectrawave.com</t>
  </si>
  <si>
    <t>Sr. Dir. SW Dev</t>
  </si>
  <si>
    <t>Spinreact</t>
  </si>
  <si>
    <t>Elisenda</t>
  </si>
  <si>
    <t>Gendra</t>
  </si>
  <si>
    <t>egendra@spinreact.com</t>
  </si>
  <si>
    <t>spinreact.com</t>
  </si>
  <si>
    <t>QARA manager</t>
  </si>
  <si>
    <t>SPT Vilecon</t>
  </si>
  <si>
    <t>Pernelle Kruse</t>
  </si>
  <si>
    <t>Schøndorff</t>
  </si>
  <si>
    <t>pks@sptvilecon.com</t>
  </si>
  <si>
    <t>sptvilecon.com</t>
  </si>
  <si>
    <t>Natalya</t>
  </si>
  <si>
    <t>Sukiasyan</t>
  </si>
  <si>
    <t>nsu@sptvilecon.com</t>
  </si>
  <si>
    <t>Senior Quality Engineer</t>
  </si>
  <si>
    <t>Stanford Health Care</t>
  </si>
  <si>
    <t>81408265993</t>
  </si>
  <si>
    <t>Suzanne</t>
  </si>
  <si>
    <t>Schiessler</t>
  </si>
  <si>
    <t>sschiessler@stanfordhealthcare.org</t>
  </si>
  <si>
    <t>81421608365</t>
  </si>
  <si>
    <t>alee@stanfordhealthcare.org</t>
  </si>
  <si>
    <t>81434355350</t>
  </si>
  <si>
    <t>Abdul</t>
  </si>
  <si>
    <t>ashaik@stanfordhealthcare.org</t>
  </si>
  <si>
    <t>Cyber security Directory Services Architect - Service Delivery - HCL</t>
  </si>
  <si>
    <t>81442739011</t>
  </si>
  <si>
    <t>Colombo</t>
  </si>
  <si>
    <t>acolombo@stanfordhealthcare.org</t>
  </si>
  <si>
    <t>81442766476</t>
  </si>
  <si>
    <t>Duenas</t>
  </si>
  <si>
    <t>jduenas@stanfordhealthcare.org</t>
  </si>
  <si>
    <t>Regional Security Supervisor at Stanford Healthcare</t>
  </si>
  <si>
    <t>81442581409</t>
  </si>
  <si>
    <t>Downs</t>
  </si>
  <si>
    <t>ddowns@stanfordhealthcare.org</t>
  </si>
  <si>
    <t>81443296271</t>
  </si>
  <si>
    <t>rwilson@stanfordhealthcare.org</t>
  </si>
  <si>
    <t>81444842419</t>
  </si>
  <si>
    <t>Erb</t>
  </si>
  <si>
    <t>derb@stanfordhealthcare.org</t>
  </si>
  <si>
    <t>Senior IT Security Operations Engineer</t>
  </si>
  <si>
    <t>Star Global</t>
  </si>
  <si>
    <t>Agata</t>
  </si>
  <si>
    <t>Piskor</t>
  </si>
  <si>
    <t>apiskor@star.global</t>
  </si>
  <si>
    <t>star.global</t>
  </si>
  <si>
    <t>Quality RA</t>
  </si>
  <si>
    <t>STERIS</t>
  </si>
  <si>
    <t>Sheari</t>
  </si>
  <si>
    <t>sheari_rice@steris.com</t>
  </si>
  <si>
    <t>steris.com</t>
  </si>
  <si>
    <t>Director, Product Regulatory Cybersecurity</t>
  </si>
  <si>
    <t>Browning</t>
  </si>
  <si>
    <t>roger_browning@steris.com</t>
  </si>
  <si>
    <t>330-350-6918</t>
  </si>
  <si>
    <t>Sternum</t>
  </si>
  <si>
    <t>Pisano</t>
  </si>
  <si>
    <t>robertp@sternumiot.com</t>
  </si>
  <si>
    <t>sternumiot.com</t>
  </si>
  <si>
    <t>GTM Lead, Medical Devices</t>
  </si>
  <si>
    <t>Stover Solutions</t>
  </si>
  <si>
    <t>Stover</t>
  </si>
  <si>
    <t>john.stover@stover-solutions.com</t>
  </si>
  <si>
    <t>stover-solutions.com</t>
  </si>
  <si>
    <t>strategoinc.com</t>
  </si>
  <si>
    <t>sjohnson@strategoinc.com</t>
  </si>
  <si>
    <t>Stryker</t>
  </si>
  <si>
    <t>Richards</t>
  </si>
  <si>
    <t>erin.richards@stryker.com</t>
  </si>
  <si>
    <t>stryker.com</t>
  </si>
  <si>
    <t>Director, Product Data Security &amp; Privacy</t>
  </si>
  <si>
    <t>Lapadula-Altman</t>
  </si>
  <si>
    <t>ashley.lapadula-altman@stryker.com</t>
  </si>
  <si>
    <t>Associate Manager, Communications</t>
  </si>
  <si>
    <t>Joel</t>
  </si>
  <si>
    <t>Cardella</t>
  </si>
  <si>
    <t>joel.cardella@stryker.com</t>
  </si>
  <si>
    <t>Director, GRC, Product Security</t>
  </si>
  <si>
    <t>Hollenbeck</t>
  </si>
  <si>
    <t>todd.hollenbeck@stryker.com</t>
  </si>
  <si>
    <t>Sr. Manager, Product Security</t>
  </si>
  <si>
    <t>Marketing Qualified Lead</t>
  </si>
  <si>
    <t>81416833193</t>
  </si>
  <si>
    <t>Busch</t>
  </si>
  <si>
    <t>thomas.busch@stryker.com</t>
  </si>
  <si>
    <t>Director, Cybersecurity Incident Response</t>
  </si>
  <si>
    <t>81415694439</t>
  </si>
  <si>
    <t>Hemingway</t>
  </si>
  <si>
    <t>tom.hemingway@stryker.com</t>
  </si>
  <si>
    <t>Global Physical Security-Director</t>
  </si>
  <si>
    <t>81433872724</t>
  </si>
  <si>
    <t>Tushar</t>
  </si>
  <si>
    <t>Desai</t>
  </si>
  <si>
    <t>tushar.desai@stryker.com</t>
  </si>
  <si>
    <t>Director - Robotic Controls, Software, OS, Product Cybersecurity</t>
  </si>
  <si>
    <t>81433915995</t>
  </si>
  <si>
    <t>Brandt</t>
  </si>
  <si>
    <t>nicholas.brandt@stryker.com</t>
  </si>
  <si>
    <t>Product Cybersecurity Engineer</t>
  </si>
  <si>
    <t>81440605538</t>
  </si>
  <si>
    <t>Jeevan</t>
  </si>
  <si>
    <t>Yarlagadda</t>
  </si>
  <si>
    <t>jeevan.yarlagadda@stryker.com</t>
  </si>
  <si>
    <t>Senior Manager, Cyber Security, Cyber Risk and IT Compliance at Stryker</t>
  </si>
  <si>
    <t>81440605556</t>
  </si>
  <si>
    <t>Vinod</t>
  </si>
  <si>
    <t>Chandrashekar</t>
  </si>
  <si>
    <t>vinod.chandrashekar@stryker.com</t>
  </si>
  <si>
    <t>Senior Manager, Cyber Risk Management</t>
  </si>
  <si>
    <t>81438936668</t>
  </si>
  <si>
    <t>Ibn</t>
  </si>
  <si>
    <t>Akbar</t>
  </si>
  <si>
    <t>ibn.akbar@stryker.com</t>
  </si>
  <si>
    <t>Cyber Security Communications Specialist</t>
  </si>
  <si>
    <t>81435480710</t>
  </si>
  <si>
    <t>Ccsp</t>
  </si>
  <si>
    <t>paul.ccsp@stryker.com</t>
  </si>
  <si>
    <t>Cyber Security Identity Risk Lead</t>
  </si>
  <si>
    <t>81435480702</t>
  </si>
  <si>
    <t>Pratibha</t>
  </si>
  <si>
    <t>Rikh</t>
  </si>
  <si>
    <t>pratibha.rikh@stryker.com</t>
  </si>
  <si>
    <t>81434443569</t>
  </si>
  <si>
    <t>Cleary</t>
  </si>
  <si>
    <t>logan.cleary@stryker.com</t>
  </si>
  <si>
    <t>81442488235</t>
  </si>
  <si>
    <t>Ponozzo</t>
  </si>
  <si>
    <t>annette.ponozzo@stryker.com</t>
  </si>
  <si>
    <t>IT Consultant to Stryker - CyberSecurity, CyberRisk &amp; IT Compliance-Digital Security Ops</t>
  </si>
  <si>
    <t>81441165233</t>
  </si>
  <si>
    <t>Carmella</t>
  </si>
  <si>
    <t>Ferouz</t>
  </si>
  <si>
    <t>carmella.ferouz@stryker.com</t>
  </si>
  <si>
    <t>81442753354</t>
  </si>
  <si>
    <t>Oprinovich</t>
  </si>
  <si>
    <t>benjamin.oprinovich@stryker.com</t>
  </si>
  <si>
    <t>IT Senior Security Lead, Cloud Architecture</t>
  </si>
  <si>
    <t>81442724960</t>
  </si>
  <si>
    <t>kyle.prins@stryker.com</t>
  </si>
  <si>
    <t>Associate Manager Cybersecurity by Design</t>
  </si>
  <si>
    <t>81442553098</t>
  </si>
  <si>
    <t>Tiauna</t>
  </si>
  <si>
    <t>Ross</t>
  </si>
  <si>
    <t>tiauna.ross@stryker.com</t>
  </si>
  <si>
    <t>Senior Director, Digital &amp; ERP Cybersecurity - Cyber Security, Cyber Risk &amp; IT Compliance</t>
  </si>
  <si>
    <t>81442581403</t>
  </si>
  <si>
    <t>Conner</t>
  </si>
  <si>
    <t>chris.conner@stryker.com</t>
  </si>
  <si>
    <t>Director Global Physical Security</t>
  </si>
  <si>
    <t>81443296306</t>
  </si>
  <si>
    <t>adrian.delgado@stryker.com</t>
  </si>
  <si>
    <t>81443650151</t>
  </si>
  <si>
    <t>Traci</t>
  </si>
  <si>
    <t>Peck</t>
  </si>
  <si>
    <t>traci.peck@stryker.com</t>
  </si>
  <si>
    <t>Sr Director IT Compliance Assurance &amp; Cybersecurity Delivery</t>
  </si>
  <si>
    <t>81444862031</t>
  </si>
  <si>
    <t>Crane</t>
  </si>
  <si>
    <t>jesse.crane@stryker.com</t>
  </si>
  <si>
    <t>IT Director, CyberSecurity, CyberRisk and IT Compliance (CCI) Solution Delivery &amp; Architecture</t>
  </si>
  <si>
    <t>81444862023</t>
  </si>
  <si>
    <t>Vinay</t>
  </si>
  <si>
    <t>Bhatia</t>
  </si>
  <si>
    <t>vinay.bhatia@stryker.com</t>
  </si>
  <si>
    <t>Director, Digital Application Cybersecurity</t>
  </si>
  <si>
    <t>81444862033</t>
  </si>
  <si>
    <t>Manny</t>
  </si>
  <si>
    <t>Amador</t>
  </si>
  <si>
    <t>manny.amador@stryker.com</t>
  </si>
  <si>
    <t>CyberSecurity, Privacy &amp; Compliance Architect</t>
  </si>
  <si>
    <t>81443664663</t>
  </si>
  <si>
    <t>Klaer</t>
  </si>
  <si>
    <t>ryan.klaer@stryker.com</t>
  </si>
  <si>
    <t>Sr Director - Cyber Resilience</t>
  </si>
  <si>
    <t>81443922072</t>
  </si>
  <si>
    <t>Lalinde</t>
  </si>
  <si>
    <t>aaron.lalinde@stryker.com</t>
  </si>
  <si>
    <t>Product cybersecurity engineer</t>
  </si>
  <si>
    <t>81444875547</t>
  </si>
  <si>
    <t>Janielle</t>
  </si>
  <si>
    <t>Sims</t>
  </si>
  <si>
    <t>janielle.sims@stryker.com</t>
  </si>
  <si>
    <t>81444875447</t>
  </si>
  <si>
    <t>Langer</t>
  </si>
  <si>
    <t>langer.rob@stryker.com</t>
  </si>
  <si>
    <t>Sr. Cyber Security Architect</t>
  </si>
  <si>
    <t>81444946562</t>
  </si>
  <si>
    <t>alan.fiedler@stryker.com</t>
  </si>
  <si>
    <t>Director, Technology &amp; Cybersecurity Legal Counsel</t>
  </si>
  <si>
    <t>Stryker Instruments 11621</t>
  </si>
  <si>
    <t>Yuri</t>
  </si>
  <si>
    <t>Ikeda</t>
  </si>
  <si>
    <t>padmini.gagnon@stryker.com</t>
  </si>
  <si>
    <t>Summit Pacific Medical Center</t>
  </si>
  <si>
    <t>81435480703</t>
  </si>
  <si>
    <t>Tracy</t>
  </si>
  <si>
    <t>Kateley</t>
  </si>
  <si>
    <t>tracyk@summitpacificmedicalcenter.org</t>
  </si>
  <si>
    <t>Director, Health Information Technology &amp; Systems / Information Security Officer</t>
  </si>
  <si>
    <t>Sunoptic Technologies</t>
  </si>
  <si>
    <t>Adkins</t>
  </si>
  <si>
    <t>jeff.adkins@sunoptictech.com</t>
  </si>
  <si>
    <t>sunoptictech.com</t>
  </si>
  <si>
    <t>Mechanical Engineer</t>
  </si>
  <si>
    <t>Surescripts</t>
  </si>
  <si>
    <t>Sullivan</t>
  </si>
  <si>
    <t>robert.sullivan@surescripts.com</t>
  </si>
  <si>
    <t>surescripts.com</t>
  </si>
  <si>
    <t>Security Architect</t>
  </si>
  <si>
    <t>Surfacide</t>
  </si>
  <si>
    <t>Meekma</t>
  </si>
  <si>
    <t>sarah.meekma@surfacide.com</t>
  </si>
  <si>
    <t>surfacide.com</t>
  </si>
  <si>
    <t>Director of Marketing</t>
  </si>
  <si>
    <t>Surgical Theater, LLC</t>
  </si>
  <si>
    <t>Murrock</t>
  </si>
  <si>
    <t>kmurrock@surgicaltheater.com</t>
  </si>
  <si>
    <t>surgicaltheater.com</t>
  </si>
  <si>
    <t>sr. director of quality and regulatory</t>
  </si>
  <si>
    <t>Surmodics</t>
  </si>
  <si>
    <t>Haney</t>
  </si>
  <si>
    <t>phaney@surmodics.com</t>
  </si>
  <si>
    <t>surmodics.com</t>
  </si>
  <si>
    <t>Sr. Complaints Specialist</t>
  </si>
  <si>
    <t>Sutter Health</t>
  </si>
  <si>
    <t>Maksim</t>
  </si>
  <si>
    <t>Goldenberg</t>
  </si>
  <si>
    <t>maksim.goldenberg@sutterhealth.org</t>
  </si>
  <si>
    <t>sutterhealth.org</t>
  </si>
  <si>
    <t>Swisslog Healthcare</t>
  </si>
  <si>
    <t>81444904233</t>
  </si>
  <si>
    <t>Nickoloff</t>
  </si>
  <si>
    <t>tanner.nickoloff@swisslog-healthcare.com</t>
  </si>
  <si>
    <t>Synchron</t>
  </si>
  <si>
    <t>bevans@synchron.com</t>
  </si>
  <si>
    <t>synchron.com</t>
  </si>
  <si>
    <t>Principal Quality Engineer</t>
  </si>
  <si>
    <t>Synergic Medical Technologies, Inc.</t>
  </si>
  <si>
    <t>Gaston</t>
  </si>
  <si>
    <t>barbara.gaston@synergicmed.com</t>
  </si>
  <si>
    <t>synergicmed.com</t>
  </si>
  <si>
    <t>General Manager</t>
  </si>
  <si>
    <t>Synergy Health Limited (Steris)</t>
  </si>
  <si>
    <t>Berta</t>
  </si>
  <si>
    <t>Saldukas</t>
  </si>
  <si>
    <t>berta_saldukas@steris.com</t>
  </si>
  <si>
    <t>RA Cyber Ops Manager</t>
  </si>
  <si>
    <t>Irby</t>
  </si>
  <si>
    <t>jorge_irby@steris.com</t>
  </si>
  <si>
    <t>Persons</t>
  </si>
  <si>
    <t>logan_persons@steris.com</t>
  </si>
  <si>
    <t>Regulatory Affairs Specialist</t>
  </si>
  <si>
    <t>Rachael</t>
  </si>
  <si>
    <t>Arndt</t>
  </si>
  <si>
    <t>rachael_arndt@steris.com</t>
  </si>
  <si>
    <t>Advanced Development Engineer</t>
  </si>
  <si>
    <t>Sysmex Astrego AB</t>
  </si>
  <si>
    <t>Rasmus</t>
  </si>
  <si>
    <t>Nim</t>
  </si>
  <si>
    <t>rasmus.nim@sysmex-astrego.se</t>
  </si>
  <si>
    <t>sysmex-astrego.se</t>
  </si>
  <si>
    <t>Software teamlead</t>
  </si>
  <si>
    <t>Szintezis - Net Kft</t>
  </si>
  <si>
    <t>Bibo</t>
  </si>
  <si>
    <t>ebibo@szintezis-net.hu</t>
  </si>
  <si>
    <t>szintezis-net.hu</t>
  </si>
  <si>
    <t>Q&amp;RA Specialist</t>
  </si>
  <si>
    <t>Tampa General Hospital</t>
  </si>
  <si>
    <t>jbowie@tgh.org</t>
  </si>
  <si>
    <t>tgh.org</t>
  </si>
  <si>
    <t>Holland</t>
  </si>
  <si>
    <t>danielholland@tgh.org</t>
  </si>
  <si>
    <t>GRC</t>
  </si>
  <si>
    <t>Tandem Diabetes Care</t>
  </si>
  <si>
    <t>Alain</t>
  </si>
  <si>
    <t>Woodtli</t>
  </si>
  <si>
    <t>awoodtli@tandemdiabetes.com</t>
  </si>
  <si>
    <t>tandemdiabetes.com</t>
  </si>
  <si>
    <t>Director, QA &amp; Regulatory Affairs</t>
  </si>
  <si>
    <t>Tataelxsi</t>
  </si>
  <si>
    <t>Swapnil</t>
  </si>
  <si>
    <t>Dhumal</t>
  </si>
  <si>
    <t>swapnil.b@tataelxsi.co.in</t>
  </si>
  <si>
    <t>tataelxsi.co.in</t>
  </si>
  <si>
    <t>Regulatory Practice Associate</t>
  </si>
  <si>
    <t>Teladoc Health</t>
  </si>
  <si>
    <t>Karolyn</t>
  </si>
  <si>
    <t>karolyn.maloney@teladochealth.com</t>
  </si>
  <si>
    <t>teladochealth.com</t>
  </si>
  <si>
    <t>VP Cyber Risk</t>
  </si>
  <si>
    <t>Telemed.lt</t>
  </si>
  <si>
    <t>Yury</t>
  </si>
  <si>
    <t>Sokolov</t>
  </si>
  <si>
    <t>yury@telemed.lt</t>
  </si>
  <si>
    <t>telemed.lt</t>
  </si>
  <si>
    <t>Tenable</t>
  </si>
  <si>
    <t>Lissy</t>
  </si>
  <si>
    <t>dlissy@tenable.com</t>
  </si>
  <si>
    <t>tenable.com</t>
  </si>
  <si>
    <t>NAM</t>
  </si>
  <si>
    <t>Solimini</t>
  </si>
  <si>
    <t>nsolimini@tenable.com</t>
  </si>
  <si>
    <t>Tensentric Inc.</t>
  </si>
  <si>
    <t>Klumph</t>
  </si>
  <si>
    <t>chris.klumph@tensentric.com</t>
  </si>
  <si>
    <t>tensentric.com</t>
  </si>
  <si>
    <t>SW Engr</t>
  </si>
  <si>
    <t>Dante</t>
  </si>
  <si>
    <t>Pasionek</t>
  </si>
  <si>
    <t>dante.pasionek@tensentric.com</t>
  </si>
  <si>
    <t>Pratte</t>
  </si>
  <si>
    <t>michelle.pratte@tensentric.com</t>
  </si>
  <si>
    <t>Terumo Aortic</t>
  </si>
  <si>
    <t>a</t>
  </si>
  <si>
    <t>a.day@terumoaortic.com</t>
  </si>
  <si>
    <t>terumoaortic.com</t>
  </si>
  <si>
    <t>Terumo Medical</t>
  </si>
  <si>
    <t>81444889654</t>
  </si>
  <si>
    <t>eric.chang@terumomedical.com</t>
  </si>
  <si>
    <t>Texas Health Resources</t>
  </si>
  <si>
    <t>lorimyers2@texashealth.org</t>
  </si>
  <si>
    <t>texashealth.org</t>
  </si>
  <si>
    <t>Director IT Risk and Assurance</t>
  </si>
  <si>
    <t>Rogers</t>
  </si>
  <si>
    <t>Nyunja</t>
  </si>
  <si>
    <t>rogersnyunja@texashealth.org</t>
  </si>
  <si>
    <t>Director of Digital Experience and Security</t>
  </si>
  <si>
    <t>Thales</t>
  </si>
  <si>
    <t>Ortega</t>
  </si>
  <si>
    <t>david.ortega@thalesgroup.com</t>
  </si>
  <si>
    <t>thalesgroup.com</t>
  </si>
  <si>
    <t>The Binding Site Group Limited</t>
  </si>
  <si>
    <t>Jolanta</t>
  </si>
  <si>
    <t>Wolff</t>
  </si>
  <si>
    <t>jolanta.wolff@thermofisher.com</t>
  </si>
  <si>
    <t>thermofisher.com</t>
  </si>
  <si>
    <t>Regulatory Affairs Project Manager</t>
  </si>
  <si>
    <t>The Guthrie Clinic</t>
  </si>
  <si>
    <t>Hakes</t>
  </si>
  <si>
    <t>daniel.hakes@guthrie.org</t>
  </si>
  <si>
    <t>guthrie.org</t>
  </si>
  <si>
    <t>SOC Analyst</t>
  </si>
  <si>
    <t>Seymour</t>
  </si>
  <si>
    <t>kelsey.seymour@guthrie.org</t>
  </si>
  <si>
    <t>The Metrohealth System</t>
  </si>
  <si>
    <t>Journey</t>
  </si>
  <si>
    <t>gjourney@metrohealth.org</t>
  </si>
  <si>
    <t>metrohealth.org</t>
  </si>
  <si>
    <t>The MetroHealth System</t>
  </si>
  <si>
    <t>Hamel</t>
  </si>
  <si>
    <t>bhamel@metrohealth.org</t>
  </si>
  <si>
    <t>The Mount Sinai Hospital</t>
  </si>
  <si>
    <t>Rishi</t>
  </si>
  <si>
    <t>Tripathi</t>
  </si>
  <si>
    <t>rishi.tripathi@mountsinai.org</t>
  </si>
  <si>
    <t>mountsinai.org</t>
  </si>
  <si>
    <t>The RND Group Inc Partner</t>
  </si>
  <si>
    <t>Kent</t>
  </si>
  <si>
    <t>kent.flint@therndgroup.com</t>
  </si>
  <si>
    <t>therndgroup.com</t>
  </si>
  <si>
    <t>Risk &amp; Cybersecurity Lead</t>
  </si>
  <si>
    <t>Thermo Fisher Scientific Inc. (Main)</t>
  </si>
  <si>
    <t>Melodie</t>
  </si>
  <si>
    <t>Morin</t>
  </si>
  <si>
    <t>melodie.morin@thermofisher.com</t>
  </si>
  <si>
    <t>Compliance</t>
  </si>
  <si>
    <t>Thomas Jefferson</t>
  </si>
  <si>
    <t>Baker</t>
  </si>
  <si>
    <t>chris.baker@jefferson.edu</t>
  </si>
  <si>
    <t>Thomas Jefferson University</t>
  </si>
  <si>
    <t>thomas.ruiz@jefferson.edu</t>
  </si>
  <si>
    <t>Dir. Network Ops/Eng/Sec</t>
  </si>
  <si>
    <t>Tides Medical 11710</t>
  </si>
  <si>
    <t>Henry</t>
  </si>
  <si>
    <t>ahenry@tidesmedical.com</t>
  </si>
  <si>
    <t>tidesmedical.com</t>
  </si>
  <si>
    <t>Doc control</t>
  </si>
  <si>
    <t>Timpel Medical CORP 10408</t>
  </si>
  <si>
    <t>Riqueti</t>
  </si>
  <si>
    <t>gabriel.riqueti@timpelmedical.com</t>
  </si>
  <si>
    <t>timpelmedical.com</t>
  </si>
  <si>
    <t>Development Analyst</t>
  </si>
  <si>
    <t>Torvan Medical</t>
  </si>
  <si>
    <t>btyler@torvanmedical.com</t>
  </si>
  <si>
    <t>torvanmedical.com</t>
  </si>
  <si>
    <t>Engineering supervisor</t>
  </si>
  <si>
    <t>TrackX Technology Inc.</t>
  </si>
  <si>
    <t>Babcock</t>
  </si>
  <si>
    <t>jessica.babcock@trackx.tech</t>
  </si>
  <si>
    <t>trackx.tech</t>
  </si>
  <si>
    <t>Product Development Engineer</t>
  </si>
  <si>
    <t>TrainFES</t>
  </si>
  <si>
    <t>Natalia</t>
  </si>
  <si>
    <t>Vega</t>
  </si>
  <si>
    <t>natalia@trainfes.com</t>
  </si>
  <si>
    <t>trainfes.com</t>
  </si>
  <si>
    <t>Head of Regulatory</t>
  </si>
  <si>
    <t>Trinity Biotech Manufacturing Limited 11802</t>
  </si>
  <si>
    <t>Yvonne</t>
  </si>
  <si>
    <t>Kenny</t>
  </si>
  <si>
    <t>yvonne.kenny@trinitybiotech.com</t>
  </si>
  <si>
    <t>trinitybiotech.com</t>
  </si>
  <si>
    <t>RA Supervisor</t>
  </si>
  <si>
    <t>Trinzo</t>
  </si>
  <si>
    <t>Miriam</t>
  </si>
  <si>
    <t>Kinsella</t>
  </si>
  <si>
    <t>miriamkinsella@trinzo.com</t>
  </si>
  <si>
    <t>trinzo.com</t>
  </si>
  <si>
    <t>Triple Ring</t>
  </si>
  <si>
    <t>Shaheen</t>
  </si>
  <si>
    <t>Jeeawoody</t>
  </si>
  <si>
    <t>sjeeawoody@tripleringtech.com</t>
  </si>
  <si>
    <t>tripleringtech.com</t>
  </si>
  <si>
    <t>senior systems engineer</t>
  </si>
  <si>
    <t>Trudell Medical International</t>
  </si>
  <si>
    <t>Asma</t>
  </si>
  <si>
    <t>Mahmoud</t>
  </si>
  <si>
    <t>asma.hammad@trudellmed.com</t>
  </si>
  <si>
    <t>trudellmed.com</t>
  </si>
  <si>
    <t>Kris Leo</t>
  </si>
  <si>
    <t>Barboza</t>
  </si>
  <si>
    <t>kris.barboza@trudellmed.com</t>
  </si>
  <si>
    <t>Systems Engineering</t>
  </si>
  <si>
    <t>ameyer@trudellmed.com</t>
  </si>
  <si>
    <t>Development Engineer</t>
  </si>
  <si>
    <t>TÜV Rheinland AG</t>
  </si>
  <si>
    <t>Leazenby</t>
  </si>
  <si>
    <t>cherie.leazenby@us.tuv.com</t>
  </si>
  <si>
    <t>us.tuv.com</t>
  </si>
  <si>
    <t>Shahid</t>
  </si>
  <si>
    <t>Jaffery</t>
  </si>
  <si>
    <t>shahid.jaffery@us.tuv.com</t>
  </si>
  <si>
    <t>Lead Auditor Medical</t>
  </si>
  <si>
    <t>Two Harbors Consulting 10353</t>
  </si>
  <si>
    <t>Zack</t>
  </si>
  <si>
    <t>george.zack@twohc.com</t>
  </si>
  <si>
    <t>twohc.com</t>
  </si>
  <si>
    <t>TxBDC</t>
  </si>
  <si>
    <t>Ruchi</t>
  </si>
  <si>
    <t>Verma</t>
  </si>
  <si>
    <t>ruchi.verma@utdallas.edu</t>
  </si>
  <si>
    <t>utdallas.edu</t>
  </si>
  <si>
    <t>Senior Regulatory Engineer</t>
  </si>
  <si>
    <t>Tyrx Pharma, Inc. (Acquired By Medtronic)</t>
  </si>
  <si>
    <t>mam@calamatainc.com</t>
  </si>
  <si>
    <t>calamatainc.com</t>
  </si>
  <si>
    <t>UL Compliance to Performance</t>
  </si>
  <si>
    <t>Crawford</t>
  </si>
  <si>
    <t>heather.crawford@ul.com</t>
  </si>
  <si>
    <t>ul.com</t>
  </si>
  <si>
    <t>Goldman</t>
  </si>
  <si>
    <t>stuart.goldman@ul.com</t>
  </si>
  <si>
    <t>Sr. Consultant</t>
  </si>
  <si>
    <t>Ulrich Medical</t>
  </si>
  <si>
    <t>Hoffmann</t>
  </si>
  <si>
    <t>b.hoffmann@ulrichmedical.com</t>
  </si>
  <si>
    <t>ulrichmedical.com</t>
  </si>
  <si>
    <t>UNC Health</t>
  </si>
  <si>
    <t>william.hall2@unchealth.unc.edu</t>
  </si>
  <si>
    <t>unchealth.unc.edu</t>
  </si>
  <si>
    <t>Uneeg Medical A/S 11949</t>
  </si>
  <si>
    <t>Ditte</t>
  </si>
  <si>
    <t>Bruus</t>
  </si>
  <si>
    <t>dbni@uneeg.com</t>
  </si>
  <si>
    <t>uneeg.com</t>
  </si>
  <si>
    <t>QA/RA Engineer</t>
  </si>
  <si>
    <t>UnilogicHC</t>
  </si>
  <si>
    <t>81444904220</t>
  </si>
  <si>
    <t>Barker</t>
  </si>
  <si>
    <t>cbarker@unilogichealthcare.com</t>
  </si>
  <si>
    <t>IT Security Junior Analyst/IT Support Technician</t>
  </si>
  <si>
    <t>United Musculoskeletal</t>
  </si>
  <si>
    <t>Spivack</t>
  </si>
  <si>
    <t>peter.spivack@umpartners.com</t>
  </si>
  <si>
    <t>umpartners.com</t>
  </si>
  <si>
    <t>Chief Information Officer</t>
  </si>
  <si>
    <t>United Musculoskeletal Partners</t>
  </si>
  <si>
    <t>Krista</t>
  </si>
  <si>
    <t>krista.arndt@umpartners.com</t>
  </si>
  <si>
    <t>University Of Rochester</t>
  </si>
  <si>
    <t>Jeremiah</t>
  </si>
  <si>
    <t>Green</t>
  </si>
  <si>
    <t>jeremiah_green@urmc.rochester.edu</t>
  </si>
  <si>
    <t>urmc.rochester.edu</t>
  </si>
  <si>
    <t>Director of Information Security / Interim Co-CISO</t>
  </si>
  <si>
    <t>USDM, LLC</t>
  </si>
  <si>
    <t>Crowley</t>
  </si>
  <si>
    <t>jcrowley@usdm.com</t>
  </si>
  <si>
    <t>usdm.com</t>
  </si>
  <si>
    <t>VP</t>
  </si>
  <si>
    <t>UVA Health</t>
  </si>
  <si>
    <t>Karl</t>
  </si>
  <si>
    <t>rkz2f@uvahealth.org</t>
  </si>
  <si>
    <t>uvahealth.org</t>
  </si>
  <si>
    <t>Senior Information Security Analyst</t>
  </si>
  <si>
    <t>Varex Imaging</t>
  </si>
  <si>
    <t>81444889682</t>
  </si>
  <si>
    <t>Jatin</t>
  </si>
  <si>
    <t>Trivedi</t>
  </si>
  <si>
    <t>jatin.trivedi@vareximaging.com</t>
  </si>
  <si>
    <t>Manager Cybersecurity and ERP</t>
  </si>
  <si>
    <t>Varian Medical Systems</t>
  </si>
  <si>
    <t>81434355360</t>
  </si>
  <si>
    <t>Kohr</t>
  </si>
  <si>
    <t>jared.kohr@varian.com</t>
  </si>
  <si>
    <t>Cybersecurity Risk Manager</t>
  </si>
  <si>
    <t>81442954363</t>
  </si>
  <si>
    <t>Onyinye</t>
  </si>
  <si>
    <t>Chiejina</t>
  </si>
  <si>
    <t>onyinye.chiejina@varian.com</t>
  </si>
  <si>
    <t>Product Management, Global Cyber Security and Privacy</t>
  </si>
  <si>
    <t>VasSol Inc.</t>
  </si>
  <si>
    <t>rashid</t>
  </si>
  <si>
    <t>riaz</t>
  </si>
  <si>
    <t>rriaz@vassolinc.com</t>
  </si>
  <si>
    <t>vassolinc.com</t>
  </si>
  <si>
    <t>qa/ra</t>
  </si>
  <si>
    <t>Vectura Group</t>
  </si>
  <si>
    <t>Bishop</t>
  </si>
  <si>
    <t>stuart.bishop@vectura.com</t>
  </si>
  <si>
    <t>vectura.com</t>
  </si>
  <si>
    <t>Senior Manager - Software &amp; Electronics Engineering</t>
  </si>
  <si>
    <t>VeeShell</t>
  </si>
  <si>
    <t>Keren</t>
  </si>
  <si>
    <t>Elghouzzi</t>
  </si>
  <si>
    <t>keren@veeshell.com</t>
  </si>
  <si>
    <t>veeshell.com</t>
  </si>
  <si>
    <t>Velentium, LLC 10429</t>
  </si>
  <si>
    <t>Schaffler</t>
  </si>
  <si>
    <t>robert.schaffler@velentium.com</t>
  </si>
  <si>
    <t>velentium.com</t>
  </si>
  <si>
    <t>Director of Development Quality</t>
  </si>
  <si>
    <t>velentiummedical.com</t>
  </si>
  <si>
    <t>123033982758</t>
  </si>
  <si>
    <t>garrett.schumacher@velentiummedical.com</t>
  </si>
  <si>
    <t>Venture Center</t>
  </si>
  <si>
    <t>Akash</t>
  </si>
  <si>
    <t>Dhade</t>
  </si>
  <si>
    <t>akash.dhade@venturecenter.co.in</t>
  </si>
  <si>
    <t>venturecenter.co.in</t>
  </si>
  <si>
    <t>Associate Manager - Regulatory Affairs</t>
  </si>
  <si>
    <t>Verathon Inc., Subsidiary of Roper Technologies, Inc.</t>
  </si>
  <si>
    <t>ken.beck@verathon.com</t>
  </si>
  <si>
    <t>verathon.com</t>
  </si>
  <si>
    <t>Senior Systems Engineer</t>
  </si>
  <si>
    <t>Verify Diagnostics</t>
  </si>
  <si>
    <t>Zwiep</t>
  </si>
  <si>
    <t>n.zwiep@verifydiagnostics.com</t>
  </si>
  <si>
    <t>verifydiagnostics.com</t>
  </si>
  <si>
    <t>RA Manger</t>
  </si>
  <si>
    <t>Vero Biotech</t>
  </si>
  <si>
    <t>Hunter</t>
  </si>
  <si>
    <t>Tuck</t>
  </si>
  <si>
    <t>hunter.tuck@vero-biotech.com</t>
  </si>
  <si>
    <t>vero-biotech.com</t>
  </si>
  <si>
    <t>Viant</t>
  </si>
  <si>
    <t>81441151025</t>
  </si>
  <si>
    <t>Dube</t>
  </si>
  <si>
    <t>nathan.dube@viantmedical.com</t>
  </si>
  <si>
    <t>81443537996</t>
  </si>
  <si>
    <t>Dellapolla</t>
  </si>
  <si>
    <t>michael.dellapolla@viantmedical.com</t>
  </si>
  <si>
    <t>Environmental, Health, Safety, and Security Specialist</t>
  </si>
  <si>
    <t>Viatris</t>
  </si>
  <si>
    <t>Bopp</t>
  </si>
  <si>
    <t>joseph.bopp@viatris.com</t>
  </si>
  <si>
    <t>viatris.com</t>
  </si>
  <si>
    <t>Manager, Information Security Architecture</t>
  </si>
  <si>
    <t>Karen</t>
  </si>
  <si>
    <t>Angelozzi</t>
  </si>
  <si>
    <t>karen.angelozzi@viatris.com</t>
  </si>
  <si>
    <t>Woods</t>
  </si>
  <si>
    <t>michael.woods@viatris.com</t>
  </si>
  <si>
    <t>Director Governance, Risk and Compliance</t>
  </si>
  <si>
    <t>Kerry</t>
  </si>
  <si>
    <t>Thorn</t>
  </si>
  <si>
    <t>kerry.thorn@viatris.com</t>
  </si>
  <si>
    <t>Director, GS</t>
  </si>
  <si>
    <t>Vibra Healthcare</t>
  </si>
  <si>
    <t>81440779911</t>
  </si>
  <si>
    <t>Dwayne</t>
  </si>
  <si>
    <t>dlaird@vibrahealthcare.com</t>
  </si>
  <si>
    <t>Vigilant Ops</t>
  </si>
  <si>
    <t>Alicia</t>
  </si>
  <si>
    <t>Bond</t>
  </si>
  <si>
    <t>alicia.bond@vigilant-ops.com</t>
  </si>
  <si>
    <t>vigilant-ops.com</t>
  </si>
  <si>
    <t>CRO</t>
  </si>
  <si>
    <t>VIOS MEDICAL, A MURATA COMPANY</t>
  </si>
  <si>
    <t>Lansdown</t>
  </si>
  <si>
    <t>john.lansdown@murata.com</t>
  </si>
  <si>
    <t>Director, Quality, Regulatory, &amp; Compliance</t>
  </si>
  <si>
    <t>Vision RT Ltd 11775</t>
  </si>
  <si>
    <t>Andromachi</t>
  </si>
  <si>
    <t>Kaltampani</t>
  </si>
  <si>
    <t>a.kaltampani@voisinconsulting.com</t>
  </si>
  <si>
    <t>voisinconsulting.com</t>
  </si>
  <si>
    <t>Director, Medical Devices</t>
  </si>
  <si>
    <t>Vital Connect, Inc.</t>
  </si>
  <si>
    <t>Cynthia</t>
  </si>
  <si>
    <t>Merrell</t>
  </si>
  <si>
    <t>cynthiamm67@yahoo.com</t>
  </si>
  <si>
    <t>vp qa ra</t>
  </si>
  <si>
    <t>Vitrolife Sweden AB 11954</t>
  </si>
  <si>
    <t>Belinda</t>
  </si>
  <si>
    <t>Dueholm</t>
  </si>
  <si>
    <t>bdueholm@vitrolife.com</t>
  </si>
  <si>
    <t>vitrolife.com</t>
  </si>
  <si>
    <t>Viva Consulting</t>
  </si>
  <si>
    <t>Top</t>
  </si>
  <si>
    <t>stefan.topalovic@vivaconsulting.rs</t>
  </si>
  <si>
    <t>vivaconsulting.rs</t>
  </si>
  <si>
    <t>QA/RA manager</t>
  </si>
  <si>
    <t>Voximetry, Inc. 10760</t>
  </si>
  <si>
    <t>Laurie</t>
  </si>
  <si>
    <t>Conrad</t>
  </si>
  <si>
    <t>lconrad@voximetry.com</t>
  </si>
  <si>
    <t>voximetry.com</t>
  </si>
  <si>
    <t>Schewe</t>
  </si>
  <si>
    <t>jschewe@voximetry.com</t>
  </si>
  <si>
    <t>Requirements &amp; QA Engineer</t>
  </si>
  <si>
    <t>Abhi</t>
  </si>
  <si>
    <t>Chakrabarti</t>
  </si>
  <si>
    <t>achakrabarti@voximetry.com</t>
  </si>
  <si>
    <t>Chief Operating Officer</t>
  </si>
  <si>
    <t>Fuller</t>
  </si>
  <si>
    <t>afuller@voximetry.com</t>
  </si>
  <si>
    <t>Product Leader</t>
  </si>
  <si>
    <t>Kaeder</t>
  </si>
  <si>
    <t>jkaeder@voximetry.com</t>
  </si>
  <si>
    <t>VP Q&amp;R</t>
  </si>
  <si>
    <t>VPH Institute</t>
  </si>
  <si>
    <t>Janaki Raman</t>
  </si>
  <si>
    <t>Rangarajan</t>
  </si>
  <si>
    <t>janaki@vph-institute.org</t>
  </si>
  <si>
    <t>vph-institute.org</t>
  </si>
  <si>
    <t>Scientific Officer</t>
  </si>
  <si>
    <t>Wassenburg Medical B.V.</t>
  </si>
  <si>
    <t>Costello</t>
  </si>
  <si>
    <t>m.costello@wassenburgmedical.com</t>
  </si>
  <si>
    <t>wassenburgmedical.com</t>
  </si>
  <si>
    <t>Director, R&amp;D</t>
  </si>
  <si>
    <t>Thorson</t>
  </si>
  <si>
    <t>k.thorson@wassenburgmedical.com</t>
  </si>
  <si>
    <t>Wayne State University</t>
  </si>
  <si>
    <t>Garrett</t>
  </si>
  <si>
    <t>McManaway</t>
  </si>
  <si>
    <t>bt5527@wayne.edu</t>
  </si>
  <si>
    <t>wayne.edu</t>
  </si>
  <si>
    <t>WellDoc Inc.</t>
  </si>
  <si>
    <t>Leah</t>
  </si>
  <si>
    <t>lsullivan@welldocinc.com</t>
  </si>
  <si>
    <t>welldocinc.com</t>
  </si>
  <si>
    <t>Werfen</t>
  </si>
  <si>
    <t>Khalid</t>
  </si>
  <si>
    <t>Sheikh</t>
  </si>
  <si>
    <t>ksheikh@werfen.com</t>
  </si>
  <si>
    <t>werfen.com</t>
  </si>
  <si>
    <t>Sr. Dir R&amp;D</t>
  </si>
  <si>
    <t>mpaul@werfen.com</t>
  </si>
  <si>
    <t>Roxanne</t>
  </si>
  <si>
    <t>rweber@werfen.com</t>
  </si>
  <si>
    <t>Software Quality Engineer</t>
  </si>
  <si>
    <t>Richa</t>
  </si>
  <si>
    <t>Padhya</t>
  </si>
  <si>
    <t>rpadhya@werfen.com</t>
  </si>
  <si>
    <t>RA Senior Specialist</t>
  </si>
  <si>
    <t>Wenni</t>
  </si>
  <si>
    <t>whaley@werfen.com</t>
  </si>
  <si>
    <t>Senior Principal Specialist, Regulatory Affairs</t>
  </si>
  <si>
    <t>Marston</t>
  </si>
  <si>
    <t>emarston@werfen.com</t>
  </si>
  <si>
    <t>Director PMO</t>
  </si>
  <si>
    <t>Wong</t>
  </si>
  <si>
    <t>vwong1@werfen.com</t>
  </si>
  <si>
    <t>VP, Software Engineering</t>
  </si>
  <si>
    <t>bjames@werfen.com</t>
  </si>
  <si>
    <t>Director, Regulatory Affairs</t>
  </si>
  <si>
    <t>Workiva Inc.</t>
  </si>
  <si>
    <t>Winkelmann</t>
  </si>
  <si>
    <t>matt.winkelmann@workiva.com</t>
  </si>
  <si>
    <t>workiva.com</t>
  </si>
  <si>
    <t>Strategic Sourcing Manager</t>
  </si>
  <si>
    <t>515-766-9071</t>
  </si>
  <si>
    <t>Wsa</t>
  </si>
  <si>
    <t>Klaus</t>
  </si>
  <si>
    <t>Andersen</t>
  </si>
  <si>
    <t>klaus.andersen@wsa.com</t>
  </si>
  <si>
    <t>Quality Process Specialist</t>
  </si>
  <si>
    <t>Wyss Center for Bio and Neuroengineering 10788</t>
  </si>
  <si>
    <t>Christophe</t>
  </si>
  <si>
    <t>vigny</t>
  </si>
  <si>
    <t>christophe.vigny@wysscenter.ch</t>
  </si>
  <si>
    <t>wysscenter.ch</t>
  </si>
  <si>
    <t>SW QA engineer</t>
  </si>
  <si>
    <t>Xcath</t>
  </si>
  <si>
    <t>Ianina</t>
  </si>
  <si>
    <t>Lapko</t>
  </si>
  <si>
    <t>lapko.ianina@xcath.com</t>
  </si>
  <si>
    <t>xcath.com</t>
  </si>
  <si>
    <t>Document control specialist</t>
  </si>
  <si>
    <t>XinRay Systems LLC</t>
  </si>
  <si>
    <t>Spruill</t>
  </si>
  <si>
    <t>ccstato2@hotmail.com</t>
  </si>
  <si>
    <t>N/A</t>
  </si>
  <si>
    <t>Xodus Medical, Inc.</t>
  </si>
  <si>
    <t>SARAH</t>
  </si>
  <si>
    <t>VUJEVICH</t>
  </si>
  <si>
    <t>svujevich@xodusmedical.com</t>
  </si>
  <si>
    <t>xodusmedical.com</t>
  </si>
  <si>
    <t>YLAH</t>
  </si>
  <si>
    <t>Rafal</t>
  </si>
  <si>
    <t>Romanowicz</t>
  </si>
  <si>
    <t>rafal.romanowicz@ylah.ch</t>
  </si>
  <si>
    <t>ylah.ch</t>
  </si>
  <si>
    <t>ZEISS MEDITEC</t>
  </si>
  <si>
    <t>lena.schneider@zeiss.com</t>
  </si>
  <si>
    <t>zeiss.com</t>
  </si>
  <si>
    <t>Zilia Inc. 10144</t>
  </si>
  <si>
    <t>Tremblay</t>
  </si>
  <si>
    <t>genevieve.tremblay@ziliahealth.com</t>
  </si>
  <si>
    <t>ziliahealth.com</t>
  </si>
  <si>
    <t>CRA</t>
  </si>
  <si>
    <t>Karina</t>
  </si>
  <si>
    <t>Leblanc</t>
  </si>
  <si>
    <t>karina.leblanc@ziliahealth.com</t>
  </si>
  <si>
    <t>QA/RA Director</t>
  </si>
  <si>
    <t>diana.martinez@ziliahealth.com</t>
  </si>
  <si>
    <t>QA/RA Specialist</t>
  </si>
  <si>
    <t>Zlife.health</t>
  </si>
  <si>
    <t>Hubert</t>
  </si>
  <si>
    <t>Hausegger</t>
  </si>
  <si>
    <t>hhausegger@zlife.health</t>
  </si>
  <si>
    <t>zlife.health</t>
  </si>
  <si>
    <t>SVP Software Engineering</t>
  </si>
  <si>
    <t>ZS Associates</t>
  </si>
  <si>
    <t>Gourab</t>
  </si>
  <si>
    <t>Saha</t>
  </si>
  <si>
    <t>gourab.saha@zs.com</t>
  </si>
  <si>
    <t>zs.com</t>
  </si>
  <si>
    <t>Information Security Manager</t>
  </si>
  <si>
    <t>Zynex Monitoring Solutions</t>
  </si>
  <si>
    <t>Kugler</t>
  </si>
  <si>
    <t>zkugler@zynex.com</t>
  </si>
  <si>
    <t>(720) 879-3327</t>
  </si>
  <si>
    <t>Severson</t>
  </si>
  <si>
    <t>tseverson@zynex.com</t>
  </si>
  <si>
    <t>rgilbert@zynex.com</t>
  </si>
  <si>
    <t>emcclain@zynex.com</t>
  </si>
  <si>
    <t>Rory</t>
  </si>
  <si>
    <t>Beyer</t>
  </si>
  <si>
    <t>rory@avive.life</t>
  </si>
  <si>
    <t>avive.life</t>
  </si>
  <si>
    <t>Co-Founder &amp; President</t>
  </si>
  <si>
    <t>650-867-7885</t>
  </si>
  <si>
    <t>Santiago</t>
  </si>
  <si>
    <t>Salazar</t>
  </si>
  <si>
    <t>santiago.salazar_benjumea@roche.com</t>
  </si>
  <si>
    <t>Delivery Manager - Digital &amp; Technology</t>
  </si>
  <si>
    <t xml:space="preserve"> +506 6304-3361</t>
  </si>
  <si>
    <t>gwalker@adaptivendo.com</t>
  </si>
  <si>
    <t>Hershel</t>
  </si>
  <si>
    <t>Fancher</t>
  </si>
  <si>
    <t>Kayra</t>
  </si>
  <si>
    <t>Otaner</t>
  </si>
  <si>
    <t>kayra.otaner@roche.com</t>
  </si>
  <si>
    <t>Spezzacatena</t>
  </si>
  <si>
    <t>daniel.spezzacatena@sentec.com</t>
  </si>
  <si>
    <t>Head of Software Development</t>
  </si>
  <si>
    <t>Krammer</t>
  </si>
  <si>
    <t>peter.krammer@sentec.com</t>
  </si>
  <si>
    <t>Product Development Manager</t>
  </si>
  <si>
    <t>Kurt</t>
  </si>
  <si>
    <t>Griggs</t>
  </si>
  <si>
    <t>griggs.kurt@mayo.edu</t>
  </si>
  <si>
    <t>HTM Manager Information Security</t>
  </si>
  <si>
    <t>gary.shields@datrend.com</t>
  </si>
  <si>
    <t>Head of Product Development</t>
  </si>
  <si>
    <t>Andreas</t>
  </si>
  <si>
    <t>Cloos</t>
  </si>
  <si>
    <t>andreas.cloos@union-investment.de</t>
  </si>
  <si>
    <t>union-investment.de</t>
  </si>
  <si>
    <t>01515 5157302</t>
  </si>
  <si>
    <t>Nisha</t>
  </si>
  <si>
    <t>Datta</t>
  </si>
  <si>
    <t>nisha.datta@integralife.com</t>
  </si>
  <si>
    <t>Senior Project Manager</t>
  </si>
  <si>
    <t>Sunil</t>
  </si>
  <si>
    <t>Shenoy</t>
  </si>
  <si>
    <t>sunil.shenoy@integralife.com</t>
  </si>
  <si>
    <t>Kay Uwe</t>
  </si>
  <si>
    <t>Amthor</t>
  </si>
  <si>
    <t>kay-uwe.amthor@od-os.com</t>
  </si>
  <si>
    <t>od-os.com</t>
  </si>
  <si>
    <t>Director R &amp; D Hardware</t>
  </si>
  <si>
    <t xml:space="preserve"> +49 172 3243 266</t>
  </si>
  <si>
    <t>mark@leocancercare.com</t>
  </si>
  <si>
    <t>leocancercare.com</t>
  </si>
  <si>
    <t>Balapesala</t>
  </si>
  <si>
    <t>balapesala@adiuvodiagnostics.com</t>
  </si>
  <si>
    <t>adiuvodiagnostics.com</t>
  </si>
  <si>
    <t>alexis.mcguire@gdit.com</t>
  </si>
  <si>
    <t>gdit.com</t>
  </si>
  <si>
    <t>VP, Chief Supply Chain Officer</t>
  </si>
  <si>
    <t>Caitlyn</t>
  </si>
  <si>
    <t>caitlyn.wilson@gdit.com</t>
  </si>
  <si>
    <t>Sr. Director, Supply Chain Risk and Program Management</t>
  </si>
  <si>
    <t>Harford</t>
  </si>
  <si>
    <t>rob.harford@convatec.com</t>
  </si>
  <si>
    <t>convatec.com</t>
  </si>
  <si>
    <t>Keegan</t>
  </si>
  <si>
    <t>lkeegan@novabio.com</t>
  </si>
  <si>
    <t>novabio.com</t>
  </si>
  <si>
    <t>Supply Chain</t>
  </si>
  <si>
    <t>Rich</t>
  </si>
  <si>
    <t>Auren</t>
  </si>
  <si>
    <t>rauren@novabio.com</t>
  </si>
  <si>
    <t>Director of Instrumentation Software</t>
  </si>
  <si>
    <t>Greenspan</t>
  </si>
  <si>
    <t>larry_greenspan@bd.com</t>
  </si>
  <si>
    <t>Schumacher</t>
  </si>
  <si>
    <t>garrett.schumacher@velentium.com</t>
  </si>
  <si>
    <t>Technical Director of Product Security</t>
  </si>
  <si>
    <t>Vieira</t>
  </si>
  <si>
    <t>kyle.vieira@vibrint.com</t>
  </si>
  <si>
    <t>vibrint.com</t>
  </si>
  <si>
    <t>Lindstrom</t>
  </si>
  <si>
    <t>thomas.lindstrom@micropos.se</t>
  </si>
  <si>
    <t>micropos.se</t>
  </si>
  <si>
    <t>Chief Executive Officer</t>
  </si>
  <si>
    <t>Keiji</t>
  </si>
  <si>
    <t>Watarai</t>
  </si>
  <si>
    <t>keiji_watarai@nihonkohden.com</t>
  </si>
  <si>
    <t>Technical Service Engineer</t>
  </si>
  <si>
    <t>Boyd</t>
  </si>
  <si>
    <t>victor_boyd@nihonkohden.com</t>
  </si>
  <si>
    <t>Information Deputy Chief &amp; Cybersecurity Officer</t>
  </si>
  <si>
    <t>949.329.8658</t>
  </si>
  <si>
    <t>Mukund</t>
  </si>
  <si>
    <t>Ramamurthy</t>
  </si>
  <si>
    <t>mukund@adiuvodiagnostics.com</t>
  </si>
  <si>
    <t>Rotiroti</t>
  </si>
  <si>
    <t>joe.rotiroti@vibrint.com</t>
  </si>
  <si>
    <t>Solution Consultant</t>
  </si>
  <si>
    <t>Nate</t>
  </si>
  <si>
    <t>Koenig</t>
  </si>
  <si>
    <t>nate@lazamedical.com</t>
  </si>
  <si>
    <t>Senior Manager System Software</t>
  </si>
  <si>
    <t>Judd</t>
  </si>
  <si>
    <t>Guericke</t>
  </si>
  <si>
    <t>judd.guericke@elucent.com</t>
  </si>
  <si>
    <t>Vice President, Regulatory and Quality</t>
  </si>
  <si>
    <t>Tyson</t>
  </si>
  <si>
    <t>Lamoureux</t>
  </si>
  <si>
    <t>tyson.lamoureux@karlstorz.com</t>
  </si>
  <si>
    <t>karlstorz.com</t>
  </si>
  <si>
    <t>Product Cybersecurity Specialist</t>
  </si>
  <si>
    <t>Lisk</t>
  </si>
  <si>
    <t>joseph.lisk@karlstorz.com</t>
  </si>
  <si>
    <t>Group Product Manager</t>
  </si>
  <si>
    <t>Christy</t>
  </si>
  <si>
    <t>Gaudet</t>
  </si>
  <si>
    <t>christianne.gaudet@karlstorz.com</t>
  </si>
  <si>
    <t>Vice President, Emerging Technologies</t>
  </si>
  <si>
    <t>Ruth</t>
  </si>
  <si>
    <t>rcruth@beckman.com</t>
  </si>
  <si>
    <t>Vice President, Global Product Tech Support</t>
  </si>
  <si>
    <t>Rembelski</t>
  </si>
  <si>
    <t>mwrembelski@beckman.com</t>
  </si>
  <si>
    <t>Vice President, Global Service</t>
  </si>
  <si>
    <t>Kovarik</t>
  </si>
  <si>
    <t>mike.kovarik@workiva.com</t>
  </si>
  <si>
    <t>Staff Application Security Engineer</t>
  </si>
  <si>
    <t>DeSensi</t>
  </si>
  <si>
    <t>frank.desensi@bayer.com</t>
  </si>
  <si>
    <t>chad.williams@bayer.com</t>
  </si>
  <si>
    <t>Head of Radiology Cybersecurity</t>
  </si>
  <si>
    <t>dean@leocancercare.com</t>
  </si>
  <si>
    <t>European Sales Director</t>
  </si>
  <si>
    <t>Watkins</t>
  </si>
  <si>
    <t>cwatkins@zynex.com</t>
  </si>
  <si>
    <t>Director of Product Management</t>
  </si>
  <si>
    <t>Starke</t>
  </si>
  <si>
    <t>Moore</t>
  </si>
  <si>
    <t>starke.moore@ascensia.com</t>
  </si>
  <si>
    <t>Application Security Manager</t>
  </si>
  <si>
    <t>863 624 4053</t>
  </si>
  <si>
    <t>Bergqvist</t>
  </si>
  <si>
    <t>andreas.bergqvist@micropos.se</t>
  </si>
  <si>
    <t>Kirt</t>
  </si>
  <si>
    <t>Haden</t>
  </si>
  <si>
    <t>khaden@waveneuro.com</t>
  </si>
  <si>
    <t>waveneuro.com</t>
  </si>
  <si>
    <t>Director of Software &amp; Technology</t>
  </si>
  <si>
    <t>Benavidez</t>
  </si>
  <si>
    <t>brian.benavidez@biotronik.com</t>
  </si>
  <si>
    <t>biotronik.com</t>
  </si>
  <si>
    <t>Tariq</t>
  </si>
  <si>
    <t>Khurshid</t>
  </si>
  <si>
    <t>tkhurshid@aol.com</t>
  </si>
  <si>
    <t>aol.com</t>
  </si>
  <si>
    <t>Gea</t>
  </si>
  <si>
    <t>Bianchi</t>
  </si>
  <si>
    <t>gea.bianchi@hotmail.it</t>
  </si>
  <si>
    <t>hotmail.it</t>
  </si>
  <si>
    <t>SW quality engineer</t>
  </si>
  <si>
    <t>Irizarry</t>
  </si>
  <si>
    <t>elmer_irizarry@yahoo.com</t>
  </si>
  <si>
    <t>former Sterilization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</si>
</sst>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164" fontId="4" fillId="0" borderId="0" xfId="0" applyNumberFormat="1" applyFont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closedloopmedicine.com/" TargetMode="External"/><Relationship Id="rId671" Type="http://schemas.openxmlformats.org/officeDocument/2006/relationships/hyperlink" Target="http://bayer.com/" TargetMode="External"/><Relationship Id="rId21" Type="http://schemas.openxmlformats.org/officeDocument/2006/relationships/hyperlink" Target="http://agilent.com/" TargetMode="External"/><Relationship Id="rId324" Type="http://schemas.openxmlformats.org/officeDocument/2006/relationships/hyperlink" Target="http://mdcsjapan.com/" TargetMode="External"/><Relationship Id="rId531" Type="http://schemas.openxmlformats.org/officeDocument/2006/relationships/hyperlink" Target="http://steris.com/" TargetMode="External"/><Relationship Id="rId629" Type="http://schemas.openxmlformats.org/officeDocument/2006/relationships/hyperlink" Target="http://ziliahealth.com/" TargetMode="External"/><Relationship Id="rId170" Type="http://schemas.openxmlformats.org/officeDocument/2006/relationships/hyperlink" Target="http://dv7engineering.com/" TargetMode="External"/><Relationship Id="rId268" Type="http://schemas.openxmlformats.org/officeDocument/2006/relationships/hyperlink" Target="http://integralife.com/" TargetMode="External"/><Relationship Id="rId475" Type="http://schemas.openxmlformats.org/officeDocument/2006/relationships/hyperlink" Target="http://scouthealth.com/" TargetMode="External"/><Relationship Id="rId32" Type="http://schemas.openxmlformats.org/officeDocument/2006/relationships/hyperlink" Target="http://analog.com/" TargetMode="External"/><Relationship Id="rId128" Type="http://schemas.openxmlformats.org/officeDocument/2006/relationships/hyperlink" Target="http://commonspirit.org/" TargetMode="External"/><Relationship Id="rId335" Type="http://schemas.openxmlformats.org/officeDocument/2006/relationships/hyperlink" Target="http://mediview.com/" TargetMode="External"/><Relationship Id="rId542" Type="http://schemas.openxmlformats.org/officeDocument/2006/relationships/hyperlink" Target="http://tenable.com/" TargetMode="External"/><Relationship Id="rId181" Type="http://schemas.openxmlformats.org/officeDocument/2006/relationships/hyperlink" Target="http://elypta.com/" TargetMode="External"/><Relationship Id="rId402" Type="http://schemas.openxmlformats.org/officeDocument/2006/relationships/hyperlink" Target="http://nihonkohden.com/" TargetMode="External"/><Relationship Id="rId279" Type="http://schemas.openxmlformats.org/officeDocument/2006/relationships/hyperlink" Target="http://johnminier.com/" TargetMode="External"/><Relationship Id="rId486" Type="http://schemas.openxmlformats.org/officeDocument/2006/relationships/hyperlink" Target="http://siemens-healthineers.com/" TargetMode="External"/><Relationship Id="rId43" Type="http://schemas.openxmlformats.org/officeDocument/2006/relationships/hyperlink" Target="http://ascensia.com/" TargetMode="External"/><Relationship Id="rId139" Type="http://schemas.openxmlformats.org/officeDocument/2006/relationships/hyperlink" Target="http://coopersurgical.com/" TargetMode="External"/><Relationship Id="rId346" Type="http://schemas.openxmlformats.org/officeDocument/2006/relationships/hyperlink" Target="http://medtronic.com/" TargetMode="External"/><Relationship Id="rId553" Type="http://schemas.openxmlformats.org/officeDocument/2006/relationships/hyperlink" Target="http://metrohealth.org/" TargetMode="External"/><Relationship Id="rId192" Type="http://schemas.openxmlformats.org/officeDocument/2006/relationships/hyperlink" Target="http://entechmedical.com/" TargetMode="External"/><Relationship Id="rId206" Type="http://schemas.openxmlformats.org/officeDocument/2006/relationships/hyperlink" Target="http://fresenius-kabi.com/" TargetMode="External"/><Relationship Id="rId413" Type="http://schemas.openxmlformats.org/officeDocument/2006/relationships/hyperlink" Target="http://olympus.com/" TargetMode="External"/><Relationship Id="rId497" Type="http://schemas.openxmlformats.org/officeDocument/2006/relationships/hyperlink" Target="http://sonraianalytics.com/" TargetMode="External"/><Relationship Id="rId620" Type="http://schemas.openxmlformats.org/officeDocument/2006/relationships/hyperlink" Target="http://werfen.com/" TargetMode="External"/><Relationship Id="rId357" Type="http://schemas.openxmlformats.org/officeDocument/2006/relationships/hyperlink" Target="http://mtidx.com/" TargetMode="External"/><Relationship Id="rId54" Type="http://schemas.openxmlformats.org/officeDocument/2006/relationships/hyperlink" Target="http://verizon.net/" TargetMode="External"/><Relationship Id="rId217" Type="http://schemas.openxmlformats.org/officeDocument/2006/relationships/hyperlink" Target="http://globusmedical.com/" TargetMode="External"/><Relationship Id="rId564" Type="http://schemas.openxmlformats.org/officeDocument/2006/relationships/hyperlink" Target="http://trinitybiotech.com/" TargetMode="External"/><Relationship Id="rId424" Type="http://schemas.openxmlformats.org/officeDocument/2006/relationships/hyperlink" Target="http://hyh.com/" TargetMode="External"/><Relationship Id="rId631" Type="http://schemas.openxmlformats.org/officeDocument/2006/relationships/hyperlink" Target="http://ziliahealth.com/" TargetMode="External"/><Relationship Id="rId270" Type="http://schemas.openxmlformats.org/officeDocument/2006/relationships/hyperlink" Target="http://inventionsynergy.com/" TargetMode="External"/><Relationship Id="rId65" Type="http://schemas.openxmlformats.org/officeDocument/2006/relationships/hyperlink" Target="http://bayer.com/" TargetMode="External"/><Relationship Id="rId130" Type="http://schemas.openxmlformats.org/officeDocument/2006/relationships/hyperlink" Target="http://ecommunity.com/" TargetMode="External"/><Relationship Id="rId368" Type="http://schemas.openxmlformats.org/officeDocument/2006/relationships/hyperlink" Target="http://mobiusmobility.com/" TargetMode="External"/><Relationship Id="rId575" Type="http://schemas.openxmlformats.org/officeDocument/2006/relationships/hyperlink" Target="http://ul.com/" TargetMode="External"/><Relationship Id="rId228" Type="http://schemas.openxmlformats.org/officeDocument/2006/relationships/hyperlink" Target="http://hcahealthcare.com/" TargetMode="External"/><Relationship Id="rId435" Type="http://schemas.openxmlformats.org/officeDocument/2006/relationships/hyperlink" Target="http://philips.com/" TargetMode="External"/><Relationship Id="rId642" Type="http://schemas.openxmlformats.org/officeDocument/2006/relationships/hyperlink" Target="http://mayo.edu/" TargetMode="External"/><Relationship Id="rId281" Type="http://schemas.openxmlformats.org/officeDocument/2006/relationships/hyperlink" Target="http://its.jnj.com/" TargetMode="External"/><Relationship Id="rId502" Type="http://schemas.openxmlformats.org/officeDocument/2006/relationships/hyperlink" Target="http://medtronic.com/" TargetMode="External"/><Relationship Id="rId76" Type="http://schemas.openxmlformats.org/officeDocument/2006/relationships/hyperlink" Target="http://beckman.com/" TargetMode="External"/><Relationship Id="rId141" Type="http://schemas.openxmlformats.org/officeDocument/2006/relationships/hyperlink" Target="http://cortexep.com/" TargetMode="External"/><Relationship Id="rId379" Type="http://schemas.openxmlformats.org/officeDocument/2006/relationships/hyperlink" Target="http://murata.com/" TargetMode="External"/><Relationship Id="rId586" Type="http://schemas.openxmlformats.org/officeDocument/2006/relationships/hyperlink" Target="http://vectura.com/" TargetMode="External"/><Relationship Id="rId7" Type="http://schemas.openxmlformats.org/officeDocument/2006/relationships/hyperlink" Target="http://abbvie.com/" TargetMode="External"/><Relationship Id="rId239" Type="http://schemas.openxmlformats.org/officeDocument/2006/relationships/hyperlink" Target="http://healthy.io/" TargetMode="External"/><Relationship Id="rId446" Type="http://schemas.openxmlformats.org/officeDocument/2006/relationships/hyperlink" Target="http://proximacro.com/" TargetMode="External"/><Relationship Id="rId653" Type="http://schemas.openxmlformats.org/officeDocument/2006/relationships/hyperlink" Target="http://novabio.com/" TargetMode="External"/><Relationship Id="rId292" Type="http://schemas.openxmlformats.org/officeDocument/2006/relationships/hyperlink" Target="http://kentimaging.com/" TargetMode="External"/><Relationship Id="rId306" Type="http://schemas.openxmlformats.org/officeDocument/2006/relationships/hyperlink" Target="http://lexitek.com/" TargetMode="External"/><Relationship Id="rId87" Type="http://schemas.openxmlformats.org/officeDocument/2006/relationships/hyperlink" Target="http://bracco.com/" TargetMode="External"/><Relationship Id="rId513" Type="http://schemas.openxmlformats.org/officeDocument/2006/relationships/hyperlink" Target="http://strategoinc.com/" TargetMode="External"/><Relationship Id="rId597" Type="http://schemas.openxmlformats.org/officeDocument/2006/relationships/hyperlink" Target="http://vigilant-ops.com/" TargetMode="External"/><Relationship Id="rId152" Type="http://schemas.openxmlformats.org/officeDocument/2006/relationships/hyperlink" Target="http://dekaresearch.com/" TargetMode="External"/><Relationship Id="rId457" Type="http://schemas.openxmlformats.org/officeDocument/2006/relationships/hyperlink" Target="http://rapiddosimetry.com/" TargetMode="External"/><Relationship Id="rId664" Type="http://schemas.openxmlformats.org/officeDocument/2006/relationships/hyperlink" Target="http://elucent.com/" TargetMode="External"/><Relationship Id="rId14" Type="http://schemas.openxmlformats.org/officeDocument/2006/relationships/hyperlink" Target="http://activeprotective.com/" TargetMode="External"/><Relationship Id="rId317" Type="http://schemas.openxmlformats.org/officeDocument/2006/relationships/hyperlink" Target="http://mnk.com/" TargetMode="External"/><Relationship Id="rId524" Type="http://schemas.openxmlformats.org/officeDocument/2006/relationships/hyperlink" Target="http://surmodics.com/" TargetMode="External"/><Relationship Id="rId98" Type="http://schemas.openxmlformats.org/officeDocument/2006/relationships/hyperlink" Target="http://cambiahealth.com/" TargetMode="External"/><Relationship Id="rId163" Type="http://schemas.openxmlformats.org/officeDocument/2006/relationships/hyperlink" Target="http://directhealthcaregroup.com/" TargetMode="External"/><Relationship Id="rId370" Type="http://schemas.openxmlformats.org/officeDocument/2006/relationships/hyperlink" Target="http://molinahealthcare.com/" TargetMode="External"/><Relationship Id="rId230" Type="http://schemas.openxmlformats.org/officeDocument/2006/relationships/hyperlink" Target="http://hcdpbc.org/" TargetMode="External"/><Relationship Id="rId468" Type="http://schemas.openxmlformats.org/officeDocument/2006/relationships/hyperlink" Target="http://rosapharma.pt/" TargetMode="External"/><Relationship Id="rId675" Type="http://schemas.openxmlformats.org/officeDocument/2006/relationships/hyperlink" Target="http://ascensia.com/" TargetMode="External"/><Relationship Id="rId25" Type="http://schemas.openxmlformats.org/officeDocument/2006/relationships/hyperlink" Target="http://alexza.com/" TargetMode="External"/><Relationship Id="rId328" Type="http://schemas.openxmlformats.org/officeDocument/2006/relationships/hyperlink" Target="http://michealthcare.com/" TargetMode="External"/><Relationship Id="rId535" Type="http://schemas.openxmlformats.org/officeDocument/2006/relationships/hyperlink" Target="http://tgh.org/" TargetMode="External"/><Relationship Id="rId174" Type="http://schemas.openxmlformats.org/officeDocument/2006/relationships/hyperlink" Target="http://elekta.com/" TargetMode="External"/><Relationship Id="rId381" Type="http://schemas.openxmlformats.org/officeDocument/2006/relationships/hyperlink" Target="http://outlook.com/" TargetMode="External"/><Relationship Id="rId602" Type="http://schemas.openxmlformats.org/officeDocument/2006/relationships/hyperlink" Target="http://vivaconsulting.rs/" TargetMode="External"/><Relationship Id="rId241" Type="http://schemas.openxmlformats.org/officeDocument/2006/relationships/hyperlink" Target="http://heartflow.com/" TargetMode="External"/><Relationship Id="rId479" Type="http://schemas.openxmlformats.org/officeDocument/2006/relationships/hyperlink" Target="http://sentec.com/" TargetMode="External"/><Relationship Id="rId36" Type="http://schemas.openxmlformats.org/officeDocument/2006/relationships/hyperlink" Target="http://apricity.ai/" TargetMode="External"/><Relationship Id="rId339" Type="http://schemas.openxmlformats.org/officeDocument/2006/relationships/hyperlink" Target="http://medline.com/" TargetMode="External"/><Relationship Id="rId546" Type="http://schemas.openxmlformats.org/officeDocument/2006/relationships/hyperlink" Target="http://terumoaortic.com/" TargetMode="External"/><Relationship Id="rId101" Type="http://schemas.openxmlformats.org/officeDocument/2006/relationships/hyperlink" Target="http://bioserenity.com/" TargetMode="External"/><Relationship Id="rId185" Type="http://schemas.openxmlformats.org/officeDocument/2006/relationships/hyperlink" Target="http://embecta.com/" TargetMode="External"/><Relationship Id="rId406" Type="http://schemas.openxmlformats.org/officeDocument/2006/relationships/hyperlink" Target="http://nurixtx.com/" TargetMode="External"/><Relationship Id="rId392" Type="http://schemas.openxmlformats.org/officeDocument/2006/relationships/hyperlink" Target="http://neurobell.com/" TargetMode="External"/><Relationship Id="rId613" Type="http://schemas.openxmlformats.org/officeDocument/2006/relationships/hyperlink" Target="http://werfen.com/" TargetMode="External"/><Relationship Id="rId252" Type="http://schemas.openxmlformats.org/officeDocument/2006/relationships/hyperlink" Target="http://hollister.com/" TargetMode="External"/><Relationship Id="rId47" Type="http://schemas.openxmlformats.org/officeDocument/2006/relationships/hyperlink" Target="http://auslromagna.it/" TargetMode="External"/><Relationship Id="rId112" Type="http://schemas.openxmlformats.org/officeDocument/2006/relationships/hyperlink" Target="http://crl.com/" TargetMode="External"/><Relationship Id="rId557" Type="http://schemas.openxmlformats.org/officeDocument/2006/relationships/hyperlink" Target="http://thermofisher.com/" TargetMode="External"/><Relationship Id="rId196" Type="http://schemas.openxmlformats.org/officeDocument/2006/relationships/hyperlink" Target="http://evondos.com/" TargetMode="External"/><Relationship Id="rId417" Type="http://schemas.openxmlformats.org/officeDocument/2006/relationships/hyperlink" Target="http://changehealthcare.com/" TargetMode="External"/><Relationship Id="rId624" Type="http://schemas.openxmlformats.org/officeDocument/2006/relationships/hyperlink" Target="http://xcath.com/" TargetMode="External"/><Relationship Id="rId263" Type="http://schemas.openxmlformats.org/officeDocument/2006/relationships/hyperlink" Target="http://ptsdiagnostics.com/" TargetMode="External"/><Relationship Id="rId470" Type="http://schemas.openxmlformats.org/officeDocument/2006/relationships/hyperlink" Target="http://safcodental.com/" TargetMode="External"/><Relationship Id="rId58" Type="http://schemas.openxmlformats.org/officeDocument/2006/relationships/hyperlink" Target="http://vantive.com/" TargetMode="External"/><Relationship Id="rId123" Type="http://schemas.openxmlformats.org/officeDocument/2006/relationships/hyperlink" Target="http://cmrsurgical.com/" TargetMode="External"/><Relationship Id="rId330" Type="http://schemas.openxmlformats.org/officeDocument/2006/relationships/hyperlink" Target="http://medicept.com/" TargetMode="External"/><Relationship Id="rId568" Type="http://schemas.openxmlformats.org/officeDocument/2006/relationships/hyperlink" Target="http://trudellmed.com/" TargetMode="External"/><Relationship Id="rId428" Type="http://schemas.openxmlformats.org/officeDocument/2006/relationships/hyperlink" Target="http://pg.com/" TargetMode="External"/><Relationship Id="rId635" Type="http://schemas.openxmlformats.org/officeDocument/2006/relationships/hyperlink" Target="http://zynex.com/" TargetMode="External"/><Relationship Id="rId274" Type="http://schemas.openxmlformats.org/officeDocument/2006/relationships/hyperlink" Target="http://ips-yes.com/" TargetMode="External"/><Relationship Id="rId481" Type="http://schemas.openxmlformats.org/officeDocument/2006/relationships/hyperlink" Target="http://sgs.com/" TargetMode="External"/><Relationship Id="rId69" Type="http://schemas.openxmlformats.org/officeDocument/2006/relationships/hyperlink" Target="http://bayer.com/" TargetMode="External"/><Relationship Id="rId134" Type="http://schemas.openxmlformats.org/officeDocument/2006/relationships/hyperlink" Target="http://conmed.com/" TargetMode="External"/><Relationship Id="rId579" Type="http://schemas.openxmlformats.org/officeDocument/2006/relationships/hyperlink" Target="http://uneeg.com/" TargetMode="External"/><Relationship Id="rId341" Type="http://schemas.openxmlformats.org/officeDocument/2006/relationships/hyperlink" Target="http://invent-medical.com/" TargetMode="External"/><Relationship Id="rId439" Type="http://schemas.openxmlformats.org/officeDocument/2006/relationships/hyperlink" Target="http://ptsdiagnostics.com/" TargetMode="External"/><Relationship Id="rId646" Type="http://schemas.openxmlformats.org/officeDocument/2006/relationships/hyperlink" Target="http://integralife.com/" TargetMode="External"/><Relationship Id="rId201" Type="http://schemas.openxmlformats.org/officeDocument/2006/relationships/hyperlink" Target="http://exini.com/" TargetMode="External"/><Relationship Id="rId285" Type="http://schemas.openxmlformats.org/officeDocument/2006/relationships/hyperlink" Target="http://kaimaging.com/" TargetMode="External"/><Relationship Id="rId506" Type="http://schemas.openxmlformats.org/officeDocument/2006/relationships/hyperlink" Target="http://spinreact.com/" TargetMode="External"/><Relationship Id="rId492" Type="http://schemas.openxmlformats.org/officeDocument/2006/relationships/hyperlink" Target="http://smartbreast.com/" TargetMode="External"/><Relationship Id="rId91" Type="http://schemas.openxmlformats.org/officeDocument/2006/relationships/hyperlink" Target="http://bms.com/" TargetMode="External"/><Relationship Id="rId145" Type="http://schemas.openxmlformats.org/officeDocument/2006/relationships/hyperlink" Target="http://aetna.com/" TargetMode="External"/><Relationship Id="rId187" Type="http://schemas.openxmlformats.org/officeDocument/2006/relationships/hyperlink" Target="http://engenio.us/" TargetMode="External"/><Relationship Id="rId352" Type="http://schemas.openxmlformats.org/officeDocument/2006/relationships/hyperlink" Target="http://merck.com/" TargetMode="External"/><Relationship Id="rId394" Type="http://schemas.openxmlformats.org/officeDocument/2006/relationships/hyperlink" Target="http://neuroelectrics.com/" TargetMode="External"/><Relationship Id="rId408" Type="http://schemas.openxmlformats.org/officeDocument/2006/relationships/hyperlink" Target="http://occuity.com/" TargetMode="External"/><Relationship Id="rId615" Type="http://schemas.openxmlformats.org/officeDocument/2006/relationships/hyperlink" Target="http://werfen.com/" TargetMode="External"/><Relationship Id="rId212" Type="http://schemas.openxmlformats.org/officeDocument/2006/relationships/hyperlink" Target="http://gaia-group.com/" TargetMode="External"/><Relationship Id="rId254" Type="http://schemas.openxmlformats.org/officeDocument/2006/relationships/hyperlink" Target="http://hologic.com/" TargetMode="External"/><Relationship Id="rId657" Type="http://schemas.openxmlformats.org/officeDocument/2006/relationships/hyperlink" Target="http://vibrint.com/" TargetMode="External"/><Relationship Id="rId49" Type="http://schemas.openxmlformats.org/officeDocument/2006/relationships/hyperlink" Target="http://avicenna.ai/" TargetMode="External"/><Relationship Id="rId114" Type="http://schemas.openxmlformats.org/officeDocument/2006/relationships/hyperlink" Target="http://cisecurity.org/" TargetMode="External"/><Relationship Id="rId296" Type="http://schemas.openxmlformats.org/officeDocument/2006/relationships/hyperlink" Target="http://k-invent.com/" TargetMode="External"/><Relationship Id="rId461" Type="http://schemas.openxmlformats.org/officeDocument/2006/relationships/hyperlink" Target="http://propellerhealth.com/" TargetMode="External"/><Relationship Id="rId517" Type="http://schemas.openxmlformats.org/officeDocument/2006/relationships/hyperlink" Target="http://stryker.com/" TargetMode="External"/><Relationship Id="rId559" Type="http://schemas.openxmlformats.org/officeDocument/2006/relationships/hyperlink" Target="http://jefferson.edu/" TargetMode="External"/><Relationship Id="rId60" Type="http://schemas.openxmlformats.org/officeDocument/2006/relationships/hyperlink" Target="http://baxter.com/" TargetMode="External"/><Relationship Id="rId156" Type="http://schemas.openxmlformats.org/officeDocument/2006/relationships/hyperlink" Target="http://drconsulting.co.za/" TargetMode="External"/><Relationship Id="rId198" Type="http://schemas.openxmlformats.org/officeDocument/2006/relationships/hyperlink" Target="http://exactsciences.com/" TargetMode="External"/><Relationship Id="rId321" Type="http://schemas.openxmlformats.org/officeDocument/2006/relationships/hyperlink" Target="http://mayo.edu/" TargetMode="External"/><Relationship Id="rId363" Type="http://schemas.openxmlformats.org/officeDocument/2006/relationships/hyperlink" Target="http://mimsoftware.com/" TargetMode="External"/><Relationship Id="rId419" Type="http://schemas.openxmlformats.org/officeDocument/2006/relationships/hyperlink" Target="http://orlandohealth.com/" TargetMode="External"/><Relationship Id="rId570" Type="http://schemas.openxmlformats.org/officeDocument/2006/relationships/hyperlink" Target="http://us.tuv.com/" TargetMode="External"/><Relationship Id="rId626" Type="http://schemas.openxmlformats.org/officeDocument/2006/relationships/hyperlink" Target="http://xodusmedical.com/" TargetMode="External"/><Relationship Id="rId223" Type="http://schemas.openxmlformats.org/officeDocument/2006/relationships/hyperlink" Target="http://guerbet.com/" TargetMode="External"/><Relationship Id="rId430" Type="http://schemas.openxmlformats.org/officeDocument/2006/relationships/hyperlink" Target="http://pasbtech.com/" TargetMode="External"/><Relationship Id="rId668" Type="http://schemas.openxmlformats.org/officeDocument/2006/relationships/hyperlink" Target="http://beckman.com/" TargetMode="External"/><Relationship Id="rId18" Type="http://schemas.openxmlformats.org/officeDocument/2006/relationships/hyperlink" Target="http://adaptivendo.com/" TargetMode="External"/><Relationship Id="rId265" Type="http://schemas.openxmlformats.org/officeDocument/2006/relationships/hyperlink" Target="http://indivi.io/" TargetMode="External"/><Relationship Id="rId472" Type="http://schemas.openxmlformats.org/officeDocument/2006/relationships/hyperlink" Target="http://saraya.com/" TargetMode="External"/><Relationship Id="rId528" Type="http://schemas.openxmlformats.org/officeDocument/2006/relationships/hyperlink" Target="http://steris.com/" TargetMode="External"/><Relationship Id="rId125" Type="http://schemas.openxmlformats.org/officeDocument/2006/relationships/hyperlink" Target="http://comate.be/" TargetMode="External"/><Relationship Id="rId167" Type="http://schemas.openxmlformats.org/officeDocument/2006/relationships/hyperlink" Target="http://domorediagnostics.com/" TargetMode="External"/><Relationship Id="rId332" Type="http://schemas.openxmlformats.org/officeDocument/2006/relationships/hyperlink" Target="http://medisimaging.com/" TargetMode="External"/><Relationship Id="rId374" Type="http://schemas.openxmlformats.org/officeDocument/2006/relationships/hyperlink" Target="http://moog.com/" TargetMode="External"/><Relationship Id="rId581" Type="http://schemas.openxmlformats.org/officeDocument/2006/relationships/hyperlink" Target="http://umpartners.com/" TargetMode="External"/><Relationship Id="rId71" Type="http://schemas.openxmlformats.org/officeDocument/2006/relationships/hyperlink" Target="http://bayer.com/" TargetMode="External"/><Relationship Id="rId234" Type="http://schemas.openxmlformats.org/officeDocument/2006/relationships/hyperlink" Target="http://healthfirst.org/" TargetMode="External"/><Relationship Id="rId637" Type="http://schemas.openxmlformats.org/officeDocument/2006/relationships/hyperlink" Target="http://roche.com/" TargetMode="External"/><Relationship Id="rId679" Type="http://schemas.openxmlformats.org/officeDocument/2006/relationships/hyperlink" Target="http://aol.com/" TargetMode="External"/><Relationship Id="rId2" Type="http://schemas.openxmlformats.org/officeDocument/2006/relationships/hyperlink" Target="http://3eohealth.com/" TargetMode="External"/><Relationship Id="rId29" Type="http://schemas.openxmlformats.org/officeDocument/2006/relationships/hyperlink" Target="http://amazon.com/" TargetMode="External"/><Relationship Id="rId276" Type="http://schemas.openxmlformats.org/officeDocument/2006/relationships/hyperlink" Target="http://jalexmedical.com/" TargetMode="External"/><Relationship Id="rId441" Type="http://schemas.openxmlformats.org/officeDocument/2006/relationships/hyperlink" Target="http://prevas.se/" TargetMode="External"/><Relationship Id="rId483" Type="http://schemas.openxmlformats.org/officeDocument/2006/relationships/hyperlink" Target="http://siemens-healthineers.com/" TargetMode="External"/><Relationship Id="rId539" Type="http://schemas.openxmlformats.org/officeDocument/2006/relationships/hyperlink" Target="http://telemed.lt/" TargetMode="External"/><Relationship Id="rId40" Type="http://schemas.openxmlformats.org/officeDocument/2006/relationships/hyperlink" Target="http://epredia.com/" TargetMode="External"/><Relationship Id="rId136" Type="http://schemas.openxmlformats.org/officeDocument/2006/relationships/hyperlink" Target="http://sunstonepilot.com/" TargetMode="External"/><Relationship Id="rId178" Type="http://schemas.openxmlformats.org/officeDocument/2006/relationships/hyperlink" Target="http://elucent.com/" TargetMode="External"/><Relationship Id="rId301" Type="http://schemas.openxmlformats.org/officeDocument/2006/relationships/hyperlink" Target="http://kuartismed.com/" TargetMode="External"/><Relationship Id="rId343" Type="http://schemas.openxmlformats.org/officeDocument/2006/relationships/hyperlink" Target="http://medtronic.com/" TargetMode="External"/><Relationship Id="rId550" Type="http://schemas.openxmlformats.org/officeDocument/2006/relationships/hyperlink" Target="http://thermofisher.com/" TargetMode="External"/><Relationship Id="rId82" Type="http://schemas.openxmlformats.org/officeDocument/2006/relationships/hyperlink" Target="http://beurer.de/" TargetMode="External"/><Relationship Id="rId203" Type="http://schemas.openxmlformats.org/officeDocument/2006/relationships/hyperlink" Target="http://fsimed.com/" TargetMode="External"/><Relationship Id="rId385" Type="http://schemas.openxmlformats.org/officeDocument/2006/relationships/hyperlink" Target="http://nanoflexrobotics.com/" TargetMode="External"/><Relationship Id="rId592" Type="http://schemas.openxmlformats.org/officeDocument/2006/relationships/hyperlink" Target="http://vero-biotech.com/" TargetMode="External"/><Relationship Id="rId606" Type="http://schemas.openxmlformats.org/officeDocument/2006/relationships/hyperlink" Target="http://voximetry.com/" TargetMode="External"/><Relationship Id="rId648" Type="http://schemas.openxmlformats.org/officeDocument/2006/relationships/hyperlink" Target="http://leocancercare.com/" TargetMode="External"/><Relationship Id="rId245" Type="http://schemas.openxmlformats.org/officeDocument/2006/relationships/hyperlink" Target="http://helenoftroy.com/" TargetMode="External"/><Relationship Id="rId287" Type="http://schemas.openxmlformats.org/officeDocument/2006/relationships/hyperlink" Target="http://raisonance.ai/" TargetMode="External"/><Relationship Id="rId410" Type="http://schemas.openxmlformats.org/officeDocument/2006/relationships/hyperlink" Target="http://occuity.com/" TargetMode="External"/><Relationship Id="rId452" Type="http://schemas.openxmlformats.org/officeDocument/2006/relationships/hyperlink" Target="http://quadrantbiosciences.com/" TargetMode="External"/><Relationship Id="rId494" Type="http://schemas.openxmlformats.org/officeDocument/2006/relationships/hyperlink" Target="http://smith-nephew.com/" TargetMode="External"/><Relationship Id="rId508" Type="http://schemas.openxmlformats.org/officeDocument/2006/relationships/hyperlink" Target="http://sptvilecon.com/" TargetMode="External"/><Relationship Id="rId105" Type="http://schemas.openxmlformats.org/officeDocument/2006/relationships/hyperlink" Target="http://cariboumc.org/" TargetMode="External"/><Relationship Id="rId147" Type="http://schemas.openxmlformats.org/officeDocument/2006/relationships/hyperlink" Target="http://cytiva.com/" TargetMode="External"/><Relationship Id="rId312" Type="http://schemas.openxmlformats.org/officeDocument/2006/relationships/hyperlink" Target="http://lumoslabs.com/" TargetMode="External"/><Relationship Id="rId354" Type="http://schemas.openxmlformats.org/officeDocument/2006/relationships/hyperlink" Target="http://merck.com/" TargetMode="External"/><Relationship Id="rId51" Type="http://schemas.openxmlformats.org/officeDocument/2006/relationships/hyperlink" Target="http://axiommed.com/" TargetMode="External"/><Relationship Id="rId93" Type="http://schemas.openxmlformats.org/officeDocument/2006/relationships/hyperlink" Target="http://btlnet.com/" TargetMode="External"/><Relationship Id="rId189" Type="http://schemas.openxmlformats.org/officeDocument/2006/relationships/hyperlink" Target="http://ensemblehp.com/" TargetMode="External"/><Relationship Id="rId396" Type="http://schemas.openxmlformats.org/officeDocument/2006/relationships/hyperlink" Target="http://neurostar.com/" TargetMode="External"/><Relationship Id="rId561" Type="http://schemas.openxmlformats.org/officeDocument/2006/relationships/hyperlink" Target="http://timpelmedical.com/" TargetMode="External"/><Relationship Id="rId617" Type="http://schemas.openxmlformats.org/officeDocument/2006/relationships/hyperlink" Target="http://werfen.com/" TargetMode="External"/><Relationship Id="rId659" Type="http://schemas.openxmlformats.org/officeDocument/2006/relationships/hyperlink" Target="http://nihonkohden.com/" TargetMode="External"/><Relationship Id="rId214" Type="http://schemas.openxmlformats.org/officeDocument/2006/relationships/hyperlink" Target="http://giftofhope.org/" TargetMode="External"/><Relationship Id="rId256" Type="http://schemas.openxmlformats.org/officeDocument/2006/relationships/hyperlink" Target="http://hrsnavigation.com/" TargetMode="External"/><Relationship Id="rId298" Type="http://schemas.openxmlformats.org/officeDocument/2006/relationships/hyperlink" Target="http://kmssolutions.nl/" TargetMode="External"/><Relationship Id="rId421" Type="http://schemas.openxmlformats.org/officeDocument/2006/relationships/hyperlink" Target="http://orpyx.com/" TargetMode="External"/><Relationship Id="rId463" Type="http://schemas.openxmlformats.org/officeDocument/2006/relationships/hyperlink" Target="http://renown.org/" TargetMode="External"/><Relationship Id="rId519" Type="http://schemas.openxmlformats.org/officeDocument/2006/relationships/hyperlink" Target="http://stryker.com/" TargetMode="External"/><Relationship Id="rId670" Type="http://schemas.openxmlformats.org/officeDocument/2006/relationships/hyperlink" Target="http://workiva.com/" TargetMode="External"/><Relationship Id="rId116" Type="http://schemas.openxmlformats.org/officeDocument/2006/relationships/hyperlink" Target="http://clicktherapeutics.com/" TargetMode="External"/><Relationship Id="rId158" Type="http://schemas.openxmlformats.org/officeDocument/2006/relationships/hyperlink" Target="http://fda.hhs.gov/" TargetMode="External"/><Relationship Id="rId323" Type="http://schemas.openxmlformats.org/officeDocument/2006/relationships/hyperlink" Target="http://mckesson.com/" TargetMode="External"/><Relationship Id="rId530" Type="http://schemas.openxmlformats.org/officeDocument/2006/relationships/hyperlink" Target="http://steris.com/" TargetMode="External"/><Relationship Id="rId20" Type="http://schemas.openxmlformats.org/officeDocument/2006/relationships/hyperlink" Target="http://aerinmedical.com/" TargetMode="External"/><Relationship Id="rId62" Type="http://schemas.openxmlformats.org/officeDocument/2006/relationships/hyperlink" Target="http://bayer.com/" TargetMode="External"/><Relationship Id="rId365" Type="http://schemas.openxmlformats.org/officeDocument/2006/relationships/hyperlink" Target="http://mimsoftware.com/" TargetMode="External"/><Relationship Id="rId572" Type="http://schemas.openxmlformats.org/officeDocument/2006/relationships/hyperlink" Target="http://twohc.com/" TargetMode="External"/><Relationship Id="rId628" Type="http://schemas.openxmlformats.org/officeDocument/2006/relationships/hyperlink" Target="http://zeiss.com/" TargetMode="External"/><Relationship Id="rId225" Type="http://schemas.openxmlformats.org/officeDocument/2006/relationships/hyperlink" Target="http://haag-streit.com/" TargetMode="External"/><Relationship Id="rId267" Type="http://schemas.openxmlformats.org/officeDocument/2006/relationships/hyperlink" Target="http://straumann.com/" TargetMode="External"/><Relationship Id="rId432" Type="http://schemas.openxmlformats.org/officeDocument/2006/relationships/hyperlink" Target="http://permobil.com/" TargetMode="External"/><Relationship Id="rId474" Type="http://schemas.openxmlformats.org/officeDocument/2006/relationships/hyperlink" Target="http://scottcare.com/" TargetMode="External"/><Relationship Id="rId127" Type="http://schemas.openxmlformats.org/officeDocument/2006/relationships/hyperlink" Target="http://combinationprod.com/" TargetMode="External"/><Relationship Id="rId681" Type="http://schemas.openxmlformats.org/officeDocument/2006/relationships/hyperlink" Target="http://yahoo.com/" TargetMode="External"/><Relationship Id="rId31" Type="http://schemas.openxmlformats.org/officeDocument/2006/relationships/hyperlink" Target="http://amgen.com/" TargetMode="External"/><Relationship Id="rId73" Type="http://schemas.openxmlformats.org/officeDocument/2006/relationships/hyperlink" Target="http://bayer.com/" TargetMode="External"/><Relationship Id="rId169" Type="http://schemas.openxmlformats.org/officeDocument/2006/relationships/hyperlink" Target="http://regchoice.com/" TargetMode="External"/><Relationship Id="rId334" Type="http://schemas.openxmlformats.org/officeDocument/2006/relationships/hyperlink" Target="http://meditologyservices.com/" TargetMode="External"/><Relationship Id="rId376" Type="http://schemas.openxmlformats.org/officeDocument/2006/relationships/hyperlink" Target="http://motioncomposites.com/" TargetMode="External"/><Relationship Id="rId541" Type="http://schemas.openxmlformats.org/officeDocument/2006/relationships/hyperlink" Target="http://tenable.com/" TargetMode="External"/><Relationship Id="rId583" Type="http://schemas.openxmlformats.org/officeDocument/2006/relationships/hyperlink" Target="http://usdm.com/" TargetMode="External"/><Relationship Id="rId639" Type="http://schemas.openxmlformats.org/officeDocument/2006/relationships/hyperlink" Target="http://roche.com/" TargetMode="External"/><Relationship Id="rId4" Type="http://schemas.openxmlformats.org/officeDocument/2006/relationships/hyperlink" Target="http://abbott.com/" TargetMode="External"/><Relationship Id="rId180" Type="http://schemas.openxmlformats.org/officeDocument/2006/relationships/hyperlink" Target="http://chiaro.co.uk/" TargetMode="External"/><Relationship Id="rId236" Type="http://schemas.openxmlformats.org/officeDocument/2006/relationships/hyperlink" Target="http://healthmapsolutions.com/" TargetMode="External"/><Relationship Id="rId278" Type="http://schemas.openxmlformats.org/officeDocument/2006/relationships/hyperlink" Target="http://jefferson.edu/" TargetMode="External"/><Relationship Id="rId401" Type="http://schemas.openxmlformats.org/officeDocument/2006/relationships/hyperlink" Target="http://nference.net/" TargetMode="External"/><Relationship Id="rId443" Type="http://schemas.openxmlformats.org/officeDocument/2006/relationships/hyperlink" Target="http://prolucid.ca/" TargetMode="External"/><Relationship Id="rId650" Type="http://schemas.openxmlformats.org/officeDocument/2006/relationships/hyperlink" Target="http://gdit.com/" TargetMode="External"/><Relationship Id="rId303" Type="http://schemas.openxmlformats.org/officeDocument/2006/relationships/hyperlink" Target="http://kymanox.com/" TargetMode="External"/><Relationship Id="rId485" Type="http://schemas.openxmlformats.org/officeDocument/2006/relationships/hyperlink" Target="http://siemens-healthineers.com/" TargetMode="External"/><Relationship Id="rId42" Type="http://schemas.openxmlformats.org/officeDocument/2006/relationships/hyperlink" Target="http://epredia.com/" TargetMode="External"/><Relationship Id="rId84" Type="http://schemas.openxmlformats.org/officeDocument/2006/relationships/hyperlink" Target="http://biogen.com/" TargetMode="External"/><Relationship Id="rId138" Type="http://schemas.openxmlformats.org/officeDocument/2006/relationships/hyperlink" Target="http://cookchildrens.org/" TargetMode="External"/><Relationship Id="rId345" Type="http://schemas.openxmlformats.org/officeDocument/2006/relationships/hyperlink" Target="http://medtronic.com/" TargetMode="External"/><Relationship Id="rId387" Type="http://schemas.openxmlformats.org/officeDocument/2006/relationships/hyperlink" Target="http://natera.com/" TargetMode="External"/><Relationship Id="rId510" Type="http://schemas.openxmlformats.org/officeDocument/2006/relationships/hyperlink" Target="http://steris.com/" TargetMode="External"/><Relationship Id="rId552" Type="http://schemas.openxmlformats.org/officeDocument/2006/relationships/hyperlink" Target="http://guthrie.org/" TargetMode="External"/><Relationship Id="rId594" Type="http://schemas.openxmlformats.org/officeDocument/2006/relationships/hyperlink" Target="http://viatris.com/" TargetMode="External"/><Relationship Id="rId608" Type="http://schemas.openxmlformats.org/officeDocument/2006/relationships/hyperlink" Target="http://vph-institute.org/" TargetMode="External"/><Relationship Id="rId191" Type="http://schemas.openxmlformats.org/officeDocument/2006/relationships/hyperlink" Target="http://ensemblehp.com/" TargetMode="External"/><Relationship Id="rId205" Type="http://schemas.openxmlformats.org/officeDocument/2006/relationships/hyperlink" Target="http://freseniusmedicalcare.com/" TargetMode="External"/><Relationship Id="rId247" Type="http://schemas.openxmlformats.org/officeDocument/2006/relationships/hyperlink" Target="http://hmhs.com/" TargetMode="External"/><Relationship Id="rId412" Type="http://schemas.openxmlformats.org/officeDocument/2006/relationships/hyperlink" Target="http://olympus.com/" TargetMode="External"/><Relationship Id="rId107" Type="http://schemas.openxmlformats.org/officeDocument/2006/relationships/hyperlink" Target="http://cefaly.com/" TargetMode="External"/><Relationship Id="rId289" Type="http://schemas.openxmlformats.org/officeDocument/2006/relationships/hyperlink" Target="http://kentimaging.com/" TargetMode="External"/><Relationship Id="rId454" Type="http://schemas.openxmlformats.org/officeDocument/2006/relationships/hyperlink" Target="http://quidelortho.com/" TargetMode="External"/><Relationship Id="rId496" Type="http://schemas.openxmlformats.org/officeDocument/2006/relationships/hyperlink" Target="http://solenic.com/" TargetMode="External"/><Relationship Id="rId661" Type="http://schemas.openxmlformats.org/officeDocument/2006/relationships/hyperlink" Target="http://adiuvodiagnostics.com/" TargetMode="External"/><Relationship Id="rId11" Type="http://schemas.openxmlformats.org/officeDocument/2006/relationships/hyperlink" Target="http://achhh.org/" TargetMode="External"/><Relationship Id="rId53" Type="http://schemas.openxmlformats.org/officeDocument/2006/relationships/hyperlink" Target="http://aztecmedical.com/" TargetMode="External"/><Relationship Id="rId149" Type="http://schemas.openxmlformats.org/officeDocument/2006/relationships/hyperlink" Target="http://datrend.com/" TargetMode="External"/><Relationship Id="rId314" Type="http://schemas.openxmlformats.org/officeDocument/2006/relationships/hyperlink" Target="http://luxsonic.ca/" TargetMode="External"/><Relationship Id="rId356" Type="http://schemas.openxmlformats.org/officeDocument/2006/relationships/hyperlink" Target="http://mtidx.com/" TargetMode="External"/><Relationship Id="rId398" Type="http://schemas.openxmlformats.org/officeDocument/2006/relationships/hyperlink" Target="http://neurosoft-bio.com/" TargetMode="External"/><Relationship Id="rId521" Type="http://schemas.openxmlformats.org/officeDocument/2006/relationships/hyperlink" Target="http://surescripts.com/" TargetMode="External"/><Relationship Id="rId563" Type="http://schemas.openxmlformats.org/officeDocument/2006/relationships/hyperlink" Target="http://trainfes.com/" TargetMode="External"/><Relationship Id="rId619" Type="http://schemas.openxmlformats.org/officeDocument/2006/relationships/hyperlink" Target="http://werfen.com/" TargetMode="External"/><Relationship Id="rId95" Type="http://schemas.openxmlformats.org/officeDocument/2006/relationships/hyperlink" Target="http://btlnet.com/" TargetMode="External"/><Relationship Id="rId160" Type="http://schemas.openxmlformats.org/officeDocument/2006/relationships/hyperlink" Target="http://design-solutions.com/" TargetMode="External"/><Relationship Id="rId216" Type="http://schemas.openxmlformats.org/officeDocument/2006/relationships/hyperlink" Target="http://wyno.be/" TargetMode="External"/><Relationship Id="rId423" Type="http://schemas.openxmlformats.org/officeDocument/2006/relationships/hyperlink" Target="http://orthofix.com/" TargetMode="External"/><Relationship Id="rId258" Type="http://schemas.openxmlformats.org/officeDocument/2006/relationships/hyperlink" Target="http://ibsa.ch/" TargetMode="External"/><Relationship Id="rId465" Type="http://schemas.openxmlformats.org/officeDocument/2006/relationships/hyperlink" Target="http://roche.com/" TargetMode="External"/><Relationship Id="rId630" Type="http://schemas.openxmlformats.org/officeDocument/2006/relationships/hyperlink" Target="http://ziliahealth.com/" TargetMode="External"/><Relationship Id="rId672" Type="http://schemas.openxmlformats.org/officeDocument/2006/relationships/hyperlink" Target="http://bayer.com/" TargetMode="External"/><Relationship Id="rId22" Type="http://schemas.openxmlformats.org/officeDocument/2006/relationships/hyperlink" Target="http://aiosyn.com/" TargetMode="External"/><Relationship Id="rId64" Type="http://schemas.openxmlformats.org/officeDocument/2006/relationships/hyperlink" Target="http://bayer.com/" TargetMode="External"/><Relationship Id="rId118" Type="http://schemas.openxmlformats.org/officeDocument/2006/relationships/hyperlink" Target="http://cloudsecuritysol.com/" TargetMode="External"/><Relationship Id="rId325" Type="http://schemas.openxmlformats.org/officeDocument/2006/relationships/hyperlink" Target="http://medalliance.com/" TargetMode="External"/><Relationship Id="rId367" Type="http://schemas.openxmlformats.org/officeDocument/2006/relationships/hyperlink" Target="http://mimark.es/" TargetMode="External"/><Relationship Id="rId532" Type="http://schemas.openxmlformats.org/officeDocument/2006/relationships/hyperlink" Target="http://sysmex-astrego.se/" TargetMode="External"/><Relationship Id="rId574" Type="http://schemas.openxmlformats.org/officeDocument/2006/relationships/hyperlink" Target="http://calamatainc.com/" TargetMode="External"/><Relationship Id="rId171" Type="http://schemas.openxmlformats.org/officeDocument/2006/relationships/hyperlink" Target="http://edelweisstechnology.com/" TargetMode="External"/><Relationship Id="rId227" Type="http://schemas.openxmlformats.org/officeDocument/2006/relationships/hyperlink" Target="http://oconnellmyers.com/" TargetMode="External"/><Relationship Id="rId269" Type="http://schemas.openxmlformats.org/officeDocument/2006/relationships/hyperlink" Target="http://comcast.net/" TargetMode="External"/><Relationship Id="rId434" Type="http://schemas.openxmlformats.org/officeDocument/2006/relationships/hyperlink" Target="http://pfizer.com/" TargetMode="External"/><Relationship Id="rId476" Type="http://schemas.openxmlformats.org/officeDocument/2006/relationships/hyperlink" Target="http://theskinappearancelaboratory.org/" TargetMode="External"/><Relationship Id="rId641" Type="http://schemas.openxmlformats.org/officeDocument/2006/relationships/hyperlink" Target="http://sentec.com/" TargetMode="External"/><Relationship Id="rId33" Type="http://schemas.openxmlformats.org/officeDocument/2006/relationships/hyperlink" Target="http://outlook.com/" TargetMode="External"/><Relationship Id="rId129" Type="http://schemas.openxmlformats.org/officeDocument/2006/relationships/hyperlink" Target="http://chs.net/" TargetMode="External"/><Relationship Id="rId280" Type="http://schemas.openxmlformats.org/officeDocument/2006/relationships/hyperlink" Target="http://yahoo.com/" TargetMode="External"/><Relationship Id="rId336" Type="http://schemas.openxmlformats.org/officeDocument/2006/relationships/hyperlink" Target="http://mediview.com/" TargetMode="External"/><Relationship Id="rId501" Type="http://schemas.openxmlformats.org/officeDocument/2006/relationships/hyperlink" Target="http://medtronic.com/" TargetMode="External"/><Relationship Id="rId543" Type="http://schemas.openxmlformats.org/officeDocument/2006/relationships/hyperlink" Target="http://tensentric.com/" TargetMode="External"/><Relationship Id="rId75" Type="http://schemas.openxmlformats.org/officeDocument/2006/relationships/hyperlink" Target="http://bvimedical.com/" TargetMode="External"/><Relationship Id="rId140" Type="http://schemas.openxmlformats.org/officeDocument/2006/relationships/hyperlink" Target="http://cortexep.com/" TargetMode="External"/><Relationship Id="rId182" Type="http://schemas.openxmlformats.org/officeDocument/2006/relationships/hyperlink" Target="http://elypta.com/" TargetMode="External"/><Relationship Id="rId378" Type="http://schemas.openxmlformats.org/officeDocument/2006/relationships/hyperlink" Target="http://murata.com/" TargetMode="External"/><Relationship Id="rId403" Type="http://schemas.openxmlformats.org/officeDocument/2006/relationships/hyperlink" Target="http://nostics.com/" TargetMode="External"/><Relationship Id="rId585" Type="http://schemas.openxmlformats.org/officeDocument/2006/relationships/hyperlink" Target="http://vassolinc.com/" TargetMode="External"/><Relationship Id="rId6" Type="http://schemas.openxmlformats.org/officeDocument/2006/relationships/hyperlink" Target="http://abbvie.com/" TargetMode="External"/><Relationship Id="rId238" Type="http://schemas.openxmlformats.org/officeDocument/2006/relationships/hyperlink" Target="http://healthy.io/" TargetMode="External"/><Relationship Id="rId445" Type="http://schemas.openxmlformats.org/officeDocument/2006/relationships/hyperlink" Target="http://proscia.com/" TargetMode="External"/><Relationship Id="rId487" Type="http://schemas.openxmlformats.org/officeDocument/2006/relationships/hyperlink" Target="http://wsa.com/" TargetMode="External"/><Relationship Id="rId610" Type="http://schemas.openxmlformats.org/officeDocument/2006/relationships/hyperlink" Target="http://wassenburgmedical.com/" TargetMode="External"/><Relationship Id="rId652" Type="http://schemas.openxmlformats.org/officeDocument/2006/relationships/hyperlink" Target="http://convatec.com/" TargetMode="External"/><Relationship Id="rId291" Type="http://schemas.openxmlformats.org/officeDocument/2006/relationships/hyperlink" Target="http://kentimaging.com/" TargetMode="External"/><Relationship Id="rId305" Type="http://schemas.openxmlformats.org/officeDocument/2006/relationships/hyperlink" Target="http://lazamedical.com/" TargetMode="External"/><Relationship Id="rId347" Type="http://schemas.openxmlformats.org/officeDocument/2006/relationships/hyperlink" Target="http://medwarecyber.com/" TargetMode="External"/><Relationship Id="rId512" Type="http://schemas.openxmlformats.org/officeDocument/2006/relationships/hyperlink" Target="http://stover-solutions.com/" TargetMode="External"/><Relationship Id="rId44" Type="http://schemas.openxmlformats.org/officeDocument/2006/relationships/hyperlink" Target="http://asclepion.com/" TargetMode="External"/><Relationship Id="rId86" Type="http://schemas.openxmlformats.org/officeDocument/2006/relationships/hyperlink" Target="http://biomedical-ds.com/" TargetMode="External"/><Relationship Id="rId151" Type="http://schemas.openxmlformats.org/officeDocument/2006/relationships/hyperlink" Target="http://dekaresearch.com/" TargetMode="External"/><Relationship Id="rId389" Type="http://schemas.openxmlformats.org/officeDocument/2006/relationships/hyperlink" Target="http://neurentmedical.com/" TargetMode="External"/><Relationship Id="rId554" Type="http://schemas.openxmlformats.org/officeDocument/2006/relationships/hyperlink" Target="http://metrohealth.org/" TargetMode="External"/><Relationship Id="rId596" Type="http://schemas.openxmlformats.org/officeDocument/2006/relationships/hyperlink" Target="http://viatris.com/" TargetMode="External"/><Relationship Id="rId193" Type="http://schemas.openxmlformats.org/officeDocument/2006/relationships/hyperlink" Target="http://theentourage.de/" TargetMode="External"/><Relationship Id="rId207" Type="http://schemas.openxmlformats.org/officeDocument/2006/relationships/hyperlink" Target="http://freseniusmedicalcare.com/" TargetMode="External"/><Relationship Id="rId249" Type="http://schemas.openxmlformats.org/officeDocument/2006/relationships/hyperlink" Target="http://hmhs.com/" TargetMode="External"/><Relationship Id="rId414" Type="http://schemas.openxmlformats.org/officeDocument/2006/relationships/hyperlink" Target="http://omron.com/" TargetMode="External"/><Relationship Id="rId456" Type="http://schemas.openxmlformats.org/officeDocument/2006/relationships/hyperlink" Target="http://radiometer.dk/" TargetMode="External"/><Relationship Id="rId498" Type="http://schemas.openxmlformats.org/officeDocument/2006/relationships/hyperlink" Target="http://hearsoundwave.com/" TargetMode="External"/><Relationship Id="rId621" Type="http://schemas.openxmlformats.org/officeDocument/2006/relationships/hyperlink" Target="http://workiva.com/" TargetMode="External"/><Relationship Id="rId663" Type="http://schemas.openxmlformats.org/officeDocument/2006/relationships/hyperlink" Target="http://lazamedical.com/" TargetMode="External"/><Relationship Id="rId13" Type="http://schemas.openxmlformats.org/officeDocument/2006/relationships/hyperlink" Target="http://activsurgical.com/" TargetMode="External"/><Relationship Id="rId109" Type="http://schemas.openxmlformats.org/officeDocument/2006/relationships/hyperlink" Target="http://centerlinebiomedical.com/" TargetMode="External"/><Relationship Id="rId260" Type="http://schemas.openxmlformats.org/officeDocument/2006/relationships/hyperlink" Target="http://illumina.com/" TargetMode="External"/><Relationship Id="rId316" Type="http://schemas.openxmlformats.org/officeDocument/2006/relationships/hyperlink" Target="http://mak-system.net/" TargetMode="External"/><Relationship Id="rId523" Type="http://schemas.openxmlformats.org/officeDocument/2006/relationships/hyperlink" Target="http://surgicaltheater.com/" TargetMode="External"/><Relationship Id="rId55" Type="http://schemas.openxmlformats.org/officeDocument/2006/relationships/hyperlink" Target="http://bhsi.com/" TargetMode="External"/><Relationship Id="rId97" Type="http://schemas.openxmlformats.org/officeDocument/2006/relationships/hyperlink" Target="http://c-rad.com/" TargetMode="External"/><Relationship Id="rId120" Type="http://schemas.openxmlformats.org/officeDocument/2006/relationships/hyperlink" Target="http://cmrsurgical.com/" TargetMode="External"/><Relationship Id="rId358" Type="http://schemas.openxmlformats.org/officeDocument/2006/relationships/hyperlink" Target="http://metaoptima.com/" TargetMode="External"/><Relationship Id="rId565" Type="http://schemas.openxmlformats.org/officeDocument/2006/relationships/hyperlink" Target="http://trinzo.com/" TargetMode="External"/><Relationship Id="rId162" Type="http://schemas.openxmlformats.org/officeDocument/2006/relationships/hyperlink" Target="http://lupindental.com/" TargetMode="External"/><Relationship Id="rId218" Type="http://schemas.openxmlformats.org/officeDocument/2006/relationships/hyperlink" Target="http://glooma.pt/" TargetMode="External"/><Relationship Id="rId425" Type="http://schemas.openxmlformats.org/officeDocument/2006/relationships/hyperlink" Target="http://owens-minor.com/" TargetMode="External"/><Relationship Id="rId467" Type="http://schemas.openxmlformats.org/officeDocument/2006/relationships/hyperlink" Target="http://rosapharma.pt/" TargetMode="External"/><Relationship Id="rId632" Type="http://schemas.openxmlformats.org/officeDocument/2006/relationships/hyperlink" Target="http://zs.com/" TargetMode="External"/><Relationship Id="rId271" Type="http://schemas.openxmlformats.org/officeDocument/2006/relationships/hyperlink" Target="http://invitae.com/" TargetMode="External"/><Relationship Id="rId674" Type="http://schemas.openxmlformats.org/officeDocument/2006/relationships/hyperlink" Target="http://zynex.com/" TargetMode="External"/><Relationship Id="rId24" Type="http://schemas.openxmlformats.org/officeDocument/2006/relationships/hyperlink" Target="http://aitrics.com/" TargetMode="External"/><Relationship Id="rId66" Type="http://schemas.openxmlformats.org/officeDocument/2006/relationships/hyperlink" Target="http://bayer.com/" TargetMode="External"/><Relationship Id="rId131" Type="http://schemas.openxmlformats.org/officeDocument/2006/relationships/hyperlink" Target="http://ecommunity.com/" TargetMode="External"/><Relationship Id="rId327" Type="http://schemas.openxmlformats.org/officeDocument/2006/relationships/hyperlink" Target="http://medicalindicators.com/" TargetMode="External"/><Relationship Id="rId369" Type="http://schemas.openxmlformats.org/officeDocument/2006/relationships/hyperlink" Target="http://moffitt.org/" TargetMode="External"/><Relationship Id="rId534" Type="http://schemas.openxmlformats.org/officeDocument/2006/relationships/hyperlink" Target="http://tgh.org/" TargetMode="External"/><Relationship Id="rId576" Type="http://schemas.openxmlformats.org/officeDocument/2006/relationships/hyperlink" Target="http://ul.com/" TargetMode="External"/><Relationship Id="rId173" Type="http://schemas.openxmlformats.org/officeDocument/2006/relationships/hyperlink" Target="http://elancoah.com/" TargetMode="External"/><Relationship Id="rId229" Type="http://schemas.openxmlformats.org/officeDocument/2006/relationships/hyperlink" Target="http://hcltech.com/" TargetMode="External"/><Relationship Id="rId380" Type="http://schemas.openxmlformats.org/officeDocument/2006/relationships/hyperlink" Target="http://mobiusmobility.com/" TargetMode="External"/><Relationship Id="rId436" Type="http://schemas.openxmlformats.org/officeDocument/2006/relationships/hyperlink" Target="http://philips.com/" TargetMode="External"/><Relationship Id="rId601" Type="http://schemas.openxmlformats.org/officeDocument/2006/relationships/hyperlink" Target="http://vitrolife.com/" TargetMode="External"/><Relationship Id="rId643" Type="http://schemas.openxmlformats.org/officeDocument/2006/relationships/hyperlink" Target="http://datrend.com/" TargetMode="External"/><Relationship Id="rId240" Type="http://schemas.openxmlformats.org/officeDocument/2006/relationships/hyperlink" Target="http://heartbeam.com/" TargetMode="External"/><Relationship Id="rId478" Type="http://schemas.openxmlformats.org/officeDocument/2006/relationships/hyperlink" Target="http://senseye.co/" TargetMode="External"/><Relationship Id="rId35" Type="http://schemas.openxmlformats.org/officeDocument/2006/relationships/hyperlink" Target="http://appscent.com/" TargetMode="External"/><Relationship Id="rId77" Type="http://schemas.openxmlformats.org/officeDocument/2006/relationships/hyperlink" Target="http://bd.com/" TargetMode="External"/><Relationship Id="rId100" Type="http://schemas.openxmlformats.org/officeDocument/2006/relationships/hyperlink" Target="http://cannonqg.com/" TargetMode="External"/><Relationship Id="rId282" Type="http://schemas.openxmlformats.org/officeDocument/2006/relationships/hyperlink" Target="http://its.jnj.com/" TargetMode="External"/><Relationship Id="rId338" Type="http://schemas.openxmlformats.org/officeDocument/2006/relationships/hyperlink" Target="http://mediview.com/" TargetMode="External"/><Relationship Id="rId503" Type="http://schemas.openxmlformats.org/officeDocument/2006/relationships/hyperlink" Target="http://medtronic.com/" TargetMode="External"/><Relationship Id="rId545" Type="http://schemas.openxmlformats.org/officeDocument/2006/relationships/hyperlink" Target="http://tensentric.com/" TargetMode="External"/><Relationship Id="rId587" Type="http://schemas.openxmlformats.org/officeDocument/2006/relationships/hyperlink" Target="http://veeshell.com/" TargetMode="External"/><Relationship Id="rId8" Type="http://schemas.openxmlformats.org/officeDocument/2006/relationships/hyperlink" Target="http://ablacon.com/" TargetMode="External"/><Relationship Id="rId142" Type="http://schemas.openxmlformats.org/officeDocument/2006/relationships/hyperlink" Target="http://creomedical.com/" TargetMode="External"/><Relationship Id="rId184" Type="http://schemas.openxmlformats.org/officeDocument/2006/relationships/hyperlink" Target="http://ems-ch.com/" TargetMode="External"/><Relationship Id="rId391" Type="http://schemas.openxmlformats.org/officeDocument/2006/relationships/hyperlink" Target="http://neurobell.com/" TargetMode="External"/><Relationship Id="rId405" Type="http://schemas.openxmlformats.org/officeDocument/2006/relationships/hyperlink" Target="http://cleio.com/" TargetMode="External"/><Relationship Id="rId447" Type="http://schemas.openxmlformats.org/officeDocument/2006/relationships/hyperlink" Target="http://proximacro.com/" TargetMode="External"/><Relationship Id="rId612" Type="http://schemas.openxmlformats.org/officeDocument/2006/relationships/hyperlink" Target="http://welldocinc.com/" TargetMode="External"/><Relationship Id="rId251" Type="http://schemas.openxmlformats.org/officeDocument/2006/relationships/hyperlink" Target="http://hilum-healthcare.com/" TargetMode="External"/><Relationship Id="rId489" Type="http://schemas.openxmlformats.org/officeDocument/2006/relationships/hyperlink" Target="http://zynex.com/" TargetMode="External"/><Relationship Id="rId654" Type="http://schemas.openxmlformats.org/officeDocument/2006/relationships/hyperlink" Target="http://novabio.com/" TargetMode="External"/><Relationship Id="rId46" Type="http://schemas.openxmlformats.org/officeDocument/2006/relationships/hyperlink" Target="http://atmobiosciences.com/" TargetMode="External"/><Relationship Id="rId293" Type="http://schemas.openxmlformats.org/officeDocument/2006/relationships/hyperlink" Target="http://kentimaging.com/" TargetMode="External"/><Relationship Id="rId307" Type="http://schemas.openxmlformats.org/officeDocument/2006/relationships/hyperlink" Target="http://liberatemedical.com/" TargetMode="External"/><Relationship Id="rId349" Type="http://schemas.openxmlformats.org/officeDocument/2006/relationships/hyperlink" Target="http://merative.com/" TargetMode="External"/><Relationship Id="rId514" Type="http://schemas.openxmlformats.org/officeDocument/2006/relationships/hyperlink" Target="http://strategoinc.com/" TargetMode="External"/><Relationship Id="rId556" Type="http://schemas.openxmlformats.org/officeDocument/2006/relationships/hyperlink" Target="http://therndgroup.com/" TargetMode="External"/><Relationship Id="rId88" Type="http://schemas.openxmlformats.org/officeDocument/2006/relationships/hyperlink" Target="http://bracco.com/" TargetMode="External"/><Relationship Id="rId111" Type="http://schemas.openxmlformats.org/officeDocument/2006/relationships/hyperlink" Target="http://oracle.com/" TargetMode="External"/><Relationship Id="rId153" Type="http://schemas.openxmlformats.org/officeDocument/2006/relationships/hyperlink" Target="http://dekaresearch.com/" TargetMode="External"/><Relationship Id="rId195" Type="http://schemas.openxmlformats.org/officeDocument/2006/relationships/hyperlink" Target="http://euclidsys.com/" TargetMode="External"/><Relationship Id="rId209" Type="http://schemas.openxmlformats.org/officeDocument/2006/relationships/hyperlink" Target="http://fujifilm.com/" TargetMode="External"/><Relationship Id="rId360" Type="http://schemas.openxmlformats.org/officeDocument/2006/relationships/hyperlink" Target="http://microaire.com/" TargetMode="External"/><Relationship Id="rId416" Type="http://schemas.openxmlformats.org/officeDocument/2006/relationships/hyperlink" Target="http://optum.com/" TargetMode="External"/><Relationship Id="rId598" Type="http://schemas.openxmlformats.org/officeDocument/2006/relationships/hyperlink" Target="http://murata.com/" TargetMode="External"/><Relationship Id="rId220" Type="http://schemas.openxmlformats.org/officeDocument/2006/relationships/hyperlink" Target="http://gnhearing.com/" TargetMode="External"/><Relationship Id="rId458" Type="http://schemas.openxmlformats.org/officeDocument/2006/relationships/hyperlink" Target="http://rapiddosimetry.com/" TargetMode="External"/><Relationship Id="rId623" Type="http://schemas.openxmlformats.org/officeDocument/2006/relationships/hyperlink" Target="http://wysscenter.ch/" TargetMode="External"/><Relationship Id="rId665" Type="http://schemas.openxmlformats.org/officeDocument/2006/relationships/hyperlink" Target="http://karlstorz.com/" TargetMode="External"/><Relationship Id="rId15" Type="http://schemas.openxmlformats.org/officeDocument/2006/relationships/hyperlink" Target="http://activeprotective.com/" TargetMode="External"/><Relationship Id="rId57" Type="http://schemas.openxmlformats.org/officeDocument/2006/relationships/hyperlink" Target="http://baxter.com/" TargetMode="External"/><Relationship Id="rId262" Type="http://schemas.openxmlformats.org/officeDocument/2006/relationships/hyperlink" Target="http://imris.com/" TargetMode="External"/><Relationship Id="rId318" Type="http://schemas.openxmlformats.org/officeDocument/2006/relationships/hyperlink" Target="http://abbott.com/" TargetMode="External"/><Relationship Id="rId525" Type="http://schemas.openxmlformats.org/officeDocument/2006/relationships/hyperlink" Target="http://sutterhealth.org/" TargetMode="External"/><Relationship Id="rId567" Type="http://schemas.openxmlformats.org/officeDocument/2006/relationships/hyperlink" Target="http://trudellmed.com/" TargetMode="External"/><Relationship Id="rId99" Type="http://schemas.openxmlformats.org/officeDocument/2006/relationships/hyperlink" Target="http://tpmxco.com/" TargetMode="External"/><Relationship Id="rId122" Type="http://schemas.openxmlformats.org/officeDocument/2006/relationships/hyperlink" Target="http://cmrsurgical.com/" TargetMode="External"/><Relationship Id="rId164" Type="http://schemas.openxmlformats.org/officeDocument/2006/relationships/hyperlink" Target="http://distalmotion.com/" TargetMode="External"/><Relationship Id="rId371" Type="http://schemas.openxmlformats.org/officeDocument/2006/relationships/hyperlink" Target="http://molinahealthcare.com/" TargetMode="External"/><Relationship Id="rId427" Type="http://schemas.openxmlformats.org/officeDocument/2006/relationships/hyperlink" Target="http://oxos.com/" TargetMode="External"/><Relationship Id="rId469" Type="http://schemas.openxmlformats.org/officeDocument/2006/relationships/hyperlink" Target="http://rqmplus.com/" TargetMode="External"/><Relationship Id="rId634" Type="http://schemas.openxmlformats.org/officeDocument/2006/relationships/hyperlink" Target="http://zynex.com/" TargetMode="External"/><Relationship Id="rId676" Type="http://schemas.openxmlformats.org/officeDocument/2006/relationships/hyperlink" Target="http://micropos.se/" TargetMode="External"/><Relationship Id="rId26" Type="http://schemas.openxmlformats.org/officeDocument/2006/relationships/hyperlink" Target="http://allevoadvisors.com/" TargetMode="External"/><Relationship Id="rId231" Type="http://schemas.openxmlformats.org/officeDocument/2006/relationships/hyperlink" Target="http://bcbstx.com/" TargetMode="External"/><Relationship Id="rId273" Type="http://schemas.openxmlformats.org/officeDocument/2006/relationships/hyperlink" Target="http://iorbit-tech.com/" TargetMode="External"/><Relationship Id="rId329" Type="http://schemas.openxmlformats.org/officeDocument/2006/relationships/hyperlink" Target="http://grifols.com/" TargetMode="External"/><Relationship Id="rId480" Type="http://schemas.openxmlformats.org/officeDocument/2006/relationships/hyperlink" Target="http://sequelmedtech.com/" TargetMode="External"/><Relationship Id="rId536" Type="http://schemas.openxmlformats.org/officeDocument/2006/relationships/hyperlink" Target="http://tandemdiabetes.com/" TargetMode="External"/><Relationship Id="rId68" Type="http://schemas.openxmlformats.org/officeDocument/2006/relationships/hyperlink" Target="http://bayer.com/" TargetMode="External"/><Relationship Id="rId133" Type="http://schemas.openxmlformats.org/officeDocument/2006/relationships/hyperlink" Target="http://congenius.ch/" TargetMode="External"/><Relationship Id="rId175" Type="http://schemas.openxmlformats.org/officeDocument/2006/relationships/hyperlink" Target="http://elephas.com/" TargetMode="External"/><Relationship Id="rId340" Type="http://schemas.openxmlformats.org/officeDocument/2006/relationships/hyperlink" Target="http://medsec.com/" TargetMode="External"/><Relationship Id="rId578" Type="http://schemas.openxmlformats.org/officeDocument/2006/relationships/hyperlink" Target="http://unchealth.unc.edu/" TargetMode="External"/><Relationship Id="rId200" Type="http://schemas.openxmlformats.org/officeDocument/2006/relationships/hyperlink" Target="http://exactsciences.com/" TargetMode="External"/><Relationship Id="rId382" Type="http://schemas.openxmlformats.org/officeDocument/2006/relationships/hyperlink" Target="http://naitive.com/" TargetMode="External"/><Relationship Id="rId438" Type="http://schemas.openxmlformats.org/officeDocument/2006/relationships/hyperlink" Target="http://ppswcf.org/" TargetMode="External"/><Relationship Id="rId603" Type="http://schemas.openxmlformats.org/officeDocument/2006/relationships/hyperlink" Target="http://voximetry.com/" TargetMode="External"/><Relationship Id="rId645" Type="http://schemas.openxmlformats.org/officeDocument/2006/relationships/hyperlink" Target="http://integralife.com/" TargetMode="External"/><Relationship Id="rId242" Type="http://schemas.openxmlformats.org/officeDocument/2006/relationships/hyperlink" Target="http://heartsciences.com/" TargetMode="External"/><Relationship Id="rId284" Type="http://schemas.openxmlformats.org/officeDocument/2006/relationships/hyperlink" Target="http://mtl.ru/" TargetMode="External"/><Relationship Id="rId491" Type="http://schemas.openxmlformats.org/officeDocument/2006/relationships/hyperlink" Target="http://skillpadcompliance.com/" TargetMode="External"/><Relationship Id="rId505" Type="http://schemas.openxmlformats.org/officeDocument/2006/relationships/hyperlink" Target="http://spectrawave.com/" TargetMode="External"/><Relationship Id="rId37" Type="http://schemas.openxmlformats.org/officeDocument/2006/relationships/hyperlink" Target="http://apsiscg.com/" TargetMode="External"/><Relationship Id="rId79" Type="http://schemas.openxmlformats.org/officeDocument/2006/relationships/hyperlink" Target="http://bd.com/" TargetMode="External"/><Relationship Id="rId102" Type="http://schemas.openxmlformats.org/officeDocument/2006/relationships/hyperlink" Target="http://cardiacinsightinc.com/" TargetMode="External"/><Relationship Id="rId144" Type="http://schemas.openxmlformats.org/officeDocument/2006/relationships/hyperlink" Target="http://aetna.com/" TargetMode="External"/><Relationship Id="rId547" Type="http://schemas.openxmlformats.org/officeDocument/2006/relationships/hyperlink" Target="http://texashealth.org/" TargetMode="External"/><Relationship Id="rId589" Type="http://schemas.openxmlformats.org/officeDocument/2006/relationships/hyperlink" Target="http://venturecenter.co.in/" TargetMode="External"/><Relationship Id="rId90" Type="http://schemas.openxmlformats.org/officeDocument/2006/relationships/hyperlink" Target="http://breathebiomedical.com/" TargetMode="External"/><Relationship Id="rId186" Type="http://schemas.openxmlformats.org/officeDocument/2006/relationships/hyperlink" Target="http://emgconsultingservices.com/" TargetMode="External"/><Relationship Id="rId351" Type="http://schemas.openxmlformats.org/officeDocument/2006/relationships/hyperlink" Target="http://merck.com/" TargetMode="External"/><Relationship Id="rId393" Type="http://schemas.openxmlformats.org/officeDocument/2006/relationships/hyperlink" Target="http://neuroelectrics.com/" TargetMode="External"/><Relationship Id="rId407" Type="http://schemas.openxmlformats.org/officeDocument/2006/relationships/hyperlink" Target="http://o8t.com/" TargetMode="External"/><Relationship Id="rId449" Type="http://schemas.openxmlformats.org/officeDocument/2006/relationships/hyperlink" Target="http://buffalo.edu/" TargetMode="External"/><Relationship Id="rId614" Type="http://schemas.openxmlformats.org/officeDocument/2006/relationships/hyperlink" Target="http://werfen.com/" TargetMode="External"/><Relationship Id="rId656" Type="http://schemas.openxmlformats.org/officeDocument/2006/relationships/hyperlink" Target="http://velentium.com/" TargetMode="External"/><Relationship Id="rId211" Type="http://schemas.openxmlformats.org/officeDocument/2006/relationships/hyperlink" Target="http://gabismartcare.com/" TargetMode="External"/><Relationship Id="rId253" Type="http://schemas.openxmlformats.org/officeDocument/2006/relationships/hyperlink" Target="http://holmedgroup.com/" TargetMode="External"/><Relationship Id="rId295" Type="http://schemas.openxmlformats.org/officeDocument/2006/relationships/hyperlink" Target="http://umn.edu/" TargetMode="External"/><Relationship Id="rId309" Type="http://schemas.openxmlformats.org/officeDocument/2006/relationships/hyperlink" Target="http://linusbio.com/" TargetMode="External"/><Relationship Id="rId460" Type="http://schemas.openxmlformats.org/officeDocument/2006/relationships/hyperlink" Target="http://reccandiagnostics.com/" TargetMode="External"/><Relationship Id="rId516" Type="http://schemas.openxmlformats.org/officeDocument/2006/relationships/hyperlink" Target="http://stryker.com/" TargetMode="External"/><Relationship Id="rId48" Type="http://schemas.openxmlformats.org/officeDocument/2006/relationships/hyperlink" Target="http://avendahealth.com/" TargetMode="External"/><Relationship Id="rId113" Type="http://schemas.openxmlformats.org/officeDocument/2006/relationships/hyperlink" Target="http://cisecurity.org/" TargetMode="External"/><Relationship Id="rId320" Type="http://schemas.openxmlformats.org/officeDocument/2006/relationships/hyperlink" Target="http://mayborngroup.com/" TargetMode="External"/><Relationship Id="rId558" Type="http://schemas.openxmlformats.org/officeDocument/2006/relationships/hyperlink" Target="http://jefferson.edu/" TargetMode="External"/><Relationship Id="rId155" Type="http://schemas.openxmlformats.org/officeDocument/2006/relationships/hyperlink" Target="http://dekaresearch.com/" TargetMode="External"/><Relationship Id="rId197" Type="http://schemas.openxmlformats.org/officeDocument/2006/relationships/hyperlink" Target="http://exactsciences.com/" TargetMode="External"/><Relationship Id="rId362" Type="http://schemas.openxmlformats.org/officeDocument/2006/relationships/hyperlink" Target="http://microgenlabs.com/" TargetMode="External"/><Relationship Id="rId418" Type="http://schemas.openxmlformats.org/officeDocument/2006/relationships/hyperlink" Target="http://organon.com/" TargetMode="External"/><Relationship Id="rId625" Type="http://schemas.openxmlformats.org/officeDocument/2006/relationships/hyperlink" Target="http://hotmail.com/" TargetMode="External"/><Relationship Id="rId222" Type="http://schemas.openxmlformats.org/officeDocument/2006/relationships/hyperlink" Target="http://gsap.co.il/" TargetMode="External"/><Relationship Id="rId264" Type="http://schemas.openxmlformats.org/officeDocument/2006/relationships/hyperlink" Target="http://indivi.io/" TargetMode="External"/><Relationship Id="rId471" Type="http://schemas.openxmlformats.org/officeDocument/2006/relationships/hyperlink" Target="http://saludamedical.com/" TargetMode="External"/><Relationship Id="rId667" Type="http://schemas.openxmlformats.org/officeDocument/2006/relationships/hyperlink" Target="http://karlstorz.com/" TargetMode="External"/><Relationship Id="rId17" Type="http://schemas.openxmlformats.org/officeDocument/2006/relationships/hyperlink" Target="http://adscientiam.com/" TargetMode="External"/><Relationship Id="rId59" Type="http://schemas.openxmlformats.org/officeDocument/2006/relationships/hyperlink" Target="http://baxter.com/" TargetMode="External"/><Relationship Id="rId124" Type="http://schemas.openxmlformats.org/officeDocument/2006/relationships/hyperlink" Target="http://columbia.edu/" TargetMode="External"/><Relationship Id="rId527" Type="http://schemas.openxmlformats.org/officeDocument/2006/relationships/hyperlink" Target="http://synergicmed.com/" TargetMode="External"/><Relationship Id="rId569" Type="http://schemas.openxmlformats.org/officeDocument/2006/relationships/hyperlink" Target="http://trudellmed.com/" TargetMode="External"/><Relationship Id="rId70" Type="http://schemas.openxmlformats.org/officeDocument/2006/relationships/hyperlink" Target="http://bayer.com/" TargetMode="External"/><Relationship Id="rId166" Type="http://schemas.openxmlformats.org/officeDocument/2006/relationships/hyperlink" Target="http://dnv.com/" TargetMode="External"/><Relationship Id="rId331" Type="http://schemas.openxmlformats.org/officeDocument/2006/relationships/hyperlink" Target="http://medis.nl/" TargetMode="External"/><Relationship Id="rId373" Type="http://schemas.openxmlformats.org/officeDocument/2006/relationships/hyperlink" Target="http://monovotech.com/" TargetMode="External"/><Relationship Id="rId429" Type="http://schemas.openxmlformats.org/officeDocument/2006/relationships/hyperlink" Target="http://parkell.com/" TargetMode="External"/><Relationship Id="rId580" Type="http://schemas.openxmlformats.org/officeDocument/2006/relationships/hyperlink" Target="http://umpartners.com/" TargetMode="External"/><Relationship Id="rId636" Type="http://schemas.openxmlformats.org/officeDocument/2006/relationships/hyperlink" Target="http://zynex.com/" TargetMode="External"/><Relationship Id="rId1" Type="http://schemas.openxmlformats.org/officeDocument/2006/relationships/hyperlink" Target="http://3c-medint.com/" TargetMode="External"/><Relationship Id="rId233" Type="http://schemas.openxmlformats.org/officeDocument/2006/relationships/hyperlink" Target="http://hlic.net/" TargetMode="External"/><Relationship Id="rId440" Type="http://schemas.openxmlformats.org/officeDocument/2006/relationships/hyperlink" Target="http://pucp.edu.pe/" TargetMode="External"/><Relationship Id="rId678" Type="http://schemas.openxmlformats.org/officeDocument/2006/relationships/hyperlink" Target="http://biotronik.com/" TargetMode="External"/><Relationship Id="rId28" Type="http://schemas.openxmlformats.org/officeDocument/2006/relationships/hyperlink" Target="http://alpinsurgical.com/" TargetMode="External"/><Relationship Id="rId275" Type="http://schemas.openxmlformats.org/officeDocument/2006/relationships/hyperlink" Target="http://ivdeology.co.uk/" TargetMode="External"/><Relationship Id="rId300" Type="http://schemas.openxmlformats.org/officeDocument/2006/relationships/hyperlink" Target="http://axonics.com/" TargetMode="External"/><Relationship Id="rId482" Type="http://schemas.openxmlformats.org/officeDocument/2006/relationships/hyperlink" Target="http://shl-medical.com/" TargetMode="External"/><Relationship Id="rId538" Type="http://schemas.openxmlformats.org/officeDocument/2006/relationships/hyperlink" Target="http://teladochealth.com/" TargetMode="External"/><Relationship Id="rId81" Type="http://schemas.openxmlformats.org/officeDocument/2006/relationships/hyperlink" Target="http://bestsanitizers.com/" TargetMode="External"/><Relationship Id="rId135" Type="http://schemas.openxmlformats.org/officeDocument/2006/relationships/hyperlink" Target="http://consciousconsultingsolutions.net/" TargetMode="External"/><Relationship Id="rId177" Type="http://schemas.openxmlformats.org/officeDocument/2006/relationships/hyperlink" Target="http://elucent.com/" TargetMode="External"/><Relationship Id="rId342" Type="http://schemas.openxmlformats.org/officeDocument/2006/relationships/hyperlink" Target="http://medtronic.com/" TargetMode="External"/><Relationship Id="rId384" Type="http://schemas.openxmlformats.org/officeDocument/2006/relationships/hyperlink" Target="http://nanoflexrobotics.com/" TargetMode="External"/><Relationship Id="rId591" Type="http://schemas.openxmlformats.org/officeDocument/2006/relationships/hyperlink" Target="http://verifydiagnostics.com/" TargetMode="External"/><Relationship Id="rId605" Type="http://schemas.openxmlformats.org/officeDocument/2006/relationships/hyperlink" Target="http://voximetry.com/" TargetMode="External"/><Relationship Id="rId202" Type="http://schemas.openxmlformats.org/officeDocument/2006/relationships/hyperlink" Target="http://fire1foundry.com/" TargetMode="External"/><Relationship Id="rId244" Type="http://schemas.openxmlformats.org/officeDocument/2006/relationships/hyperlink" Target="http://helbling-inc.com/" TargetMode="External"/><Relationship Id="rId647" Type="http://schemas.openxmlformats.org/officeDocument/2006/relationships/hyperlink" Target="http://od-os.com/" TargetMode="External"/><Relationship Id="rId39" Type="http://schemas.openxmlformats.org/officeDocument/2006/relationships/hyperlink" Target="http://epredia.com/" TargetMode="External"/><Relationship Id="rId286" Type="http://schemas.openxmlformats.org/officeDocument/2006/relationships/hyperlink" Target="http://kanopymed.com/" TargetMode="External"/><Relationship Id="rId451" Type="http://schemas.openxmlformats.org/officeDocument/2006/relationships/hyperlink" Target="http://qiagen.com/" TargetMode="External"/><Relationship Id="rId493" Type="http://schemas.openxmlformats.org/officeDocument/2006/relationships/hyperlink" Target="http://ualberta.ca/" TargetMode="External"/><Relationship Id="rId507" Type="http://schemas.openxmlformats.org/officeDocument/2006/relationships/hyperlink" Target="http://sptvilecon.com/" TargetMode="External"/><Relationship Id="rId549" Type="http://schemas.openxmlformats.org/officeDocument/2006/relationships/hyperlink" Target="http://thalesgroup.com/" TargetMode="External"/><Relationship Id="rId50" Type="http://schemas.openxmlformats.org/officeDocument/2006/relationships/hyperlink" Target="http://avicenna.ai/" TargetMode="External"/><Relationship Id="rId104" Type="http://schemas.openxmlformats.org/officeDocument/2006/relationships/hyperlink" Target="http://carefirst.com/" TargetMode="External"/><Relationship Id="rId146" Type="http://schemas.openxmlformats.org/officeDocument/2006/relationships/hyperlink" Target="http://cyrpa.com/" TargetMode="External"/><Relationship Id="rId188" Type="http://schemas.openxmlformats.org/officeDocument/2006/relationships/hyperlink" Target="http://enhatch.com/" TargetMode="External"/><Relationship Id="rId311" Type="http://schemas.openxmlformats.org/officeDocument/2006/relationships/hyperlink" Target="http://luminishealth.org/" TargetMode="External"/><Relationship Id="rId353" Type="http://schemas.openxmlformats.org/officeDocument/2006/relationships/hyperlink" Target="http://merck.com/" TargetMode="External"/><Relationship Id="rId395" Type="http://schemas.openxmlformats.org/officeDocument/2006/relationships/hyperlink" Target="http://neuroelectrics.com/" TargetMode="External"/><Relationship Id="rId409" Type="http://schemas.openxmlformats.org/officeDocument/2006/relationships/hyperlink" Target="http://occuity.com/" TargetMode="External"/><Relationship Id="rId560" Type="http://schemas.openxmlformats.org/officeDocument/2006/relationships/hyperlink" Target="http://tidesmedical.com/" TargetMode="External"/><Relationship Id="rId92" Type="http://schemas.openxmlformats.org/officeDocument/2006/relationships/hyperlink" Target="http://bms.com/" TargetMode="External"/><Relationship Id="rId213" Type="http://schemas.openxmlformats.org/officeDocument/2006/relationships/hyperlink" Target="http://genae.com/" TargetMode="External"/><Relationship Id="rId420" Type="http://schemas.openxmlformats.org/officeDocument/2006/relationships/hyperlink" Target="http://orpyx.com/" TargetMode="External"/><Relationship Id="rId616" Type="http://schemas.openxmlformats.org/officeDocument/2006/relationships/hyperlink" Target="http://werfen.com/" TargetMode="External"/><Relationship Id="rId658" Type="http://schemas.openxmlformats.org/officeDocument/2006/relationships/hyperlink" Target="http://micropos.se/" TargetMode="External"/><Relationship Id="rId255" Type="http://schemas.openxmlformats.org/officeDocument/2006/relationships/hyperlink" Target="http://horizonsurgicalsystems.com/" TargetMode="External"/><Relationship Id="rId297" Type="http://schemas.openxmlformats.org/officeDocument/2006/relationships/hyperlink" Target="http://kiwa.com/" TargetMode="External"/><Relationship Id="rId462" Type="http://schemas.openxmlformats.org/officeDocument/2006/relationships/hyperlink" Target="http://redcross.org/" TargetMode="External"/><Relationship Id="rId518" Type="http://schemas.openxmlformats.org/officeDocument/2006/relationships/hyperlink" Target="http://stryker.com/" TargetMode="External"/><Relationship Id="rId115" Type="http://schemas.openxmlformats.org/officeDocument/2006/relationships/hyperlink" Target="http://cisiv.com/" TargetMode="External"/><Relationship Id="rId157" Type="http://schemas.openxmlformats.org/officeDocument/2006/relationships/hyperlink" Target="http://fda.hhs.gov/" TargetMode="External"/><Relationship Id="rId322" Type="http://schemas.openxmlformats.org/officeDocument/2006/relationships/hyperlink" Target="http://mayo.edu/" TargetMode="External"/><Relationship Id="rId364" Type="http://schemas.openxmlformats.org/officeDocument/2006/relationships/hyperlink" Target="http://mimsoftware.com/" TargetMode="External"/><Relationship Id="rId61" Type="http://schemas.openxmlformats.org/officeDocument/2006/relationships/hyperlink" Target="http://bayada.com/" TargetMode="External"/><Relationship Id="rId199" Type="http://schemas.openxmlformats.org/officeDocument/2006/relationships/hyperlink" Target="http://exactsciences.com/" TargetMode="External"/><Relationship Id="rId571" Type="http://schemas.openxmlformats.org/officeDocument/2006/relationships/hyperlink" Target="http://us.tuv.com/" TargetMode="External"/><Relationship Id="rId627" Type="http://schemas.openxmlformats.org/officeDocument/2006/relationships/hyperlink" Target="http://ylah.ch/" TargetMode="External"/><Relationship Id="rId669" Type="http://schemas.openxmlformats.org/officeDocument/2006/relationships/hyperlink" Target="http://beckman.com/" TargetMode="External"/><Relationship Id="rId19" Type="http://schemas.openxmlformats.org/officeDocument/2006/relationships/hyperlink" Target="http://ahsid.net/" TargetMode="External"/><Relationship Id="rId224" Type="http://schemas.openxmlformats.org/officeDocument/2006/relationships/hyperlink" Target="http://haapd.com/" TargetMode="External"/><Relationship Id="rId266" Type="http://schemas.openxmlformats.org/officeDocument/2006/relationships/hyperlink" Target="http://myinnovo.com/" TargetMode="External"/><Relationship Id="rId431" Type="http://schemas.openxmlformats.org/officeDocument/2006/relationships/hyperlink" Target="http://permobil.com/" TargetMode="External"/><Relationship Id="rId473" Type="http://schemas.openxmlformats.org/officeDocument/2006/relationships/hyperlink" Target="http://sartorius.com/" TargetMode="External"/><Relationship Id="rId529" Type="http://schemas.openxmlformats.org/officeDocument/2006/relationships/hyperlink" Target="http://steris.com/" TargetMode="External"/><Relationship Id="rId680" Type="http://schemas.openxmlformats.org/officeDocument/2006/relationships/hyperlink" Target="http://hotmail.it/" TargetMode="External"/><Relationship Id="rId30" Type="http://schemas.openxmlformats.org/officeDocument/2006/relationships/hyperlink" Target="http://aha.org/" TargetMode="External"/><Relationship Id="rId126" Type="http://schemas.openxmlformats.org/officeDocument/2006/relationships/hyperlink" Target="http://combinationprod.com/" TargetMode="External"/><Relationship Id="rId168" Type="http://schemas.openxmlformats.org/officeDocument/2006/relationships/hyperlink" Target="http://dornerworks.com/" TargetMode="External"/><Relationship Id="rId333" Type="http://schemas.openxmlformats.org/officeDocument/2006/relationships/hyperlink" Target="http://medisimaging.com/" TargetMode="External"/><Relationship Id="rId540" Type="http://schemas.openxmlformats.org/officeDocument/2006/relationships/hyperlink" Target="http://telemed.lt/" TargetMode="External"/><Relationship Id="rId72" Type="http://schemas.openxmlformats.org/officeDocument/2006/relationships/hyperlink" Target="http://bayer.com/" TargetMode="External"/><Relationship Id="rId375" Type="http://schemas.openxmlformats.org/officeDocument/2006/relationships/hyperlink" Target="http://moog.com/" TargetMode="External"/><Relationship Id="rId582" Type="http://schemas.openxmlformats.org/officeDocument/2006/relationships/hyperlink" Target="http://urmc.rochester.edu/" TargetMode="External"/><Relationship Id="rId638" Type="http://schemas.openxmlformats.org/officeDocument/2006/relationships/hyperlink" Target="http://adaptivendo.com/" TargetMode="External"/><Relationship Id="rId3" Type="http://schemas.openxmlformats.org/officeDocument/2006/relationships/hyperlink" Target="http://mmm.com/" TargetMode="External"/><Relationship Id="rId235" Type="http://schemas.openxmlformats.org/officeDocument/2006/relationships/hyperlink" Target="http://healthfirst.org/" TargetMode="External"/><Relationship Id="rId277" Type="http://schemas.openxmlformats.org/officeDocument/2006/relationships/hyperlink" Target="http://jefferson.edu/" TargetMode="External"/><Relationship Id="rId400" Type="http://schemas.openxmlformats.org/officeDocument/2006/relationships/hyperlink" Target="http://scottcare.com/" TargetMode="External"/><Relationship Id="rId442" Type="http://schemas.openxmlformats.org/officeDocument/2006/relationships/hyperlink" Target="http://procyrion.com/" TargetMode="External"/><Relationship Id="rId484" Type="http://schemas.openxmlformats.org/officeDocument/2006/relationships/hyperlink" Target="http://siemens-healthineers.com/" TargetMode="External"/><Relationship Id="rId137" Type="http://schemas.openxmlformats.org/officeDocument/2006/relationships/hyperlink" Target="http://gmail.com/" TargetMode="External"/><Relationship Id="rId302" Type="http://schemas.openxmlformats.org/officeDocument/2006/relationships/hyperlink" Target="http://kuleanatechnology.com/" TargetMode="External"/><Relationship Id="rId344" Type="http://schemas.openxmlformats.org/officeDocument/2006/relationships/hyperlink" Target="http://medtronic.com/" TargetMode="External"/><Relationship Id="rId41" Type="http://schemas.openxmlformats.org/officeDocument/2006/relationships/hyperlink" Target="http://epredia.com/" TargetMode="External"/><Relationship Id="rId83" Type="http://schemas.openxmlformats.org/officeDocument/2006/relationships/hyperlink" Target="http://beyondair.net/" TargetMode="External"/><Relationship Id="rId179" Type="http://schemas.openxmlformats.org/officeDocument/2006/relationships/hyperlink" Target="http://elucent.com/" TargetMode="External"/><Relationship Id="rId386" Type="http://schemas.openxmlformats.org/officeDocument/2006/relationships/hyperlink" Target="http://nanoflexrobotics.com/" TargetMode="External"/><Relationship Id="rId551" Type="http://schemas.openxmlformats.org/officeDocument/2006/relationships/hyperlink" Target="http://guthrie.org/" TargetMode="External"/><Relationship Id="rId593" Type="http://schemas.openxmlformats.org/officeDocument/2006/relationships/hyperlink" Target="http://viatris.com/" TargetMode="External"/><Relationship Id="rId607" Type="http://schemas.openxmlformats.org/officeDocument/2006/relationships/hyperlink" Target="http://voximetry.com/" TargetMode="External"/><Relationship Id="rId649" Type="http://schemas.openxmlformats.org/officeDocument/2006/relationships/hyperlink" Target="http://adiuvodiagnostics.com/" TargetMode="External"/><Relationship Id="rId190" Type="http://schemas.openxmlformats.org/officeDocument/2006/relationships/hyperlink" Target="http://ensemblehp.com/" TargetMode="External"/><Relationship Id="rId204" Type="http://schemas.openxmlformats.org/officeDocument/2006/relationships/hyperlink" Target="http://med.fsu.edu/" TargetMode="External"/><Relationship Id="rId246" Type="http://schemas.openxmlformats.org/officeDocument/2006/relationships/hyperlink" Target="http://helena.com/" TargetMode="External"/><Relationship Id="rId288" Type="http://schemas.openxmlformats.org/officeDocument/2006/relationships/hyperlink" Target="http://kenota.com/" TargetMode="External"/><Relationship Id="rId411" Type="http://schemas.openxmlformats.org/officeDocument/2006/relationships/hyperlink" Target="http://olympus.com/" TargetMode="External"/><Relationship Id="rId453" Type="http://schemas.openxmlformats.org/officeDocument/2006/relationships/hyperlink" Target="http://quadrantbiosciences.com/" TargetMode="External"/><Relationship Id="rId509" Type="http://schemas.openxmlformats.org/officeDocument/2006/relationships/hyperlink" Target="http://steris.com/" TargetMode="External"/><Relationship Id="rId660" Type="http://schemas.openxmlformats.org/officeDocument/2006/relationships/hyperlink" Target="http://nihonkohden.com/" TargetMode="External"/><Relationship Id="rId106" Type="http://schemas.openxmlformats.org/officeDocument/2006/relationships/hyperlink" Target="http://cedar.com/" TargetMode="External"/><Relationship Id="rId313" Type="http://schemas.openxmlformats.org/officeDocument/2006/relationships/hyperlink" Target="http://lumoslabs.com/" TargetMode="External"/><Relationship Id="rId495" Type="http://schemas.openxmlformats.org/officeDocument/2006/relationships/hyperlink" Target="http://smith-nephew.com/" TargetMode="External"/><Relationship Id="rId10" Type="http://schemas.openxmlformats.org/officeDocument/2006/relationships/hyperlink" Target="http://accureacne.com/" TargetMode="External"/><Relationship Id="rId52" Type="http://schemas.openxmlformats.org/officeDocument/2006/relationships/hyperlink" Target="http://axonics.com/" TargetMode="External"/><Relationship Id="rId94" Type="http://schemas.openxmlformats.org/officeDocument/2006/relationships/hyperlink" Target="http://btlnet.com/" TargetMode="External"/><Relationship Id="rId148" Type="http://schemas.openxmlformats.org/officeDocument/2006/relationships/hyperlink" Target="http://danaher.com/" TargetMode="External"/><Relationship Id="rId355" Type="http://schemas.openxmlformats.org/officeDocument/2006/relationships/hyperlink" Target="http://meridianbioscience.com/" TargetMode="External"/><Relationship Id="rId397" Type="http://schemas.openxmlformats.org/officeDocument/2006/relationships/hyperlink" Target="http://neurostar.com/" TargetMode="External"/><Relationship Id="rId520" Type="http://schemas.openxmlformats.org/officeDocument/2006/relationships/hyperlink" Target="http://sunoptictech.com/" TargetMode="External"/><Relationship Id="rId562" Type="http://schemas.openxmlformats.org/officeDocument/2006/relationships/hyperlink" Target="http://torvanmedical.com/" TargetMode="External"/><Relationship Id="rId618" Type="http://schemas.openxmlformats.org/officeDocument/2006/relationships/hyperlink" Target="http://werfen.com/" TargetMode="External"/><Relationship Id="rId215" Type="http://schemas.openxmlformats.org/officeDocument/2006/relationships/hyperlink" Target="http://hotmail.com/" TargetMode="External"/><Relationship Id="rId257" Type="http://schemas.openxmlformats.org/officeDocument/2006/relationships/hyperlink" Target="http://hurondigitalpathology.com/" TargetMode="External"/><Relationship Id="rId422" Type="http://schemas.openxmlformats.org/officeDocument/2006/relationships/hyperlink" Target="http://orthofix.com/" TargetMode="External"/><Relationship Id="rId464" Type="http://schemas.openxmlformats.org/officeDocument/2006/relationships/hyperlink" Target="http://rivahealth.com/" TargetMode="External"/><Relationship Id="rId299" Type="http://schemas.openxmlformats.org/officeDocument/2006/relationships/hyperlink" Target="http://knowlabs.co/" TargetMode="External"/><Relationship Id="rId63" Type="http://schemas.openxmlformats.org/officeDocument/2006/relationships/hyperlink" Target="http://bayer.com/" TargetMode="External"/><Relationship Id="rId159" Type="http://schemas.openxmlformats.org/officeDocument/2006/relationships/hyperlink" Target="http://design-solutions.com/" TargetMode="External"/><Relationship Id="rId366" Type="http://schemas.openxmlformats.org/officeDocument/2006/relationships/hyperlink" Target="http://mimsoftware.com/" TargetMode="External"/><Relationship Id="rId573" Type="http://schemas.openxmlformats.org/officeDocument/2006/relationships/hyperlink" Target="http://utdallas.edu/" TargetMode="External"/><Relationship Id="rId226" Type="http://schemas.openxmlformats.org/officeDocument/2006/relationships/hyperlink" Target="http://innopathwayz.com/" TargetMode="External"/><Relationship Id="rId433" Type="http://schemas.openxmlformats.org/officeDocument/2006/relationships/hyperlink" Target="http://permobil.com/" TargetMode="External"/><Relationship Id="rId640" Type="http://schemas.openxmlformats.org/officeDocument/2006/relationships/hyperlink" Target="http://sentec.com/" TargetMode="External"/><Relationship Id="rId74" Type="http://schemas.openxmlformats.org/officeDocument/2006/relationships/hyperlink" Target="http://bvimedical.com/" TargetMode="External"/><Relationship Id="rId377" Type="http://schemas.openxmlformats.org/officeDocument/2006/relationships/hyperlink" Target="http://motioncomposites.com/" TargetMode="External"/><Relationship Id="rId500" Type="http://schemas.openxmlformats.org/officeDocument/2006/relationships/hyperlink" Target="http://medtronic.com/" TargetMode="External"/><Relationship Id="rId584" Type="http://schemas.openxmlformats.org/officeDocument/2006/relationships/hyperlink" Target="http://uvahealth.org/" TargetMode="External"/><Relationship Id="rId5" Type="http://schemas.openxmlformats.org/officeDocument/2006/relationships/hyperlink" Target="http://abbvie.com/" TargetMode="External"/><Relationship Id="rId237" Type="http://schemas.openxmlformats.org/officeDocument/2006/relationships/hyperlink" Target="http://healthtechconnex.com/" TargetMode="External"/><Relationship Id="rId444" Type="http://schemas.openxmlformats.org/officeDocument/2006/relationships/hyperlink" Target="http://proscia.com/" TargetMode="External"/><Relationship Id="rId651" Type="http://schemas.openxmlformats.org/officeDocument/2006/relationships/hyperlink" Target="http://gdit.com/" TargetMode="External"/><Relationship Id="rId290" Type="http://schemas.openxmlformats.org/officeDocument/2006/relationships/hyperlink" Target="http://kentimaging.com/" TargetMode="External"/><Relationship Id="rId304" Type="http://schemas.openxmlformats.org/officeDocument/2006/relationships/hyperlink" Target="http://mylrh.org/" TargetMode="External"/><Relationship Id="rId388" Type="http://schemas.openxmlformats.org/officeDocument/2006/relationships/hyperlink" Target="http://naviermedical.com/" TargetMode="External"/><Relationship Id="rId511" Type="http://schemas.openxmlformats.org/officeDocument/2006/relationships/hyperlink" Target="http://sternumiot.com/" TargetMode="External"/><Relationship Id="rId609" Type="http://schemas.openxmlformats.org/officeDocument/2006/relationships/hyperlink" Target="http://wassenburgmedical.com/" TargetMode="External"/><Relationship Id="rId85" Type="http://schemas.openxmlformats.org/officeDocument/2006/relationships/hyperlink" Target="http://biomagneticsolutions.com/" TargetMode="External"/><Relationship Id="rId150" Type="http://schemas.openxmlformats.org/officeDocument/2006/relationships/hyperlink" Target="http://decusbiomedical.com/" TargetMode="External"/><Relationship Id="rId595" Type="http://schemas.openxmlformats.org/officeDocument/2006/relationships/hyperlink" Target="http://viatris.com/" TargetMode="External"/><Relationship Id="rId248" Type="http://schemas.openxmlformats.org/officeDocument/2006/relationships/hyperlink" Target="http://hmhs.com/" TargetMode="External"/><Relationship Id="rId455" Type="http://schemas.openxmlformats.org/officeDocument/2006/relationships/hyperlink" Target="http://radiometer.dk/" TargetMode="External"/><Relationship Id="rId662" Type="http://schemas.openxmlformats.org/officeDocument/2006/relationships/hyperlink" Target="http://vibrint.com/" TargetMode="External"/><Relationship Id="rId12" Type="http://schemas.openxmlformats.org/officeDocument/2006/relationships/hyperlink" Target="http://actalentservices.com/" TargetMode="External"/><Relationship Id="rId108" Type="http://schemas.openxmlformats.org/officeDocument/2006/relationships/hyperlink" Target="http://cellfebiotech.com/" TargetMode="External"/><Relationship Id="rId315" Type="http://schemas.openxmlformats.org/officeDocument/2006/relationships/hyperlink" Target="http://magandmore.com/" TargetMode="External"/><Relationship Id="rId522" Type="http://schemas.openxmlformats.org/officeDocument/2006/relationships/hyperlink" Target="http://surfacide.com/" TargetMode="External"/><Relationship Id="rId96" Type="http://schemas.openxmlformats.org/officeDocument/2006/relationships/hyperlink" Target="http://btlnet.com/" TargetMode="External"/><Relationship Id="rId161" Type="http://schemas.openxmlformats.org/officeDocument/2006/relationships/hyperlink" Target="http://detect.com/" TargetMode="External"/><Relationship Id="rId399" Type="http://schemas.openxmlformats.org/officeDocument/2006/relationships/hyperlink" Target="http://nt-med.com/" TargetMode="External"/><Relationship Id="rId259" Type="http://schemas.openxmlformats.org/officeDocument/2006/relationships/hyperlink" Target="http://illumina.com/" TargetMode="External"/><Relationship Id="rId466" Type="http://schemas.openxmlformats.org/officeDocument/2006/relationships/hyperlink" Target="http://roche.com/" TargetMode="External"/><Relationship Id="rId673" Type="http://schemas.openxmlformats.org/officeDocument/2006/relationships/hyperlink" Target="http://leocancercare.com/" TargetMode="External"/><Relationship Id="rId23" Type="http://schemas.openxmlformats.org/officeDocument/2006/relationships/hyperlink" Target="http://airliquide.com/" TargetMode="External"/><Relationship Id="rId119" Type="http://schemas.openxmlformats.org/officeDocument/2006/relationships/hyperlink" Target="http://cmrnaviscan.com/" TargetMode="External"/><Relationship Id="rId326" Type="http://schemas.openxmlformats.org/officeDocument/2006/relationships/hyperlink" Target="http://medcad.net/" TargetMode="External"/><Relationship Id="rId533" Type="http://schemas.openxmlformats.org/officeDocument/2006/relationships/hyperlink" Target="http://szintezis-net.hu/" TargetMode="External"/><Relationship Id="rId172" Type="http://schemas.openxmlformats.org/officeDocument/2006/relationships/hyperlink" Target="http://edelweisstechnology.com/" TargetMode="External"/><Relationship Id="rId477" Type="http://schemas.openxmlformats.org/officeDocument/2006/relationships/hyperlink" Target="http://yahoo.com/" TargetMode="External"/><Relationship Id="rId600" Type="http://schemas.openxmlformats.org/officeDocument/2006/relationships/hyperlink" Target="http://yahoo.com/" TargetMode="External"/><Relationship Id="rId337" Type="http://schemas.openxmlformats.org/officeDocument/2006/relationships/hyperlink" Target="http://mediview.com/" TargetMode="External"/><Relationship Id="rId34" Type="http://schemas.openxmlformats.org/officeDocument/2006/relationships/hyperlink" Target="http://appliedvr.io/" TargetMode="External"/><Relationship Id="rId544" Type="http://schemas.openxmlformats.org/officeDocument/2006/relationships/hyperlink" Target="http://tensentric.com/" TargetMode="External"/><Relationship Id="rId183" Type="http://schemas.openxmlformats.org/officeDocument/2006/relationships/hyperlink" Target="http://elypta.com/" TargetMode="External"/><Relationship Id="rId390" Type="http://schemas.openxmlformats.org/officeDocument/2006/relationships/hyperlink" Target="http://neurentmedical.com/" TargetMode="External"/><Relationship Id="rId404" Type="http://schemas.openxmlformats.org/officeDocument/2006/relationships/hyperlink" Target="http://nousq.com/" TargetMode="External"/><Relationship Id="rId611" Type="http://schemas.openxmlformats.org/officeDocument/2006/relationships/hyperlink" Target="http://wayne.edu/" TargetMode="External"/><Relationship Id="rId250" Type="http://schemas.openxmlformats.org/officeDocument/2006/relationships/hyperlink" Target="http://hmhs.com/" TargetMode="External"/><Relationship Id="rId488" Type="http://schemas.openxmlformats.org/officeDocument/2006/relationships/hyperlink" Target="http://siterx.com/" TargetMode="External"/><Relationship Id="rId45" Type="http://schemas.openxmlformats.org/officeDocument/2006/relationships/hyperlink" Target="http://astraveus.com/" TargetMode="External"/><Relationship Id="rId110" Type="http://schemas.openxmlformats.org/officeDocument/2006/relationships/hyperlink" Target="http://centerlinebiomedical.com/" TargetMode="External"/><Relationship Id="rId348" Type="http://schemas.openxmlformats.org/officeDocument/2006/relationships/hyperlink" Target="http://mentice.com/" TargetMode="External"/><Relationship Id="rId555" Type="http://schemas.openxmlformats.org/officeDocument/2006/relationships/hyperlink" Target="http://mountsinai.org/" TargetMode="External"/><Relationship Id="rId194" Type="http://schemas.openxmlformats.org/officeDocument/2006/relationships/hyperlink" Target="http://epitel.com/" TargetMode="External"/><Relationship Id="rId208" Type="http://schemas.openxmlformats.org/officeDocument/2006/relationships/hyperlink" Target="http://freseniusmedicalcare.com/" TargetMode="External"/><Relationship Id="rId415" Type="http://schemas.openxmlformats.org/officeDocument/2006/relationships/hyperlink" Target="http://onwd.com/" TargetMode="External"/><Relationship Id="rId622" Type="http://schemas.openxmlformats.org/officeDocument/2006/relationships/hyperlink" Target="http://wsa.com/" TargetMode="External"/><Relationship Id="rId261" Type="http://schemas.openxmlformats.org/officeDocument/2006/relationships/hyperlink" Target="http://immutrix.com/" TargetMode="External"/><Relationship Id="rId499" Type="http://schemas.openxmlformats.org/officeDocument/2006/relationships/hyperlink" Target="http://sghs.org/" TargetMode="External"/><Relationship Id="rId56" Type="http://schemas.openxmlformats.org/officeDocument/2006/relationships/hyperlink" Target="http://baxter.com/" TargetMode="External"/><Relationship Id="rId359" Type="http://schemas.openxmlformats.org/officeDocument/2006/relationships/hyperlink" Target="http://1-protech.com/" TargetMode="External"/><Relationship Id="rId566" Type="http://schemas.openxmlformats.org/officeDocument/2006/relationships/hyperlink" Target="http://tripleringtech.com/" TargetMode="External"/><Relationship Id="rId121" Type="http://schemas.openxmlformats.org/officeDocument/2006/relationships/hyperlink" Target="http://cmrsurgical.com/" TargetMode="External"/><Relationship Id="rId219" Type="http://schemas.openxmlformats.org/officeDocument/2006/relationships/hyperlink" Target="http://gnhearing.com/" TargetMode="External"/><Relationship Id="rId426" Type="http://schemas.openxmlformats.org/officeDocument/2006/relationships/hyperlink" Target="http://oxos.com/" TargetMode="External"/><Relationship Id="rId633" Type="http://schemas.openxmlformats.org/officeDocument/2006/relationships/hyperlink" Target="http://zynex.com/" TargetMode="External"/><Relationship Id="rId67" Type="http://schemas.openxmlformats.org/officeDocument/2006/relationships/hyperlink" Target="http://bayer.com/" TargetMode="External"/><Relationship Id="rId272" Type="http://schemas.openxmlformats.org/officeDocument/2006/relationships/hyperlink" Target="http://inwound.com/" TargetMode="External"/><Relationship Id="rId577" Type="http://schemas.openxmlformats.org/officeDocument/2006/relationships/hyperlink" Target="http://ulrichmedical.com/" TargetMode="External"/><Relationship Id="rId132" Type="http://schemas.openxmlformats.org/officeDocument/2006/relationships/hyperlink" Target="http://congenius.ch/" TargetMode="External"/><Relationship Id="rId437" Type="http://schemas.openxmlformats.org/officeDocument/2006/relationships/hyperlink" Target="http://philips.com/" TargetMode="External"/><Relationship Id="rId644" Type="http://schemas.openxmlformats.org/officeDocument/2006/relationships/hyperlink" Target="http://union-investment.de/" TargetMode="External"/><Relationship Id="rId283" Type="http://schemas.openxmlformats.org/officeDocument/2006/relationships/hyperlink" Target="http://its.jnj.com/" TargetMode="External"/><Relationship Id="rId490" Type="http://schemas.openxmlformats.org/officeDocument/2006/relationships/hyperlink" Target="http://sk-telemed.co.at/" TargetMode="External"/><Relationship Id="rId504" Type="http://schemas.openxmlformats.org/officeDocument/2006/relationships/hyperlink" Target="http://sparkbiomedical.com/" TargetMode="External"/><Relationship Id="rId78" Type="http://schemas.openxmlformats.org/officeDocument/2006/relationships/hyperlink" Target="http://bd.com/" TargetMode="External"/><Relationship Id="rId143" Type="http://schemas.openxmlformats.org/officeDocument/2006/relationships/hyperlink" Target="http://cumulysinc.com/" TargetMode="External"/><Relationship Id="rId350" Type="http://schemas.openxmlformats.org/officeDocument/2006/relationships/hyperlink" Target="http://merck.com/" TargetMode="External"/><Relationship Id="rId588" Type="http://schemas.openxmlformats.org/officeDocument/2006/relationships/hyperlink" Target="http://velentium.com/" TargetMode="External"/><Relationship Id="rId9" Type="http://schemas.openxmlformats.org/officeDocument/2006/relationships/hyperlink" Target="http://acadiahealthcare.com/" TargetMode="External"/><Relationship Id="rId210" Type="http://schemas.openxmlformats.org/officeDocument/2006/relationships/hyperlink" Target="http://fusionmedtech.com/" TargetMode="External"/><Relationship Id="rId448" Type="http://schemas.openxmlformats.org/officeDocument/2006/relationships/hyperlink" Target="http://qas.ai/" TargetMode="External"/><Relationship Id="rId655" Type="http://schemas.openxmlformats.org/officeDocument/2006/relationships/hyperlink" Target="http://bd.com/" TargetMode="External"/><Relationship Id="rId294" Type="http://schemas.openxmlformats.org/officeDocument/2006/relationships/hyperlink" Target="http://askmrcglobal.com/" TargetMode="External"/><Relationship Id="rId308" Type="http://schemas.openxmlformats.org/officeDocument/2006/relationships/hyperlink" Target="http://lifepointhealth.net/" TargetMode="External"/><Relationship Id="rId515" Type="http://schemas.openxmlformats.org/officeDocument/2006/relationships/hyperlink" Target="http://stryker.com/" TargetMode="External"/><Relationship Id="rId89" Type="http://schemas.openxmlformats.org/officeDocument/2006/relationships/hyperlink" Target="http://brainrobotics.com/" TargetMode="External"/><Relationship Id="rId154" Type="http://schemas.openxmlformats.org/officeDocument/2006/relationships/hyperlink" Target="http://dekaresearch.com/" TargetMode="External"/><Relationship Id="rId361" Type="http://schemas.openxmlformats.org/officeDocument/2006/relationships/hyperlink" Target="http://microaire.com/" TargetMode="External"/><Relationship Id="rId599" Type="http://schemas.openxmlformats.org/officeDocument/2006/relationships/hyperlink" Target="http://voisinconsulting.com/" TargetMode="External"/><Relationship Id="rId459" Type="http://schemas.openxmlformats.org/officeDocument/2006/relationships/hyperlink" Target="http://rebion.net/" TargetMode="External"/><Relationship Id="rId666" Type="http://schemas.openxmlformats.org/officeDocument/2006/relationships/hyperlink" Target="http://karlstorz.com/" TargetMode="External"/><Relationship Id="rId16" Type="http://schemas.openxmlformats.org/officeDocument/2006/relationships/hyperlink" Target="http://acuityinternational.com/" TargetMode="External"/><Relationship Id="rId221" Type="http://schemas.openxmlformats.org/officeDocument/2006/relationships/hyperlink" Target="http://gmail.com/" TargetMode="External"/><Relationship Id="rId319" Type="http://schemas.openxmlformats.org/officeDocument/2006/relationships/hyperlink" Target="http://matrixreq.com/" TargetMode="External"/><Relationship Id="rId526" Type="http://schemas.openxmlformats.org/officeDocument/2006/relationships/hyperlink" Target="http://synchron.com/" TargetMode="External"/><Relationship Id="rId165" Type="http://schemas.openxmlformats.org/officeDocument/2006/relationships/hyperlink" Target="http://distalmotion.com/" TargetMode="External"/><Relationship Id="rId372" Type="http://schemas.openxmlformats.org/officeDocument/2006/relationships/hyperlink" Target="http://monarchmedtech.com/" TargetMode="External"/><Relationship Id="rId677" Type="http://schemas.openxmlformats.org/officeDocument/2006/relationships/hyperlink" Target="http://waveneuro.com/" TargetMode="External"/><Relationship Id="rId232" Type="http://schemas.openxmlformats.org/officeDocument/2006/relationships/hyperlink" Target="http://hf.org/" TargetMode="External"/><Relationship Id="rId27" Type="http://schemas.openxmlformats.org/officeDocument/2006/relationships/hyperlink" Target="http://allevoadvisors.com/" TargetMode="External"/><Relationship Id="rId537" Type="http://schemas.openxmlformats.org/officeDocument/2006/relationships/hyperlink" Target="http://tataelxsi.co.in/" TargetMode="External"/><Relationship Id="rId80" Type="http://schemas.openxmlformats.org/officeDocument/2006/relationships/hyperlink" Target="http://belmontmedtech.com/" TargetMode="External"/><Relationship Id="rId176" Type="http://schemas.openxmlformats.org/officeDocument/2006/relationships/hyperlink" Target="http://elitequalitysolutions.com/" TargetMode="External"/><Relationship Id="rId383" Type="http://schemas.openxmlformats.org/officeDocument/2006/relationships/hyperlink" Target="http://wysszurich.ch/" TargetMode="External"/><Relationship Id="rId590" Type="http://schemas.openxmlformats.org/officeDocument/2006/relationships/hyperlink" Target="http://verathon.com/" TargetMode="External"/><Relationship Id="rId604" Type="http://schemas.openxmlformats.org/officeDocument/2006/relationships/hyperlink" Target="http://voximetry.com/" TargetMode="External"/><Relationship Id="rId243" Type="http://schemas.openxmlformats.org/officeDocument/2006/relationships/hyperlink" Target="http://helbling-inc.com/" TargetMode="External"/><Relationship Id="rId450" Type="http://schemas.openxmlformats.org/officeDocument/2006/relationships/hyperlink" Target="http://qiagen.com/" TargetMode="External"/><Relationship Id="rId38" Type="http://schemas.openxmlformats.org/officeDocument/2006/relationships/hyperlink" Target="http://epredia.com/" TargetMode="External"/><Relationship Id="rId103" Type="http://schemas.openxmlformats.org/officeDocument/2006/relationships/hyperlink" Target="http://careeverywhere.com/" TargetMode="External"/><Relationship Id="rId310" Type="http://schemas.openxmlformats.org/officeDocument/2006/relationships/hyperlink" Target="http://livefullyinc.com/" TargetMode="External"/><Relationship Id="rId548" Type="http://schemas.openxmlformats.org/officeDocument/2006/relationships/hyperlink" Target="http://texashealth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R1587"/>
  <sheetViews>
    <sheetView tabSelected="1" zoomScale="142" zoomScaleNormal="142" workbookViewId="0">
      <pane ySplit="1" topLeftCell="A2" activePane="bottomLeft" state="frozen"/>
      <selection pane="bottomLeft" activeCell="C1" sqref="C1:C1048576"/>
    </sheetView>
  </sheetViews>
  <sheetFormatPr baseColWidth="10" defaultColWidth="12.6640625" defaultRowHeight="15.75" customHeight="1" x14ac:dyDescent="0.15"/>
  <cols>
    <col min="1" max="1" width="21.6640625" customWidth="1"/>
    <col min="2" max="2" width="28" hidden="1" customWidth="1"/>
    <col min="3" max="3" width="22.33203125" hidden="1" customWidth="1"/>
    <col min="4" max="4" width="16" hidden="1" customWidth="1"/>
    <col min="5" max="6" width="12.6640625" customWidth="1"/>
    <col min="7" max="8" width="12.6640625" hidden="1" customWidth="1"/>
    <col min="9" max="9" width="24.6640625" customWidth="1"/>
    <col min="10" max="10" width="12.6640625" hidden="1"/>
    <col min="11" max="11" width="1.6640625" hidden="1" customWidth="1"/>
    <col min="12" max="12" width="80" bestFit="1" customWidth="1"/>
    <col min="13" max="13" width="0" hidden="1" customWidth="1"/>
    <col min="14" max="16" width="12.6640625" hidden="1"/>
  </cols>
  <sheetData>
    <row r="1" spans="1:16" ht="15.75" customHeight="1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1" t="s">
        <v>13</v>
      </c>
      <c r="O1" s="1" t="s">
        <v>14</v>
      </c>
      <c r="P1" s="1" t="s">
        <v>15</v>
      </c>
    </row>
    <row r="2" spans="1:16" ht="15" x14ac:dyDescent="0.2">
      <c r="A2" s="4" t="s">
        <v>16</v>
      </c>
      <c r="B2" s="3" t="str">
        <f t="shared" ref="B2:B65" si="0">IF(H2&lt;&gt;"",H2,I2)</f>
        <v>william.lan@pdsmedicalgroupgreenvalley.com</v>
      </c>
      <c r="C2" s="3">
        <f t="shared" ref="C2:C65" si="1">COUNTIF($B$2:$B$1586,B2)</f>
        <v>1</v>
      </c>
      <c r="D2" s="2" t="s">
        <v>17</v>
      </c>
      <c r="E2" s="2" t="s">
        <v>18</v>
      </c>
      <c r="F2" s="2" t="s">
        <v>19</v>
      </c>
      <c r="I2" s="2" t="s">
        <v>20</v>
      </c>
      <c r="L2" s="2" t="s">
        <v>21</v>
      </c>
      <c r="M2" s="2" t="s">
        <v>22</v>
      </c>
    </row>
    <row r="3" spans="1:16" ht="15.75" customHeight="1" x14ac:dyDescent="0.15">
      <c r="A3" s="4" t="s">
        <v>23</v>
      </c>
      <c r="B3" s="3" t="str">
        <f t="shared" si="0"/>
        <v>No</v>
      </c>
      <c r="C3" s="3">
        <f t="shared" si="1"/>
        <v>2</v>
      </c>
      <c r="D3" s="5">
        <v>11491606588</v>
      </c>
      <c r="E3" s="4" t="s">
        <v>24</v>
      </c>
      <c r="F3" s="4" t="s">
        <v>25</v>
      </c>
      <c r="G3" s="4"/>
      <c r="H3" s="4" t="s">
        <v>26</v>
      </c>
      <c r="I3" s="4" t="s">
        <v>27</v>
      </c>
      <c r="J3" s="6" t="s">
        <v>28</v>
      </c>
      <c r="K3" s="7">
        <v>45420.676388888889</v>
      </c>
      <c r="L3" s="4" t="s">
        <v>29</v>
      </c>
      <c r="M3" s="4" t="s">
        <v>30</v>
      </c>
      <c r="N3" s="4"/>
      <c r="O3" s="5">
        <v>1</v>
      </c>
      <c r="P3" s="4" t="str">
        <f>IF(OR(M3="Customer", M3="Opportunity", H3="Yes", H3=TRUE, G3="Yes", G3=TRUE, O3&gt;0), "YES", "NO")</f>
        <v>YES</v>
      </c>
    </row>
    <row r="4" spans="1:16" ht="15.75" customHeight="1" x14ac:dyDescent="0.15">
      <c r="A4" s="4" t="s">
        <v>31</v>
      </c>
      <c r="B4" s="3" t="str">
        <f t="shared" si="0"/>
        <v>Yes</v>
      </c>
      <c r="C4" s="3">
        <f t="shared" si="1"/>
        <v>446</v>
      </c>
      <c r="D4" s="5">
        <v>11515400821</v>
      </c>
      <c r="E4" s="4" t="s">
        <v>32</v>
      </c>
      <c r="F4" s="4" t="s">
        <v>33</v>
      </c>
      <c r="G4" s="4"/>
      <c r="H4" s="4" t="s">
        <v>34</v>
      </c>
      <c r="I4" s="4" t="s">
        <v>35</v>
      </c>
      <c r="J4" s="6" t="s">
        <v>36</v>
      </c>
      <c r="K4" s="4"/>
      <c r="L4" s="4" t="s">
        <v>37</v>
      </c>
      <c r="M4" s="4" t="s">
        <v>38</v>
      </c>
      <c r="N4" s="4"/>
      <c r="O4" s="4"/>
      <c r="P4" s="4" t="str">
        <f>IF(OR(M4="Customer", M4="Opportunity", H4="Yes", H4=TRUE, G4="Yes", G4=TRUE, O4&gt;0), "YES", "NO")</f>
        <v>YES</v>
      </c>
    </row>
    <row r="5" spans="1:16" ht="15" x14ac:dyDescent="0.2">
      <c r="A5" s="2" t="s">
        <v>39</v>
      </c>
      <c r="B5" s="3" t="str">
        <f t="shared" si="0"/>
        <v>kculligan@3m.com</v>
      </c>
      <c r="C5" s="3">
        <f t="shared" si="1"/>
        <v>1</v>
      </c>
      <c r="D5" s="2" t="s">
        <v>40</v>
      </c>
      <c r="E5" s="2" t="s">
        <v>41</v>
      </c>
      <c r="F5" s="2" t="s">
        <v>42</v>
      </c>
      <c r="I5" s="2" t="s">
        <v>43</v>
      </c>
      <c r="L5" s="2" t="s">
        <v>44</v>
      </c>
      <c r="M5" s="2" t="s">
        <v>45</v>
      </c>
    </row>
    <row r="6" spans="1:16" ht="15.75" customHeight="1" x14ac:dyDescent="0.15">
      <c r="A6" s="4" t="s">
        <v>46</v>
      </c>
      <c r="B6" s="3" t="str">
        <f t="shared" si="0"/>
        <v>Yes</v>
      </c>
      <c r="C6" s="3">
        <f t="shared" si="1"/>
        <v>446</v>
      </c>
      <c r="D6" s="5">
        <v>11511483309</v>
      </c>
      <c r="E6" s="4" t="s">
        <v>47</v>
      </c>
      <c r="F6" s="4" t="s">
        <v>48</v>
      </c>
      <c r="G6" s="4"/>
      <c r="H6" s="4" t="s">
        <v>34</v>
      </c>
      <c r="I6" s="4" t="s">
        <v>49</v>
      </c>
      <c r="J6" s="6" t="s">
        <v>50</v>
      </c>
      <c r="K6" s="4"/>
      <c r="L6" s="4" t="s">
        <v>51</v>
      </c>
      <c r="M6" s="4" t="s">
        <v>38</v>
      </c>
      <c r="N6" s="4"/>
      <c r="O6" s="4"/>
      <c r="P6" s="4" t="str">
        <f>IF(OR(M6="Customer", M6="Opportunity", H6="Yes", H6=TRUE, G6="Yes", G6=TRUE, O6&gt;0), "YES", "NO")</f>
        <v>YES</v>
      </c>
    </row>
    <row r="7" spans="1:16" ht="15" x14ac:dyDescent="0.2">
      <c r="A7" s="2" t="s">
        <v>52</v>
      </c>
      <c r="B7" s="3" t="str">
        <f t="shared" si="0"/>
        <v>eanderson@4dmedical.com</v>
      </c>
      <c r="C7" s="3">
        <f t="shared" si="1"/>
        <v>1</v>
      </c>
      <c r="D7" s="2" t="s">
        <v>53</v>
      </c>
      <c r="E7" s="2" t="s">
        <v>54</v>
      </c>
      <c r="F7" s="2" t="s">
        <v>55</v>
      </c>
      <c r="I7" s="2" t="s">
        <v>56</v>
      </c>
      <c r="L7" s="2" t="s">
        <v>57</v>
      </c>
      <c r="M7" s="2" t="s">
        <v>45</v>
      </c>
    </row>
    <row r="8" spans="1:16" ht="15.75" customHeight="1" x14ac:dyDescent="0.15">
      <c r="A8" s="4" t="s">
        <v>58</v>
      </c>
      <c r="B8" s="3" t="str">
        <f t="shared" si="0"/>
        <v>michael.roberts2@abbott.com</v>
      </c>
      <c r="C8" s="3">
        <f t="shared" si="1"/>
        <v>1</v>
      </c>
      <c r="D8" s="5">
        <v>25021502264</v>
      </c>
      <c r="E8" s="4" t="s">
        <v>59</v>
      </c>
      <c r="F8" s="4" t="s">
        <v>60</v>
      </c>
      <c r="G8" s="4" t="s">
        <v>34</v>
      </c>
      <c r="H8" s="4"/>
      <c r="I8" s="4" t="s">
        <v>61</v>
      </c>
      <c r="J8" s="6" t="s">
        <v>62</v>
      </c>
      <c r="K8" s="4"/>
      <c r="L8" s="4" t="s">
        <v>63</v>
      </c>
      <c r="M8" s="4"/>
      <c r="N8" s="4"/>
      <c r="O8" s="4"/>
      <c r="P8" s="4" t="str">
        <f>IF(OR(M8="Customer", M8="Opportunity", H8="Yes", H8=TRUE, G8="Yes", G8=TRUE, O8&gt;0), "YES", "NO")</f>
        <v>YES</v>
      </c>
    </row>
    <row r="9" spans="1:16" ht="15" x14ac:dyDescent="0.2">
      <c r="A9" s="2" t="s">
        <v>58</v>
      </c>
      <c r="B9" s="3" t="str">
        <f t="shared" si="0"/>
        <v>dgcih@abbott.com</v>
      </c>
      <c r="C9" s="3">
        <f t="shared" si="1"/>
        <v>1</v>
      </c>
      <c r="D9" s="2" t="s">
        <v>64</v>
      </c>
      <c r="E9" s="2" t="s">
        <v>65</v>
      </c>
      <c r="F9" s="2" t="s">
        <v>66</v>
      </c>
      <c r="I9" s="2" t="s">
        <v>67</v>
      </c>
      <c r="L9" s="2" t="s">
        <v>68</v>
      </c>
      <c r="M9" s="2" t="s">
        <v>22</v>
      </c>
    </row>
    <row r="10" spans="1:16" ht="15" x14ac:dyDescent="0.2">
      <c r="A10" s="2" t="s">
        <v>58</v>
      </c>
      <c r="B10" s="3" t="str">
        <f t="shared" si="0"/>
        <v>chazelwood@abbott.com</v>
      </c>
      <c r="C10" s="3">
        <f t="shared" si="1"/>
        <v>1</v>
      </c>
      <c r="D10" s="2" t="s">
        <v>69</v>
      </c>
      <c r="E10" s="2" t="s">
        <v>70</v>
      </c>
      <c r="F10" s="2" t="s">
        <v>71</v>
      </c>
      <c r="I10" s="2" t="s">
        <v>72</v>
      </c>
      <c r="L10" s="2" t="s">
        <v>73</v>
      </c>
      <c r="M10" s="2" t="s">
        <v>22</v>
      </c>
    </row>
    <row r="11" spans="1:16" ht="15" x14ac:dyDescent="0.2">
      <c r="A11" s="2" t="s">
        <v>58</v>
      </c>
      <c r="B11" s="3" t="str">
        <f t="shared" si="0"/>
        <v>arandle@abbott.com</v>
      </c>
      <c r="C11" s="3">
        <f t="shared" si="1"/>
        <v>1</v>
      </c>
      <c r="D11" s="2" t="s">
        <v>74</v>
      </c>
      <c r="E11" s="2" t="s">
        <v>75</v>
      </c>
      <c r="F11" s="2" t="s">
        <v>76</v>
      </c>
      <c r="I11" s="2" t="s">
        <v>77</v>
      </c>
      <c r="L11" s="2" t="s">
        <v>78</v>
      </c>
      <c r="M11" s="2" t="s">
        <v>22</v>
      </c>
    </row>
    <row r="12" spans="1:16" ht="15" x14ac:dyDescent="0.2">
      <c r="A12" s="2" t="s">
        <v>58</v>
      </c>
      <c r="B12" s="3" t="str">
        <f t="shared" si="0"/>
        <v>kwarner@abbott.com</v>
      </c>
      <c r="C12" s="3">
        <f t="shared" si="1"/>
        <v>1</v>
      </c>
      <c r="D12" s="2" t="s">
        <v>79</v>
      </c>
      <c r="E12" s="2" t="s">
        <v>41</v>
      </c>
      <c r="F12" s="2" t="s">
        <v>80</v>
      </c>
      <c r="I12" s="2" t="s">
        <v>81</v>
      </c>
      <c r="L12" s="2" t="s">
        <v>82</v>
      </c>
      <c r="M12" s="2" t="s">
        <v>22</v>
      </c>
    </row>
    <row r="13" spans="1:16" ht="15" x14ac:dyDescent="0.2">
      <c r="A13" s="2" t="s">
        <v>58</v>
      </c>
      <c r="B13" s="3" t="str">
        <f t="shared" si="0"/>
        <v>ealcos@abbott.com</v>
      </c>
      <c r="C13" s="3">
        <f t="shared" si="1"/>
        <v>1</v>
      </c>
      <c r="D13" s="2" t="s">
        <v>83</v>
      </c>
      <c r="E13" s="2" t="s">
        <v>84</v>
      </c>
      <c r="F13" s="2" t="s">
        <v>85</v>
      </c>
      <c r="I13" s="2" t="s">
        <v>86</v>
      </c>
      <c r="L13" s="2" t="s">
        <v>87</v>
      </c>
      <c r="M13" s="2" t="s">
        <v>22</v>
      </c>
    </row>
    <row r="14" spans="1:16" ht="15" x14ac:dyDescent="0.2">
      <c r="A14" s="2" t="s">
        <v>58</v>
      </c>
      <c r="B14" s="3" t="str">
        <f t="shared" si="0"/>
        <v>dverga@abbott.com</v>
      </c>
      <c r="C14" s="3">
        <f t="shared" si="1"/>
        <v>1</v>
      </c>
      <c r="D14" s="2" t="s">
        <v>88</v>
      </c>
      <c r="E14" s="2" t="s">
        <v>89</v>
      </c>
      <c r="F14" s="2" t="s">
        <v>90</v>
      </c>
      <c r="I14" s="2" t="s">
        <v>91</v>
      </c>
      <c r="L14" s="2" t="s">
        <v>92</v>
      </c>
      <c r="M14" s="2" t="s">
        <v>22</v>
      </c>
    </row>
    <row r="15" spans="1:16" ht="15" x14ac:dyDescent="0.2">
      <c r="A15" s="2" t="s">
        <v>58</v>
      </c>
      <c r="B15" s="3" t="str">
        <f t="shared" si="0"/>
        <v>jesebanme@abbott.com</v>
      </c>
      <c r="C15" s="3">
        <f t="shared" si="1"/>
        <v>1</v>
      </c>
      <c r="D15" s="2" t="s">
        <v>93</v>
      </c>
      <c r="E15" s="2" t="s">
        <v>94</v>
      </c>
      <c r="F15" s="2" t="s">
        <v>95</v>
      </c>
      <c r="I15" s="2" t="s">
        <v>96</v>
      </c>
      <c r="L15" s="2" t="s">
        <v>97</v>
      </c>
      <c r="M15" s="2" t="s">
        <v>22</v>
      </c>
    </row>
    <row r="16" spans="1:16" ht="15" x14ac:dyDescent="0.2">
      <c r="A16" s="2" t="s">
        <v>58</v>
      </c>
      <c r="B16" s="3" t="str">
        <f t="shared" si="0"/>
        <v>bgutzman@abbott.com</v>
      </c>
      <c r="C16" s="3">
        <f t="shared" si="1"/>
        <v>1</v>
      </c>
      <c r="D16" s="2" t="s">
        <v>98</v>
      </c>
      <c r="E16" s="2" t="s">
        <v>99</v>
      </c>
      <c r="F16" s="2" t="s">
        <v>100</v>
      </c>
      <c r="I16" s="2" t="s">
        <v>101</v>
      </c>
      <c r="L16" s="2" t="s">
        <v>102</v>
      </c>
      <c r="M16" s="2" t="s">
        <v>22</v>
      </c>
    </row>
    <row r="17" spans="1:13" ht="15" x14ac:dyDescent="0.2">
      <c r="A17" s="2" t="s">
        <v>58</v>
      </c>
      <c r="B17" s="3" t="str">
        <f t="shared" si="0"/>
        <v>amerle@abbott.com</v>
      </c>
      <c r="C17" s="3">
        <f t="shared" si="1"/>
        <v>1</v>
      </c>
      <c r="D17" s="2" t="s">
        <v>103</v>
      </c>
      <c r="E17" s="2" t="s">
        <v>104</v>
      </c>
      <c r="F17" s="2" t="s">
        <v>105</v>
      </c>
      <c r="I17" s="2" t="s">
        <v>106</v>
      </c>
      <c r="L17" s="2" t="s">
        <v>107</v>
      </c>
      <c r="M17" s="2" t="s">
        <v>22</v>
      </c>
    </row>
    <row r="18" spans="1:13" ht="15" x14ac:dyDescent="0.2">
      <c r="A18" s="2" t="s">
        <v>58</v>
      </c>
      <c r="B18" s="3" t="str">
        <f t="shared" si="0"/>
        <v>ebonsu@abbott.com</v>
      </c>
      <c r="C18" s="3">
        <f t="shared" si="1"/>
        <v>1</v>
      </c>
      <c r="D18" s="2" t="s">
        <v>108</v>
      </c>
      <c r="E18" s="2" t="s">
        <v>109</v>
      </c>
      <c r="F18" s="2" t="s">
        <v>110</v>
      </c>
      <c r="I18" s="2" t="s">
        <v>111</v>
      </c>
      <c r="L18" s="2" t="s">
        <v>112</v>
      </c>
      <c r="M18" s="2" t="s">
        <v>22</v>
      </c>
    </row>
    <row r="19" spans="1:13" ht="15" x14ac:dyDescent="0.2">
      <c r="A19" s="2" t="s">
        <v>58</v>
      </c>
      <c r="B19" s="3" t="str">
        <f t="shared" si="0"/>
        <v>awolkenhauer@abbott.com</v>
      </c>
      <c r="C19" s="3">
        <f t="shared" si="1"/>
        <v>1</v>
      </c>
      <c r="D19" s="2" t="s">
        <v>113</v>
      </c>
      <c r="E19" s="2" t="s">
        <v>114</v>
      </c>
      <c r="F19" s="2" t="s">
        <v>115</v>
      </c>
      <c r="I19" s="2" t="s">
        <v>116</v>
      </c>
      <c r="L19" s="2" t="s">
        <v>117</v>
      </c>
      <c r="M19" s="2" t="s">
        <v>22</v>
      </c>
    </row>
    <row r="20" spans="1:13" ht="15" x14ac:dyDescent="0.2">
      <c r="A20" s="2" t="s">
        <v>58</v>
      </c>
      <c r="B20" s="3" t="str">
        <f t="shared" si="0"/>
        <v>dodland@abbott.com</v>
      </c>
      <c r="C20" s="3">
        <f t="shared" si="1"/>
        <v>1</v>
      </c>
      <c r="D20" s="2" t="s">
        <v>118</v>
      </c>
      <c r="E20" s="2" t="s">
        <v>119</v>
      </c>
      <c r="F20" s="2" t="s">
        <v>120</v>
      </c>
      <c r="I20" s="2" t="s">
        <v>121</v>
      </c>
      <c r="L20" s="2" t="s">
        <v>122</v>
      </c>
      <c r="M20" s="2" t="s">
        <v>22</v>
      </c>
    </row>
    <row r="21" spans="1:13" ht="15" x14ac:dyDescent="0.2">
      <c r="A21" s="2" t="s">
        <v>58</v>
      </c>
      <c r="B21" s="3" t="str">
        <f t="shared" si="0"/>
        <v>esirwani@abbott.com</v>
      </c>
      <c r="C21" s="3">
        <f t="shared" si="1"/>
        <v>1</v>
      </c>
      <c r="D21" s="2" t="s">
        <v>123</v>
      </c>
      <c r="E21" s="2" t="s">
        <v>124</v>
      </c>
      <c r="F21" s="2" t="s">
        <v>125</v>
      </c>
      <c r="I21" s="2" t="s">
        <v>126</v>
      </c>
      <c r="L21" s="2" t="s">
        <v>127</v>
      </c>
      <c r="M21" s="2" t="s">
        <v>22</v>
      </c>
    </row>
    <row r="22" spans="1:13" ht="15" x14ac:dyDescent="0.2">
      <c r="A22" s="2" t="s">
        <v>58</v>
      </c>
      <c r="B22" s="3" t="str">
        <f t="shared" si="0"/>
        <v>amohammed@abbott.com</v>
      </c>
      <c r="C22" s="3">
        <f t="shared" si="1"/>
        <v>1</v>
      </c>
      <c r="D22" s="2" t="s">
        <v>128</v>
      </c>
      <c r="E22" s="2" t="s">
        <v>129</v>
      </c>
      <c r="F22" s="2" t="s">
        <v>130</v>
      </c>
      <c r="I22" s="2" t="s">
        <v>131</v>
      </c>
      <c r="L22" s="2" t="s">
        <v>132</v>
      </c>
      <c r="M22" s="2" t="s">
        <v>22</v>
      </c>
    </row>
    <row r="23" spans="1:13" ht="15" x14ac:dyDescent="0.2">
      <c r="A23" s="2" t="s">
        <v>58</v>
      </c>
      <c r="B23" s="3" t="str">
        <f t="shared" si="0"/>
        <v>kmay@abbott.com</v>
      </c>
      <c r="C23" s="3">
        <f t="shared" si="1"/>
        <v>1</v>
      </c>
      <c r="D23" s="2" t="s">
        <v>133</v>
      </c>
      <c r="E23" s="2" t="s">
        <v>134</v>
      </c>
      <c r="F23" s="2" t="s">
        <v>135</v>
      </c>
      <c r="I23" s="2" t="s">
        <v>136</v>
      </c>
      <c r="L23" s="2" t="s">
        <v>137</v>
      </c>
      <c r="M23" s="2" t="s">
        <v>22</v>
      </c>
    </row>
    <row r="24" spans="1:13" ht="15" x14ac:dyDescent="0.2">
      <c r="A24" s="2" t="s">
        <v>58</v>
      </c>
      <c r="B24" s="3" t="str">
        <f t="shared" si="0"/>
        <v>jgilstrap@abbott.com</v>
      </c>
      <c r="C24" s="3">
        <f t="shared" si="1"/>
        <v>1</v>
      </c>
      <c r="D24" s="2" t="s">
        <v>138</v>
      </c>
      <c r="E24" s="2" t="s">
        <v>139</v>
      </c>
      <c r="F24" s="2" t="s">
        <v>140</v>
      </c>
      <c r="I24" s="2" t="s">
        <v>141</v>
      </c>
      <c r="L24" s="2" t="s">
        <v>78</v>
      </c>
      <c r="M24" s="2" t="s">
        <v>22</v>
      </c>
    </row>
    <row r="25" spans="1:13" ht="15" x14ac:dyDescent="0.2">
      <c r="A25" s="2" t="s">
        <v>58</v>
      </c>
      <c r="B25" s="3" t="str">
        <f t="shared" si="0"/>
        <v>ckleczka@abbott.com</v>
      </c>
      <c r="C25" s="3">
        <f t="shared" si="1"/>
        <v>1</v>
      </c>
      <c r="D25" s="2" t="s">
        <v>142</v>
      </c>
      <c r="E25" s="2" t="s">
        <v>143</v>
      </c>
      <c r="F25" s="2" t="s">
        <v>144</v>
      </c>
      <c r="I25" s="2" t="s">
        <v>145</v>
      </c>
      <c r="L25" s="2" t="s">
        <v>146</v>
      </c>
      <c r="M25" s="2" t="s">
        <v>22</v>
      </c>
    </row>
    <row r="26" spans="1:13" ht="15" x14ac:dyDescent="0.2">
      <c r="A26" s="2" t="s">
        <v>58</v>
      </c>
      <c r="B26" s="3" t="str">
        <f t="shared" si="0"/>
        <v>bandrews@abbott.com</v>
      </c>
      <c r="C26" s="3">
        <f t="shared" si="1"/>
        <v>1</v>
      </c>
      <c r="D26" s="2" t="s">
        <v>147</v>
      </c>
      <c r="E26" s="2" t="s">
        <v>148</v>
      </c>
      <c r="F26" s="2" t="s">
        <v>149</v>
      </c>
      <c r="I26" s="2" t="s">
        <v>150</v>
      </c>
      <c r="L26" s="2" t="s">
        <v>151</v>
      </c>
      <c r="M26" s="2" t="s">
        <v>22</v>
      </c>
    </row>
    <row r="27" spans="1:13" ht="15" x14ac:dyDescent="0.2">
      <c r="A27" s="2" t="s">
        <v>58</v>
      </c>
      <c r="B27" s="3" t="str">
        <f t="shared" si="0"/>
        <v>jkorcheck@abbott.com</v>
      </c>
      <c r="C27" s="3">
        <f t="shared" si="1"/>
        <v>1</v>
      </c>
      <c r="D27" s="2" t="s">
        <v>152</v>
      </c>
      <c r="E27" s="2" t="s">
        <v>153</v>
      </c>
      <c r="F27" s="2" t="s">
        <v>154</v>
      </c>
      <c r="I27" s="2" t="s">
        <v>155</v>
      </c>
      <c r="L27" s="2" t="s">
        <v>132</v>
      </c>
      <c r="M27" s="2" t="s">
        <v>22</v>
      </c>
    </row>
    <row r="28" spans="1:13" ht="15" x14ac:dyDescent="0.2">
      <c r="A28" s="2" t="s">
        <v>58</v>
      </c>
      <c r="B28" s="3" t="str">
        <f t="shared" si="0"/>
        <v>aakepede@abbott.com</v>
      </c>
      <c r="C28" s="3">
        <f t="shared" si="1"/>
        <v>1</v>
      </c>
      <c r="D28" s="2" t="s">
        <v>156</v>
      </c>
      <c r="E28" s="2" t="s">
        <v>157</v>
      </c>
      <c r="F28" s="2" t="s">
        <v>158</v>
      </c>
      <c r="I28" s="2" t="s">
        <v>159</v>
      </c>
      <c r="L28" s="2" t="s">
        <v>160</v>
      </c>
      <c r="M28" s="2" t="s">
        <v>22</v>
      </c>
    </row>
    <row r="29" spans="1:13" ht="15" x14ac:dyDescent="0.2">
      <c r="A29" s="2" t="s">
        <v>58</v>
      </c>
      <c r="B29" s="3" t="str">
        <f t="shared" si="0"/>
        <v>epeters@abbott.com</v>
      </c>
      <c r="C29" s="3">
        <f t="shared" si="1"/>
        <v>1</v>
      </c>
      <c r="D29" s="2" t="s">
        <v>161</v>
      </c>
      <c r="E29" s="2" t="s">
        <v>162</v>
      </c>
      <c r="F29" s="2" t="s">
        <v>163</v>
      </c>
      <c r="I29" s="2" t="s">
        <v>164</v>
      </c>
      <c r="L29" s="2" t="s">
        <v>165</v>
      </c>
      <c r="M29" s="2" t="s">
        <v>22</v>
      </c>
    </row>
    <row r="30" spans="1:13" ht="15" x14ac:dyDescent="0.2">
      <c r="A30" s="2" t="s">
        <v>58</v>
      </c>
      <c r="B30" s="3" t="str">
        <f t="shared" si="0"/>
        <v>ashrestha@abbott.com</v>
      </c>
      <c r="C30" s="3">
        <f t="shared" si="1"/>
        <v>1</v>
      </c>
      <c r="D30" s="2" t="s">
        <v>166</v>
      </c>
      <c r="E30" s="2" t="s">
        <v>167</v>
      </c>
      <c r="F30" s="2" t="s">
        <v>168</v>
      </c>
      <c r="I30" s="2" t="s">
        <v>169</v>
      </c>
      <c r="L30" s="2" t="s">
        <v>170</v>
      </c>
      <c r="M30" s="2" t="s">
        <v>22</v>
      </c>
    </row>
    <row r="31" spans="1:13" ht="15" x14ac:dyDescent="0.2">
      <c r="A31" s="2" t="s">
        <v>58</v>
      </c>
      <c r="B31" s="3" t="str">
        <f t="shared" si="0"/>
        <v>efigler@abbott.com</v>
      </c>
      <c r="C31" s="3">
        <f t="shared" si="1"/>
        <v>1</v>
      </c>
      <c r="D31" s="2" t="s">
        <v>171</v>
      </c>
      <c r="E31" s="2" t="s">
        <v>172</v>
      </c>
      <c r="F31" s="2" t="s">
        <v>173</v>
      </c>
      <c r="I31" s="2" t="s">
        <v>174</v>
      </c>
      <c r="L31" s="2" t="s">
        <v>175</v>
      </c>
      <c r="M31" s="2" t="s">
        <v>22</v>
      </c>
    </row>
    <row r="32" spans="1:13" ht="15" x14ac:dyDescent="0.2">
      <c r="A32" s="2" t="s">
        <v>58</v>
      </c>
      <c r="B32" s="3" t="str">
        <f t="shared" si="0"/>
        <v>jparks@abbott.com</v>
      </c>
      <c r="C32" s="3">
        <f t="shared" si="1"/>
        <v>1</v>
      </c>
      <c r="D32" s="2" t="s">
        <v>176</v>
      </c>
      <c r="E32" s="2" t="s">
        <v>177</v>
      </c>
      <c r="F32" s="2" t="s">
        <v>178</v>
      </c>
      <c r="I32" s="2" t="s">
        <v>179</v>
      </c>
      <c r="L32" s="2" t="s">
        <v>180</v>
      </c>
      <c r="M32" s="2" t="s">
        <v>22</v>
      </c>
    </row>
    <row r="33" spans="1:13" ht="15" x14ac:dyDescent="0.2">
      <c r="A33" s="2" t="s">
        <v>58</v>
      </c>
      <c r="B33" s="3" t="str">
        <f t="shared" si="0"/>
        <v>ledgar@abbott.com</v>
      </c>
      <c r="C33" s="3">
        <f t="shared" si="1"/>
        <v>1</v>
      </c>
      <c r="D33" s="2" t="s">
        <v>181</v>
      </c>
      <c r="E33" s="2" t="s">
        <v>182</v>
      </c>
      <c r="F33" s="2" t="s">
        <v>183</v>
      </c>
      <c r="I33" s="2" t="s">
        <v>184</v>
      </c>
      <c r="L33" s="2" t="s">
        <v>185</v>
      </c>
      <c r="M33" s="2" t="s">
        <v>22</v>
      </c>
    </row>
    <row r="34" spans="1:13" ht="15" x14ac:dyDescent="0.2">
      <c r="A34" s="2" t="s">
        <v>58</v>
      </c>
      <c r="B34" s="3" t="str">
        <f t="shared" si="0"/>
        <v>jjohnson@abbott.com</v>
      </c>
      <c r="C34" s="3">
        <f t="shared" si="1"/>
        <v>1</v>
      </c>
      <c r="D34" s="2" t="s">
        <v>186</v>
      </c>
      <c r="E34" s="2" t="s">
        <v>187</v>
      </c>
      <c r="F34" s="2" t="s">
        <v>188</v>
      </c>
      <c r="I34" s="2" t="s">
        <v>189</v>
      </c>
      <c r="L34" s="2" t="s">
        <v>190</v>
      </c>
      <c r="M34" s="2" t="s">
        <v>22</v>
      </c>
    </row>
    <row r="35" spans="1:13" ht="15" x14ac:dyDescent="0.2">
      <c r="A35" s="2" t="s">
        <v>58</v>
      </c>
      <c r="B35" s="3" t="str">
        <f t="shared" si="0"/>
        <v>mburge@abbott.com</v>
      </c>
      <c r="C35" s="3">
        <f t="shared" si="1"/>
        <v>1</v>
      </c>
      <c r="D35" s="2" t="s">
        <v>191</v>
      </c>
      <c r="E35" s="2" t="s">
        <v>192</v>
      </c>
      <c r="F35" s="2" t="s">
        <v>193</v>
      </c>
      <c r="I35" s="2" t="s">
        <v>194</v>
      </c>
      <c r="L35" s="2" t="s">
        <v>195</v>
      </c>
      <c r="M35" s="2" t="s">
        <v>22</v>
      </c>
    </row>
    <row r="36" spans="1:13" ht="15" x14ac:dyDescent="0.2">
      <c r="A36" s="2" t="s">
        <v>58</v>
      </c>
      <c r="B36" s="3" t="str">
        <f t="shared" si="0"/>
        <v>bmathews@abbott.com</v>
      </c>
      <c r="C36" s="3">
        <f t="shared" si="1"/>
        <v>1</v>
      </c>
      <c r="D36" s="2" t="s">
        <v>196</v>
      </c>
      <c r="E36" s="2" t="s">
        <v>197</v>
      </c>
      <c r="F36" s="2" t="s">
        <v>198</v>
      </c>
      <c r="I36" s="2" t="s">
        <v>199</v>
      </c>
      <c r="L36" s="2" t="s">
        <v>200</v>
      </c>
      <c r="M36" s="2" t="s">
        <v>22</v>
      </c>
    </row>
    <row r="37" spans="1:13" ht="15" x14ac:dyDescent="0.2">
      <c r="A37" s="2" t="s">
        <v>58</v>
      </c>
      <c r="B37" s="3" t="str">
        <f t="shared" si="0"/>
        <v>kmontague@abbott.com</v>
      </c>
      <c r="C37" s="3">
        <f t="shared" si="1"/>
        <v>1</v>
      </c>
      <c r="D37" s="2" t="s">
        <v>201</v>
      </c>
      <c r="E37" s="2" t="s">
        <v>202</v>
      </c>
      <c r="F37" s="2" t="s">
        <v>203</v>
      </c>
      <c r="I37" s="2" t="s">
        <v>204</v>
      </c>
      <c r="L37" s="2" t="s">
        <v>205</v>
      </c>
      <c r="M37" s="2" t="s">
        <v>22</v>
      </c>
    </row>
    <row r="38" spans="1:13" ht="15" x14ac:dyDescent="0.2">
      <c r="A38" s="2" t="s">
        <v>58</v>
      </c>
      <c r="B38" s="3" t="str">
        <f t="shared" si="0"/>
        <v>mjacobs@abbott.com</v>
      </c>
      <c r="C38" s="3">
        <f t="shared" si="1"/>
        <v>1</v>
      </c>
      <c r="D38" s="2" t="s">
        <v>206</v>
      </c>
      <c r="E38" s="2" t="s">
        <v>207</v>
      </c>
      <c r="F38" s="2" t="s">
        <v>208</v>
      </c>
      <c r="I38" s="2" t="s">
        <v>209</v>
      </c>
      <c r="L38" s="2" t="s">
        <v>210</v>
      </c>
      <c r="M38" s="2" t="s">
        <v>22</v>
      </c>
    </row>
    <row r="39" spans="1:13" ht="15" x14ac:dyDescent="0.2">
      <c r="A39" s="2" t="s">
        <v>58</v>
      </c>
      <c r="B39" s="3" t="str">
        <f t="shared" si="0"/>
        <v>hmanzanares@abbott.com</v>
      </c>
      <c r="C39" s="3">
        <f t="shared" si="1"/>
        <v>1</v>
      </c>
      <c r="D39" s="2" t="s">
        <v>211</v>
      </c>
      <c r="E39" s="2" t="s">
        <v>212</v>
      </c>
      <c r="F39" s="2" t="s">
        <v>213</v>
      </c>
      <c r="I39" s="2" t="s">
        <v>214</v>
      </c>
      <c r="L39" s="2" t="s">
        <v>215</v>
      </c>
      <c r="M39" s="2" t="s">
        <v>22</v>
      </c>
    </row>
    <row r="40" spans="1:13" ht="15" x14ac:dyDescent="0.2">
      <c r="A40" s="2" t="s">
        <v>58</v>
      </c>
      <c r="B40" s="3" t="str">
        <f t="shared" si="0"/>
        <v>dtorseth@abbott.com</v>
      </c>
      <c r="C40" s="3">
        <f t="shared" si="1"/>
        <v>1</v>
      </c>
      <c r="D40" s="2" t="s">
        <v>216</v>
      </c>
      <c r="E40" s="2" t="s">
        <v>217</v>
      </c>
      <c r="F40" s="2" t="s">
        <v>218</v>
      </c>
      <c r="I40" s="2" t="s">
        <v>219</v>
      </c>
      <c r="L40" s="2" t="s">
        <v>132</v>
      </c>
      <c r="M40" s="2" t="s">
        <v>22</v>
      </c>
    </row>
    <row r="41" spans="1:13" ht="15" x14ac:dyDescent="0.2">
      <c r="A41" s="2" t="s">
        <v>58</v>
      </c>
      <c r="B41" s="3" t="str">
        <f t="shared" si="0"/>
        <v>bkellison@abbott.com</v>
      </c>
      <c r="C41" s="3">
        <f t="shared" si="1"/>
        <v>1</v>
      </c>
      <c r="D41" s="2" t="s">
        <v>220</v>
      </c>
      <c r="E41" s="2" t="s">
        <v>221</v>
      </c>
      <c r="F41" s="2" t="s">
        <v>222</v>
      </c>
      <c r="I41" s="2" t="s">
        <v>223</v>
      </c>
      <c r="L41" s="2" t="s">
        <v>224</v>
      </c>
      <c r="M41" s="2" t="s">
        <v>22</v>
      </c>
    </row>
    <row r="42" spans="1:13" ht="15" x14ac:dyDescent="0.2">
      <c r="A42" s="2" t="s">
        <v>58</v>
      </c>
      <c r="B42" s="3" t="str">
        <f t="shared" si="0"/>
        <v>mhaley@abbott.com</v>
      </c>
      <c r="C42" s="3">
        <f t="shared" si="1"/>
        <v>1</v>
      </c>
      <c r="D42" s="2" t="s">
        <v>225</v>
      </c>
      <c r="E42" s="2" t="s">
        <v>207</v>
      </c>
      <c r="F42" s="2" t="s">
        <v>226</v>
      </c>
      <c r="I42" s="2" t="s">
        <v>227</v>
      </c>
      <c r="L42" s="2" t="s">
        <v>228</v>
      </c>
      <c r="M42" s="2" t="s">
        <v>22</v>
      </c>
    </row>
    <row r="43" spans="1:13" ht="15" x14ac:dyDescent="0.2">
      <c r="A43" s="2" t="s">
        <v>58</v>
      </c>
      <c r="B43" s="3" t="str">
        <f t="shared" si="0"/>
        <v>mmarley@abbott.com</v>
      </c>
      <c r="C43" s="3">
        <f t="shared" si="1"/>
        <v>1</v>
      </c>
      <c r="D43" s="2" t="s">
        <v>229</v>
      </c>
      <c r="E43" s="2" t="s">
        <v>230</v>
      </c>
      <c r="F43" s="2" t="s">
        <v>231</v>
      </c>
      <c r="I43" s="2" t="s">
        <v>232</v>
      </c>
      <c r="L43" s="2" t="s">
        <v>233</v>
      </c>
      <c r="M43" s="2" t="s">
        <v>22</v>
      </c>
    </row>
    <row r="44" spans="1:13" ht="15" x14ac:dyDescent="0.2">
      <c r="A44" s="2" t="s">
        <v>58</v>
      </c>
      <c r="B44" s="3" t="str">
        <f t="shared" si="0"/>
        <v>aray@abbott.com</v>
      </c>
      <c r="C44" s="3">
        <f t="shared" si="1"/>
        <v>1</v>
      </c>
      <c r="D44" s="2" t="s">
        <v>234</v>
      </c>
      <c r="E44" s="2" t="s">
        <v>235</v>
      </c>
      <c r="F44" s="2" t="s">
        <v>236</v>
      </c>
      <c r="I44" s="2" t="s">
        <v>237</v>
      </c>
      <c r="L44" s="2" t="s">
        <v>238</v>
      </c>
      <c r="M44" s="2" t="s">
        <v>22</v>
      </c>
    </row>
    <row r="45" spans="1:13" ht="15" x14ac:dyDescent="0.2">
      <c r="A45" s="2" t="s">
        <v>58</v>
      </c>
      <c r="B45" s="3" t="str">
        <f t="shared" si="0"/>
        <v>dmrozek@abbott.com</v>
      </c>
      <c r="C45" s="3">
        <f t="shared" si="1"/>
        <v>1</v>
      </c>
      <c r="D45" s="2" t="s">
        <v>239</v>
      </c>
      <c r="E45" s="2" t="s">
        <v>240</v>
      </c>
      <c r="F45" s="2" t="s">
        <v>241</v>
      </c>
      <c r="I45" s="2" t="s">
        <v>242</v>
      </c>
      <c r="L45" s="2" t="s">
        <v>243</v>
      </c>
      <c r="M45" s="2" t="s">
        <v>22</v>
      </c>
    </row>
    <row r="46" spans="1:13" ht="15" x14ac:dyDescent="0.2">
      <c r="A46" s="2" t="s">
        <v>58</v>
      </c>
      <c r="B46" s="3" t="str">
        <f t="shared" si="0"/>
        <v>aaltepeter@abbott.com</v>
      </c>
      <c r="C46" s="3">
        <f t="shared" si="1"/>
        <v>1</v>
      </c>
      <c r="D46" s="2" t="s">
        <v>244</v>
      </c>
      <c r="E46" s="2" t="s">
        <v>245</v>
      </c>
      <c r="F46" s="2" t="s">
        <v>246</v>
      </c>
      <c r="I46" s="2" t="s">
        <v>247</v>
      </c>
      <c r="L46" s="2" t="s">
        <v>248</v>
      </c>
      <c r="M46" s="2" t="s">
        <v>22</v>
      </c>
    </row>
    <row r="47" spans="1:13" ht="15" x14ac:dyDescent="0.2">
      <c r="A47" s="2" t="s">
        <v>58</v>
      </c>
      <c r="B47" s="3" t="str">
        <f t="shared" si="0"/>
        <v>jweitzel@abbott.com</v>
      </c>
      <c r="C47" s="3">
        <f t="shared" si="1"/>
        <v>1</v>
      </c>
      <c r="D47" s="2" t="s">
        <v>249</v>
      </c>
      <c r="E47" s="2" t="s">
        <v>94</v>
      </c>
      <c r="F47" s="2" t="s">
        <v>250</v>
      </c>
      <c r="I47" s="2" t="s">
        <v>251</v>
      </c>
      <c r="L47" s="2" t="s">
        <v>252</v>
      </c>
      <c r="M47" s="2" t="s">
        <v>22</v>
      </c>
    </row>
    <row r="48" spans="1:13" ht="15" x14ac:dyDescent="0.2">
      <c r="A48" s="2" t="s">
        <v>58</v>
      </c>
      <c r="B48" s="3" t="str">
        <f t="shared" si="0"/>
        <v>fmalek@abbott.com</v>
      </c>
      <c r="C48" s="3">
        <f t="shared" si="1"/>
        <v>1</v>
      </c>
      <c r="D48" s="2" t="s">
        <v>253</v>
      </c>
      <c r="E48" s="2" t="s">
        <v>254</v>
      </c>
      <c r="F48" s="2" t="s">
        <v>255</v>
      </c>
      <c r="I48" s="2" t="s">
        <v>256</v>
      </c>
      <c r="L48" s="2" t="s">
        <v>257</v>
      </c>
      <c r="M48" s="2" t="s">
        <v>22</v>
      </c>
    </row>
    <row r="49" spans="1:13" ht="15" x14ac:dyDescent="0.2">
      <c r="A49" s="2" t="s">
        <v>58</v>
      </c>
      <c r="B49" s="3" t="str">
        <f t="shared" si="0"/>
        <v>bperez@abbott.com</v>
      </c>
      <c r="C49" s="3">
        <f t="shared" si="1"/>
        <v>1</v>
      </c>
      <c r="D49" s="2" t="s">
        <v>258</v>
      </c>
      <c r="E49" s="2" t="s">
        <v>259</v>
      </c>
      <c r="F49" s="2" t="s">
        <v>260</v>
      </c>
      <c r="I49" s="2" t="s">
        <v>261</v>
      </c>
      <c r="L49" s="2" t="s">
        <v>262</v>
      </c>
      <c r="M49" s="2" t="s">
        <v>22</v>
      </c>
    </row>
    <row r="50" spans="1:13" ht="15" x14ac:dyDescent="0.2">
      <c r="A50" s="2" t="s">
        <v>58</v>
      </c>
      <c r="B50" s="3" t="str">
        <f t="shared" si="0"/>
        <v>jmeade@abbott.com</v>
      </c>
      <c r="C50" s="3">
        <f t="shared" si="1"/>
        <v>1</v>
      </c>
      <c r="D50" s="2" t="s">
        <v>263</v>
      </c>
      <c r="E50" s="2" t="s">
        <v>264</v>
      </c>
      <c r="F50" s="2" t="s">
        <v>265</v>
      </c>
      <c r="I50" s="2" t="s">
        <v>266</v>
      </c>
      <c r="L50" s="2" t="s">
        <v>267</v>
      </c>
      <c r="M50" s="2" t="s">
        <v>22</v>
      </c>
    </row>
    <row r="51" spans="1:13" ht="15" x14ac:dyDescent="0.2">
      <c r="A51" s="2" t="s">
        <v>58</v>
      </c>
      <c r="B51" s="3" t="str">
        <f t="shared" si="0"/>
        <v>cherzfeld@abbott.com</v>
      </c>
      <c r="C51" s="3">
        <f t="shared" si="1"/>
        <v>1</v>
      </c>
      <c r="D51" s="2" t="s">
        <v>268</v>
      </c>
      <c r="E51" s="2" t="s">
        <v>269</v>
      </c>
      <c r="F51" s="2" t="s">
        <v>270</v>
      </c>
      <c r="I51" s="2" t="s">
        <v>271</v>
      </c>
      <c r="L51" s="2" t="s">
        <v>272</v>
      </c>
      <c r="M51" s="2" t="s">
        <v>22</v>
      </c>
    </row>
    <row r="52" spans="1:13" ht="15" x14ac:dyDescent="0.2">
      <c r="A52" s="2" t="s">
        <v>58</v>
      </c>
      <c r="B52" s="3" t="str">
        <f t="shared" si="0"/>
        <v>cdominguez@abbott.com</v>
      </c>
      <c r="C52" s="3">
        <f t="shared" si="1"/>
        <v>1</v>
      </c>
      <c r="D52" s="2" t="s">
        <v>273</v>
      </c>
      <c r="E52" s="2" t="s">
        <v>274</v>
      </c>
      <c r="F52" s="2" t="s">
        <v>275</v>
      </c>
      <c r="I52" s="2" t="s">
        <v>276</v>
      </c>
      <c r="L52" s="2" t="s">
        <v>277</v>
      </c>
      <c r="M52" s="2" t="s">
        <v>22</v>
      </c>
    </row>
    <row r="53" spans="1:13" ht="15" x14ac:dyDescent="0.2">
      <c r="A53" s="2" t="s">
        <v>58</v>
      </c>
      <c r="B53" s="3" t="str">
        <f t="shared" si="0"/>
        <v>lwang@abbott.com</v>
      </c>
      <c r="C53" s="3">
        <f t="shared" si="1"/>
        <v>1</v>
      </c>
      <c r="D53" s="2" t="s">
        <v>278</v>
      </c>
      <c r="E53" s="2" t="s">
        <v>279</v>
      </c>
      <c r="F53" s="2" t="s">
        <v>280</v>
      </c>
      <c r="I53" s="2" t="s">
        <v>281</v>
      </c>
      <c r="L53" s="2" t="s">
        <v>282</v>
      </c>
      <c r="M53" s="2" t="s">
        <v>22</v>
      </c>
    </row>
    <row r="54" spans="1:13" ht="15" x14ac:dyDescent="0.2">
      <c r="A54" s="2" t="s">
        <v>58</v>
      </c>
      <c r="B54" s="3" t="str">
        <f t="shared" si="0"/>
        <v>knwankwu@abbott.com</v>
      </c>
      <c r="C54" s="3">
        <f t="shared" si="1"/>
        <v>1</v>
      </c>
      <c r="D54" s="2" t="s">
        <v>283</v>
      </c>
      <c r="E54" s="2" t="s">
        <v>284</v>
      </c>
      <c r="F54" s="2" t="s">
        <v>285</v>
      </c>
      <c r="I54" s="2" t="s">
        <v>286</v>
      </c>
      <c r="L54" s="2" t="s">
        <v>287</v>
      </c>
      <c r="M54" s="2" t="s">
        <v>22</v>
      </c>
    </row>
    <row r="55" spans="1:13" ht="15" x14ac:dyDescent="0.2">
      <c r="A55" s="2" t="s">
        <v>58</v>
      </c>
      <c r="B55" s="3" t="str">
        <f t="shared" si="0"/>
        <v>amishra@abbott.com</v>
      </c>
      <c r="C55" s="3">
        <f t="shared" si="1"/>
        <v>1</v>
      </c>
      <c r="D55" s="2" t="s">
        <v>288</v>
      </c>
      <c r="E55" s="2" t="s">
        <v>289</v>
      </c>
      <c r="F55" s="2" t="s">
        <v>290</v>
      </c>
      <c r="I55" s="2" t="s">
        <v>291</v>
      </c>
      <c r="L55" s="2" t="s">
        <v>277</v>
      </c>
      <c r="M55" s="2" t="s">
        <v>22</v>
      </c>
    </row>
    <row r="56" spans="1:13" ht="15" x14ac:dyDescent="0.2">
      <c r="A56" s="2" t="s">
        <v>58</v>
      </c>
      <c r="B56" s="3" t="str">
        <f t="shared" si="0"/>
        <v>aboggs@abbott.com</v>
      </c>
      <c r="C56" s="3">
        <f t="shared" si="1"/>
        <v>1</v>
      </c>
      <c r="D56" s="2" t="s">
        <v>292</v>
      </c>
      <c r="E56" s="2" t="s">
        <v>293</v>
      </c>
      <c r="F56" s="2" t="s">
        <v>294</v>
      </c>
      <c r="I56" s="2" t="s">
        <v>295</v>
      </c>
      <c r="L56" s="2" t="s">
        <v>296</v>
      </c>
      <c r="M56" s="2" t="s">
        <v>22</v>
      </c>
    </row>
    <row r="57" spans="1:13" ht="15" x14ac:dyDescent="0.2">
      <c r="A57" s="2" t="s">
        <v>58</v>
      </c>
      <c r="B57" s="3" t="str">
        <f t="shared" si="0"/>
        <v>kroberts@abbott.com</v>
      </c>
      <c r="C57" s="3">
        <f t="shared" si="1"/>
        <v>1</v>
      </c>
      <c r="D57" s="2" t="s">
        <v>297</v>
      </c>
      <c r="E57" s="2" t="s">
        <v>298</v>
      </c>
      <c r="F57" s="2" t="s">
        <v>60</v>
      </c>
      <c r="I57" s="2" t="s">
        <v>299</v>
      </c>
      <c r="L57" s="2" t="s">
        <v>300</v>
      </c>
      <c r="M57" s="2" t="s">
        <v>22</v>
      </c>
    </row>
    <row r="58" spans="1:13" ht="15" x14ac:dyDescent="0.2">
      <c r="A58" s="2" t="s">
        <v>58</v>
      </c>
      <c r="B58" s="3" t="str">
        <f t="shared" si="0"/>
        <v>lwhite@abbott.com</v>
      </c>
      <c r="C58" s="3">
        <f t="shared" si="1"/>
        <v>1</v>
      </c>
      <c r="D58" s="2" t="s">
        <v>301</v>
      </c>
      <c r="E58" s="2" t="s">
        <v>302</v>
      </c>
      <c r="F58" s="2" t="s">
        <v>303</v>
      </c>
      <c r="I58" s="2" t="s">
        <v>304</v>
      </c>
      <c r="L58" s="2" t="s">
        <v>305</v>
      </c>
      <c r="M58" s="2" t="s">
        <v>22</v>
      </c>
    </row>
    <row r="59" spans="1:13" ht="15" x14ac:dyDescent="0.2">
      <c r="A59" s="2" t="s">
        <v>58</v>
      </c>
      <c r="B59" s="3" t="str">
        <f t="shared" si="0"/>
        <v>dblair@abbott.com</v>
      </c>
      <c r="C59" s="3">
        <f t="shared" si="1"/>
        <v>1</v>
      </c>
      <c r="D59" s="2" t="s">
        <v>306</v>
      </c>
      <c r="E59" s="2" t="s">
        <v>119</v>
      </c>
      <c r="F59" s="2" t="s">
        <v>307</v>
      </c>
      <c r="I59" s="2" t="s">
        <v>308</v>
      </c>
      <c r="L59" s="2" t="s">
        <v>309</v>
      </c>
      <c r="M59" s="2" t="s">
        <v>22</v>
      </c>
    </row>
    <row r="60" spans="1:13" ht="15" x14ac:dyDescent="0.2">
      <c r="A60" s="2" t="s">
        <v>58</v>
      </c>
      <c r="B60" s="3" t="str">
        <f t="shared" si="0"/>
        <v>afarah@abbott.com</v>
      </c>
      <c r="C60" s="3">
        <f t="shared" si="1"/>
        <v>1</v>
      </c>
      <c r="D60" s="2" t="s">
        <v>310</v>
      </c>
      <c r="E60" s="2" t="s">
        <v>311</v>
      </c>
      <c r="F60" s="2" t="s">
        <v>312</v>
      </c>
      <c r="I60" s="2" t="s">
        <v>313</v>
      </c>
      <c r="L60" s="2" t="s">
        <v>309</v>
      </c>
      <c r="M60" s="2" t="s">
        <v>22</v>
      </c>
    </row>
    <row r="61" spans="1:13" ht="15" x14ac:dyDescent="0.2">
      <c r="A61" s="2" t="s">
        <v>58</v>
      </c>
      <c r="B61" s="3" t="str">
        <f t="shared" si="0"/>
        <v>mmonaghan@abbott.com</v>
      </c>
      <c r="C61" s="3">
        <f t="shared" si="1"/>
        <v>1</v>
      </c>
      <c r="D61" s="2" t="s">
        <v>314</v>
      </c>
      <c r="E61" s="2" t="s">
        <v>59</v>
      </c>
      <c r="F61" s="2" t="s">
        <v>315</v>
      </c>
      <c r="I61" s="2" t="s">
        <v>316</v>
      </c>
      <c r="L61" s="2" t="s">
        <v>317</v>
      </c>
      <c r="M61" s="2" t="s">
        <v>22</v>
      </c>
    </row>
    <row r="62" spans="1:13" ht="15" x14ac:dyDescent="0.2">
      <c r="A62" s="2" t="s">
        <v>58</v>
      </c>
      <c r="B62" s="3" t="str">
        <f t="shared" si="0"/>
        <v>hcisa@abbott.com</v>
      </c>
      <c r="C62" s="3">
        <f t="shared" si="1"/>
        <v>1</v>
      </c>
      <c r="D62" s="2" t="s">
        <v>318</v>
      </c>
      <c r="E62" s="2" t="s">
        <v>319</v>
      </c>
      <c r="F62" s="2" t="s">
        <v>320</v>
      </c>
      <c r="I62" s="2" t="s">
        <v>321</v>
      </c>
      <c r="L62" s="2" t="s">
        <v>322</v>
      </c>
      <c r="M62" s="2" t="s">
        <v>22</v>
      </c>
    </row>
    <row r="63" spans="1:13" ht="15" x14ac:dyDescent="0.2">
      <c r="A63" s="2" t="s">
        <v>58</v>
      </c>
      <c r="B63" s="3" t="str">
        <f t="shared" si="0"/>
        <v>agrewal@abbott.com</v>
      </c>
      <c r="C63" s="3">
        <f t="shared" si="1"/>
        <v>1</v>
      </c>
      <c r="D63" s="2" t="s">
        <v>323</v>
      </c>
      <c r="E63" s="2" t="s">
        <v>324</v>
      </c>
      <c r="F63" s="2" t="s">
        <v>325</v>
      </c>
      <c r="I63" s="2" t="s">
        <v>326</v>
      </c>
      <c r="L63" s="2" t="s">
        <v>327</v>
      </c>
      <c r="M63" s="2" t="s">
        <v>22</v>
      </c>
    </row>
    <row r="64" spans="1:13" ht="15" x14ac:dyDescent="0.2">
      <c r="A64" s="2" t="s">
        <v>58</v>
      </c>
      <c r="B64" s="3" t="str">
        <f t="shared" si="0"/>
        <v>aknowles@abbott.com</v>
      </c>
      <c r="C64" s="3">
        <f t="shared" si="1"/>
        <v>1</v>
      </c>
      <c r="D64" s="2" t="s">
        <v>328</v>
      </c>
      <c r="E64" s="2" t="s">
        <v>329</v>
      </c>
      <c r="F64" s="2" t="s">
        <v>330</v>
      </c>
      <c r="I64" s="2" t="s">
        <v>331</v>
      </c>
      <c r="L64" s="2" t="s">
        <v>332</v>
      </c>
      <c r="M64" s="2" t="s">
        <v>22</v>
      </c>
    </row>
    <row r="65" spans="1:13" ht="15" x14ac:dyDescent="0.2">
      <c r="A65" s="2" t="s">
        <v>58</v>
      </c>
      <c r="B65" s="3" t="str">
        <f t="shared" si="0"/>
        <v>mwahab@abbott.com</v>
      </c>
      <c r="C65" s="3">
        <f t="shared" si="1"/>
        <v>1</v>
      </c>
      <c r="D65" s="2" t="s">
        <v>333</v>
      </c>
      <c r="E65" s="2" t="s">
        <v>130</v>
      </c>
      <c r="F65" s="2" t="s">
        <v>334</v>
      </c>
      <c r="I65" s="2" t="s">
        <v>335</v>
      </c>
      <c r="L65" s="2" t="s">
        <v>336</v>
      </c>
      <c r="M65" s="2" t="s">
        <v>22</v>
      </c>
    </row>
    <row r="66" spans="1:13" ht="15" x14ac:dyDescent="0.2">
      <c r="A66" s="2" t="s">
        <v>58</v>
      </c>
      <c r="B66" s="3" t="str">
        <f t="shared" ref="B66:B129" si="2">IF(H66&lt;&gt;"",H66,I66)</f>
        <v>hgold@abbott.com</v>
      </c>
      <c r="C66" s="3">
        <f t="shared" ref="C66:C129" si="3">COUNTIF($B$2:$B$1586,B66)</f>
        <v>1</v>
      </c>
      <c r="D66" s="2" t="s">
        <v>337</v>
      </c>
      <c r="E66" s="2" t="s">
        <v>338</v>
      </c>
      <c r="F66" s="2" t="s">
        <v>339</v>
      </c>
      <c r="I66" s="2" t="s">
        <v>340</v>
      </c>
      <c r="L66" s="2" t="s">
        <v>341</v>
      </c>
      <c r="M66" s="2" t="s">
        <v>22</v>
      </c>
    </row>
    <row r="67" spans="1:13" ht="15" x14ac:dyDescent="0.2">
      <c r="A67" s="2" t="s">
        <v>58</v>
      </c>
      <c r="B67" s="3" t="str">
        <f t="shared" si="2"/>
        <v>gmorrow@abbott.com</v>
      </c>
      <c r="C67" s="3">
        <f t="shared" si="3"/>
        <v>1</v>
      </c>
      <c r="D67" s="2" t="s">
        <v>342</v>
      </c>
      <c r="E67" s="2" t="s">
        <v>343</v>
      </c>
      <c r="F67" s="2" t="s">
        <v>344</v>
      </c>
      <c r="I67" s="2" t="s">
        <v>345</v>
      </c>
      <c r="L67" s="2" t="s">
        <v>346</v>
      </c>
      <c r="M67" s="2" t="s">
        <v>22</v>
      </c>
    </row>
    <row r="68" spans="1:13" ht="15" x14ac:dyDescent="0.2">
      <c r="A68" s="2" t="s">
        <v>58</v>
      </c>
      <c r="B68" s="3" t="str">
        <f t="shared" si="2"/>
        <v>lhoward@abbott.com</v>
      </c>
      <c r="C68" s="3">
        <f t="shared" si="3"/>
        <v>1</v>
      </c>
      <c r="D68" s="2" t="s">
        <v>347</v>
      </c>
      <c r="E68" s="2" t="s">
        <v>348</v>
      </c>
      <c r="F68" s="2" t="s">
        <v>349</v>
      </c>
      <c r="I68" s="2" t="s">
        <v>350</v>
      </c>
      <c r="L68" s="2" t="s">
        <v>351</v>
      </c>
      <c r="M68" s="2" t="s">
        <v>45</v>
      </c>
    </row>
    <row r="69" spans="1:13" ht="15" x14ac:dyDescent="0.2">
      <c r="A69" s="2" t="s">
        <v>58</v>
      </c>
      <c r="B69" s="3" t="str">
        <f t="shared" si="2"/>
        <v>ekrzaczynski@abbott.com</v>
      </c>
      <c r="C69" s="3">
        <f t="shared" si="3"/>
        <v>1</v>
      </c>
      <c r="D69" s="2" t="s">
        <v>352</v>
      </c>
      <c r="E69" s="2" t="s">
        <v>353</v>
      </c>
      <c r="F69" s="2" t="s">
        <v>354</v>
      </c>
      <c r="I69" s="2" t="s">
        <v>355</v>
      </c>
      <c r="L69" s="2" t="s">
        <v>356</v>
      </c>
      <c r="M69" s="2" t="s">
        <v>22</v>
      </c>
    </row>
    <row r="70" spans="1:13" ht="15" x14ac:dyDescent="0.2">
      <c r="A70" s="2" t="s">
        <v>58</v>
      </c>
      <c r="B70" s="3" t="str">
        <f t="shared" si="2"/>
        <v>amannarino@abbott.com</v>
      </c>
      <c r="C70" s="3">
        <f t="shared" si="3"/>
        <v>1</v>
      </c>
      <c r="D70" s="2" t="s">
        <v>357</v>
      </c>
      <c r="E70" s="2" t="s">
        <v>358</v>
      </c>
      <c r="F70" s="2" t="s">
        <v>359</v>
      </c>
      <c r="I70" s="2" t="s">
        <v>360</v>
      </c>
      <c r="L70" s="2" t="s">
        <v>361</v>
      </c>
      <c r="M70" s="2" t="s">
        <v>22</v>
      </c>
    </row>
    <row r="71" spans="1:13" ht="15" x14ac:dyDescent="0.2">
      <c r="A71" s="2" t="s">
        <v>58</v>
      </c>
      <c r="B71" s="3" t="str">
        <f t="shared" si="2"/>
        <v>mluu@abbott.com</v>
      </c>
      <c r="C71" s="3">
        <f t="shared" si="3"/>
        <v>1</v>
      </c>
      <c r="D71" s="2" t="s">
        <v>362</v>
      </c>
      <c r="E71" s="2" t="s">
        <v>363</v>
      </c>
      <c r="F71" s="2" t="s">
        <v>364</v>
      </c>
      <c r="I71" s="2" t="s">
        <v>365</v>
      </c>
      <c r="L71" s="2" t="s">
        <v>366</v>
      </c>
      <c r="M71" s="2" t="s">
        <v>22</v>
      </c>
    </row>
    <row r="72" spans="1:13" ht="15" x14ac:dyDescent="0.2">
      <c r="A72" s="2" t="s">
        <v>58</v>
      </c>
      <c r="B72" s="3" t="str">
        <f t="shared" si="2"/>
        <v>hbhole@abbott.com</v>
      </c>
      <c r="C72" s="3">
        <f t="shared" si="3"/>
        <v>1</v>
      </c>
      <c r="D72" s="2" t="s">
        <v>367</v>
      </c>
      <c r="E72" s="2" t="s">
        <v>368</v>
      </c>
      <c r="F72" s="2" t="s">
        <v>369</v>
      </c>
      <c r="I72" s="2" t="s">
        <v>370</v>
      </c>
      <c r="L72" s="2" t="s">
        <v>132</v>
      </c>
      <c r="M72" s="2" t="s">
        <v>22</v>
      </c>
    </row>
    <row r="73" spans="1:13" ht="15" x14ac:dyDescent="0.2">
      <c r="A73" s="2" t="s">
        <v>58</v>
      </c>
      <c r="B73" s="3" t="str">
        <f t="shared" si="2"/>
        <v>mcastrillon@abbott.com</v>
      </c>
      <c r="C73" s="3">
        <f t="shared" si="3"/>
        <v>1</v>
      </c>
      <c r="D73" s="2" t="s">
        <v>371</v>
      </c>
      <c r="E73" s="2" t="s">
        <v>372</v>
      </c>
      <c r="F73" s="2" t="s">
        <v>373</v>
      </c>
      <c r="I73" s="2" t="s">
        <v>374</v>
      </c>
      <c r="L73" s="2" t="s">
        <v>361</v>
      </c>
      <c r="M73" s="2" t="s">
        <v>22</v>
      </c>
    </row>
    <row r="74" spans="1:13" ht="15" x14ac:dyDescent="0.2">
      <c r="A74" s="2" t="s">
        <v>58</v>
      </c>
      <c r="B74" s="3" t="str">
        <f t="shared" si="2"/>
        <v>mneal@abbott.com</v>
      </c>
      <c r="C74" s="3">
        <f t="shared" si="3"/>
        <v>1</v>
      </c>
      <c r="D74" s="2" t="s">
        <v>375</v>
      </c>
      <c r="E74" s="2" t="s">
        <v>59</v>
      </c>
      <c r="F74" s="2" t="s">
        <v>376</v>
      </c>
      <c r="I74" s="2" t="s">
        <v>377</v>
      </c>
      <c r="L74" s="2" t="s">
        <v>378</v>
      </c>
      <c r="M74" s="2" t="s">
        <v>22</v>
      </c>
    </row>
    <row r="75" spans="1:13" ht="15" x14ac:dyDescent="0.2">
      <c r="A75" s="2" t="s">
        <v>58</v>
      </c>
      <c r="B75" s="3" t="str">
        <f t="shared" si="2"/>
        <v>lfrayman@abbott.com</v>
      </c>
      <c r="C75" s="3">
        <f t="shared" si="3"/>
        <v>1</v>
      </c>
      <c r="D75" s="2" t="s">
        <v>379</v>
      </c>
      <c r="E75" s="2" t="s">
        <v>380</v>
      </c>
      <c r="F75" s="2" t="s">
        <v>381</v>
      </c>
      <c r="I75" s="2" t="s">
        <v>382</v>
      </c>
      <c r="L75" s="2" t="s">
        <v>383</v>
      </c>
      <c r="M75" s="2" t="s">
        <v>22</v>
      </c>
    </row>
    <row r="76" spans="1:13" ht="15" x14ac:dyDescent="0.2">
      <c r="A76" s="2" t="s">
        <v>58</v>
      </c>
      <c r="B76" s="3" t="str">
        <f t="shared" si="2"/>
        <v>mnewkirk@abbott.com</v>
      </c>
      <c r="C76" s="3">
        <f t="shared" si="3"/>
        <v>1</v>
      </c>
      <c r="D76" s="2" t="s">
        <v>384</v>
      </c>
      <c r="E76" s="2" t="s">
        <v>385</v>
      </c>
      <c r="F76" s="2" t="s">
        <v>386</v>
      </c>
      <c r="I76" s="2" t="s">
        <v>387</v>
      </c>
      <c r="L76" s="2" t="s">
        <v>309</v>
      </c>
      <c r="M76" s="2" t="s">
        <v>22</v>
      </c>
    </row>
    <row r="77" spans="1:13" ht="15" x14ac:dyDescent="0.2">
      <c r="A77" s="2" t="s">
        <v>58</v>
      </c>
      <c r="B77" s="3" t="str">
        <f t="shared" si="2"/>
        <v>cmorgan@abbott.com</v>
      </c>
      <c r="C77" s="3">
        <f t="shared" si="3"/>
        <v>1</v>
      </c>
      <c r="D77" s="2" t="s">
        <v>388</v>
      </c>
      <c r="E77" s="2" t="s">
        <v>70</v>
      </c>
      <c r="F77" s="2" t="s">
        <v>389</v>
      </c>
      <c r="I77" s="2" t="s">
        <v>390</v>
      </c>
      <c r="L77" s="2" t="s">
        <v>309</v>
      </c>
      <c r="M77" s="2" t="s">
        <v>22</v>
      </c>
    </row>
    <row r="78" spans="1:13" ht="15" x14ac:dyDescent="0.2">
      <c r="A78" s="2" t="s">
        <v>58</v>
      </c>
      <c r="B78" s="3" t="str">
        <f t="shared" si="2"/>
        <v>dtinz@abbott.com</v>
      </c>
      <c r="C78" s="3">
        <f t="shared" si="3"/>
        <v>1</v>
      </c>
      <c r="D78" s="2" t="s">
        <v>391</v>
      </c>
      <c r="E78" s="2" t="s">
        <v>240</v>
      </c>
      <c r="F78" s="2" t="s">
        <v>392</v>
      </c>
      <c r="I78" s="2" t="s">
        <v>393</v>
      </c>
      <c r="L78" s="2" t="s">
        <v>394</v>
      </c>
      <c r="M78" s="2" t="s">
        <v>22</v>
      </c>
    </row>
    <row r="79" spans="1:13" ht="15" x14ac:dyDescent="0.2">
      <c r="A79" s="2" t="s">
        <v>58</v>
      </c>
      <c r="B79" s="3" t="str">
        <f t="shared" si="2"/>
        <v>fcollier@abbott.com</v>
      </c>
      <c r="C79" s="3">
        <f t="shared" si="3"/>
        <v>1</v>
      </c>
      <c r="D79" s="2" t="s">
        <v>395</v>
      </c>
      <c r="E79" s="2" t="s">
        <v>396</v>
      </c>
      <c r="F79" s="2" t="s">
        <v>397</v>
      </c>
      <c r="I79" s="2" t="s">
        <v>398</v>
      </c>
      <c r="L79" s="2" t="s">
        <v>399</v>
      </c>
      <c r="M79" s="2" t="s">
        <v>22</v>
      </c>
    </row>
    <row r="80" spans="1:13" ht="15" x14ac:dyDescent="0.2">
      <c r="A80" s="2" t="s">
        <v>58</v>
      </c>
      <c r="B80" s="3" t="str">
        <f t="shared" si="2"/>
        <v>meble@abbott.com</v>
      </c>
      <c r="C80" s="3">
        <f t="shared" si="3"/>
        <v>1</v>
      </c>
      <c r="D80" s="2" t="s">
        <v>400</v>
      </c>
      <c r="E80" s="2" t="s">
        <v>207</v>
      </c>
      <c r="F80" s="2" t="s">
        <v>401</v>
      </c>
      <c r="I80" s="2" t="s">
        <v>402</v>
      </c>
      <c r="L80" s="2" t="s">
        <v>403</v>
      </c>
      <c r="M80" s="2" t="s">
        <v>22</v>
      </c>
    </row>
    <row r="81" spans="1:13" ht="15" x14ac:dyDescent="0.2">
      <c r="A81" s="2" t="s">
        <v>58</v>
      </c>
      <c r="B81" s="3" t="str">
        <f t="shared" si="2"/>
        <v>jpantano@abbott.com</v>
      </c>
      <c r="C81" s="3">
        <f t="shared" si="3"/>
        <v>1</v>
      </c>
      <c r="D81" s="2" t="s">
        <v>404</v>
      </c>
      <c r="E81" s="2" t="s">
        <v>405</v>
      </c>
      <c r="F81" s="2" t="s">
        <v>406</v>
      </c>
      <c r="I81" s="2" t="s">
        <v>407</v>
      </c>
      <c r="L81" s="2" t="s">
        <v>248</v>
      </c>
      <c r="M81" s="2" t="s">
        <v>22</v>
      </c>
    </row>
    <row r="82" spans="1:13" ht="15" x14ac:dyDescent="0.2">
      <c r="A82" s="2" t="s">
        <v>58</v>
      </c>
      <c r="B82" s="3" t="str">
        <f t="shared" si="2"/>
        <v>eanderson@abbott.com</v>
      </c>
      <c r="C82" s="3">
        <f t="shared" si="3"/>
        <v>1</v>
      </c>
      <c r="D82" s="2" t="s">
        <v>408</v>
      </c>
      <c r="E82" s="2" t="s">
        <v>409</v>
      </c>
      <c r="F82" s="2" t="s">
        <v>55</v>
      </c>
      <c r="I82" s="2" t="s">
        <v>410</v>
      </c>
      <c r="L82" s="2" t="s">
        <v>411</v>
      </c>
      <c r="M82" s="2" t="s">
        <v>22</v>
      </c>
    </row>
    <row r="83" spans="1:13" ht="15" x14ac:dyDescent="0.2">
      <c r="A83" s="2" t="s">
        <v>58</v>
      </c>
      <c r="B83" s="3" t="str">
        <f t="shared" si="2"/>
        <v>acobb@abbott.com</v>
      </c>
      <c r="C83" s="3">
        <f t="shared" si="3"/>
        <v>1</v>
      </c>
      <c r="D83" s="2" t="s">
        <v>412</v>
      </c>
      <c r="E83" s="2" t="s">
        <v>245</v>
      </c>
      <c r="F83" s="2" t="s">
        <v>413</v>
      </c>
      <c r="I83" s="2" t="s">
        <v>414</v>
      </c>
      <c r="L83" s="2" t="s">
        <v>415</v>
      </c>
      <c r="M83" s="2" t="s">
        <v>22</v>
      </c>
    </row>
    <row r="84" spans="1:13" ht="15" x14ac:dyDescent="0.2">
      <c r="A84" s="2" t="s">
        <v>58</v>
      </c>
      <c r="B84" s="3" t="str">
        <f t="shared" si="2"/>
        <v>akirk@abbott.com</v>
      </c>
      <c r="C84" s="3">
        <f t="shared" si="3"/>
        <v>1</v>
      </c>
      <c r="D84" s="2" t="s">
        <v>416</v>
      </c>
      <c r="E84" s="2" t="s">
        <v>417</v>
      </c>
      <c r="F84" s="2" t="s">
        <v>418</v>
      </c>
      <c r="I84" s="2" t="s">
        <v>419</v>
      </c>
      <c r="L84" s="2" t="s">
        <v>78</v>
      </c>
      <c r="M84" s="2" t="s">
        <v>22</v>
      </c>
    </row>
    <row r="85" spans="1:13" ht="15" x14ac:dyDescent="0.2">
      <c r="A85" s="2" t="s">
        <v>58</v>
      </c>
      <c r="B85" s="3" t="str">
        <f t="shared" si="2"/>
        <v>mcaldwell@abbott.com</v>
      </c>
      <c r="C85" s="3">
        <f t="shared" si="3"/>
        <v>1</v>
      </c>
      <c r="D85" s="2" t="s">
        <v>420</v>
      </c>
      <c r="E85" s="2" t="s">
        <v>421</v>
      </c>
      <c r="F85" s="2" t="s">
        <v>422</v>
      </c>
      <c r="I85" s="2" t="s">
        <v>423</v>
      </c>
      <c r="L85" s="2" t="s">
        <v>424</v>
      </c>
      <c r="M85" s="2" t="s">
        <v>22</v>
      </c>
    </row>
    <row r="86" spans="1:13" ht="15" x14ac:dyDescent="0.2">
      <c r="A86" s="2" t="s">
        <v>58</v>
      </c>
      <c r="B86" s="3" t="str">
        <f t="shared" si="2"/>
        <v>agupta@abbott.com</v>
      </c>
      <c r="C86" s="3">
        <f t="shared" si="3"/>
        <v>1</v>
      </c>
      <c r="D86" s="2" t="s">
        <v>425</v>
      </c>
      <c r="E86" s="2" t="s">
        <v>426</v>
      </c>
      <c r="F86" s="2" t="s">
        <v>427</v>
      </c>
      <c r="I86" s="2" t="s">
        <v>428</v>
      </c>
      <c r="L86" s="2" t="s">
        <v>429</v>
      </c>
      <c r="M86" s="2" t="s">
        <v>22</v>
      </c>
    </row>
    <row r="87" spans="1:13" ht="15" x14ac:dyDescent="0.2">
      <c r="A87" s="2" t="s">
        <v>58</v>
      </c>
      <c r="B87" s="3" t="str">
        <f t="shared" si="2"/>
        <v>bal-ahmadi@abbott.com</v>
      </c>
      <c r="C87" s="3">
        <f t="shared" si="3"/>
        <v>1</v>
      </c>
      <c r="D87" s="2" t="s">
        <v>430</v>
      </c>
      <c r="E87" s="2" t="s">
        <v>431</v>
      </c>
      <c r="F87" s="2" t="s">
        <v>432</v>
      </c>
      <c r="I87" s="2" t="s">
        <v>433</v>
      </c>
      <c r="L87" s="2" t="s">
        <v>434</v>
      </c>
      <c r="M87" s="2" t="s">
        <v>22</v>
      </c>
    </row>
    <row r="88" spans="1:13" ht="15" x14ac:dyDescent="0.2">
      <c r="A88" s="2" t="s">
        <v>58</v>
      </c>
      <c r="B88" s="3" t="str">
        <f t="shared" si="2"/>
        <v>amendez@abbott.com</v>
      </c>
      <c r="C88" s="3">
        <f t="shared" si="3"/>
        <v>1</v>
      </c>
      <c r="D88" s="2" t="s">
        <v>435</v>
      </c>
      <c r="E88" s="2" t="s">
        <v>358</v>
      </c>
      <c r="F88" s="2" t="s">
        <v>436</v>
      </c>
      <c r="I88" s="2" t="s">
        <v>437</v>
      </c>
      <c r="L88" s="2" t="s">
        <v>438</v>
      </c>
      <c r="M88" s="2" t="s">
        <v>22</v>
      </c>
    </row>
    <row r="89" spans="1:13" ht="15" x14ac:dyDescent="0.2">
      <c r="A89" s="2" t="s">
        <v>58</v>
      </c>
      <c r="B89" s="3" t="str">
        <f t="shared" si="2"/>
        <v>samuel.lewis@abbott.com</v>
      </c>
      <c r="C89" s="3">
        <f t="shared" si="3"/>
        <v>1</v>
      </c>
      <c r="D89" s="2" t="s">
        <v>439</v>
      </c>
      <c r="E89" s="2" t="s">
        <v>440</v>
      </c>
      <c r="F89" s="2" t="s">
        <v>441</v>
      </c>
      <c r="I89" s="2" t="s">
        <v>442</v>
      </c>
      <c r="L89" s="2" t="s">
        <v>443</v>
      </c>
      <c r="M89" s="2" t="s">
        <v>45</v>
      </c>
    </row>
    <row r="90" spans="1:13" ht="15" x14ac:dyDescent="0.2">
      <c r="A90" s="2" t="s">
        <v>58</v>
      </c>
      <c r="B90" s="3" t="str">
        <f t="shared" si="2"/>
        <v>lmunter@abbott.com</v>
      </c>
      <c r="C90" s="3">
        <f t="shared" si="3"/>
        <v>1</v>
      </c>
      <c r="D90" s="2" t="s">
        <v>444</v>
      </c>
      <c r="E90" s="2" t="s">
        <v>445</v>
      </c>
      <c r="F90" s="2" t="s">
        <v>446</v>
      </c>
      <c r="I90" s="2" t="s">
        <v>447</v>
      </c>
      <c r="L90" s="2" t="s">
        <v>296</v>
      </c>
      <c r="M90" s="2" t="s">
        <v>22</v>
      </c>
    </row>
    <row r="91" spans="1:13" ht="15" x14ac:dyDescent="0.2">
      <c r="A91" s="2" t="s">
        <v>58</v>
      </c>
      <c r="B91" s="3" t="str">
        <f t="shared" si="2"/>
        <v>kkazinski@abbott.com</v>
      </c>
      <c r="C91" s="3">
        <f t="shared" si="3"/>
        <v>1</v>
      </c>
      <c r="D91" s="2" t="s">
        <v>448</v>
      </c>
      <c r="E91" s="2" t="s">
        <v>449</v>
      </c>
      <c r="F91" s="2" t="s">
        <v>450</v>
      </c>
      <c r="I91" s="2" t="s">
        <v>451</v>
      </c>
      <c r="L91" s="2" t="s">
        <v>452</v>
      </c>
      <c r="M91" s="2" t="s">
        <v>22</v>
      </c>
    </row>
    <row r="92" spans="1:13" ht="15" x14ac:dyDescent="0.2">
      <c r="A92" s="2" t="s">
        <v>58</v>
      </c>
      <c r="B92" s="3" t="str">
        <f t="shared" si="2"/>
        <v>jmilburn@abbott.com</v>
      </c>
      <c r="C92" s="3">
        <f t="shared" si="3"/>
        <v>1</v>
      </c>
      <c r="D92" s="2" t="s">
        <v>453</v>
      </c>
      <c r="E92" s="2" t="s">
        <v>454</v>
      </c>
      <c r="F92" s="2" t="s">
        <v>455</v>
      </c>
      <c r="I92" s="2" t="s">
        <v>456</v>
      </c>
      <c r="L92" s="2" t="s">
        <v>457</v>
      </c>
      <c r="M92" s="2" t="s">
        <v>22</v>
      </c>
    </row>
    <row r="93" spans="1:13" ht="15" x14ac:dyDescent="0.2">
      <c r="A93" s="2" t="s">
        <v>58</v>
      </c>
      <c r="B93" s="3" t="str">
        <f t="shared" si="2"/>
        <v>diah.ramesh@abbott.com</v>
      </c>
      <c r="C93" s="3">
        <f t="shared" si="3"/>
        <v>1</v>
      </c>
      <c r="D93" s="2" t="s">
        <v>458</v>
      </c>
      <c r="E93" s="2" t="s">
        <v>459</v>
      </c>
      <c r="F93" s="2" t="s">
        <v>460</v>
      </c>
      <c r="I93" s="2" t="s">
        <v>461</v>
      </c>
      <c r="L93" s="2" t="s">
        <v>462</v>
      </c>
      <c r="M93" s="2" t="s">
        <v>463</v>
      </c>
    </row>
    <row r="94" spans="1:13" ht="15" x14ac:dyDescent="0.2">
      <c r="A94" s="2" t="s">
        <v>58</v>
      </c>
      <c r="B94" s="3" t="str">
        <f t="shared" si="2"/>
        <v>selwyn.dacosta@abbott.com</v>
      </c>
      <c r="C94" s="3">
        <f t="shared" si="3"/>
        <v>1</v>
      </c>
      <c r="D94" s="2" t="s">
        <v>464</v>
      </c>
      <c r="E94" s="2" t="s">
        <v>465</v>
      </c>
      <c r="F94" s="2" t="s">
        <v>466</v>
      </c>
      <c r="I94" s="2" t="s">
        <v>467</v>
      </c>
      <c r="L94" s="2" t="s">
        <v>468</v>
      </c>
      <c r="M94" s="2" t="s">
        <v>463</v>
      </c>
    </row>
    <row r="95" spans="1:13" ht="15" x14ac:dyDescent="0.2">
      <c r="A95" s="2" t="s">
        <v>58</v>
      </c>
      <c r="B95" s="3" t="str">
        <f t="shared" si="2"/>
        <v>tara.larson@abbott.com</v>
      </c>
      <c r="C95" s="3">
        <f t="shared" si="3"/>
        <v>1</v>
      </c>
      <c r="D95" s="2" t="s">
        <v>469</v>
      </c>
      <c r="E95" s="2" t="s">
        <v>470</v>
      </c>
      <c r="F95" s="2" t="s">
        <v>471</v>
      </c>
      <c r="I95" s="2" t="s">
        <v>472</v>
      </c>
      <c r="L95" s="2" t="s">
        <v>473</v>
      </c>
      <c r="M95" s="2" t="s">
        <v>463</v>
      </c>
    </row>
    <row r="96" spans="1:13" ht="15" x14ac:dyDescent="0.2">
      <c r="A96" s="2" t="s">
        <v>58</v>
      </c>
      <c r="B96" s="3" t="str">
        <f t="shared" si="2"/>
        <v>john.johnson2@abbott.com</v>
      </c>
      <c r="C96" s="3">
        <f t="shared" si="3"/>
        <v>1</v>
      </c>
      <c r="D96" s="2" t="s">
        <v>474</v>
      </c>
      <c r="E96" s="2" t="s">
        <v>187</v>
      </c>
      <c r="F96" s="2" t="s">
        <v>188</v>
      </c>
      <c r="I96" s="2" t="s">
        <v>475</v>
      </c>
      <c r="L96" s="2" t="s">
        <v>476</v>
      </c>
      <c r="M96" s="2" t="s">
        <v>463</v>
      </c>
    </row>
    <row r="97" spans="1:16" ht="15" x14ac:dyDescent="0.2">
      <c r="A97" s="2" t="s">
        <v>58</v>
      </c>
      <c r="B97" s="3" t="str">
        <f t="shared" si="2"/>
        <v>ankur.k.mishra@abbott.com</v>
      </c>
      <c r="C97" s="3">
        <f t="shared" si="3"/>
        <v>1</v>
      </c>
      <c r="D97" s="2" t="s">
        <v>477</v>
      </c>
      <c r="E97" s="2" t="s">
        <v>289</v>
      </c>
      <c r="F97" s="2" t="s">
        <v>290</v>
      </c>
      <c r="I97" s="2" t="s">
        <v>478</v>
      </c>
      <c r="L97" s="2" t="s">
        <v>277</v>
      </c>
      <c r="M97" s="2" t="s">
        <v>463</v>
      </c>
    </row>
    <row r="98" spans="1:16" ht="15" x14ac:dyDescent="0.2">
      <c r="A98" s="2" t="s">
        <v>58</v>
      </c>
      <c r="B98" s="3" t="str">
        <f t="shared" si="2"/>
        <v>jtucker@abbott.com</v>
      </c>
      <c r="C98" s="3">
        <f t="shared" si="3"/>
        <v>1</v>
      </c>
      <c r="D98" s="2" t="s">
        <v>479</v>
      </c>
      <c r="E98" s="2" t="s">
        <v>187</v>
      </c>
      <c r="F98" s="2" t="s">
        <v>480</v>
      </c>
      <c r="I98" s="2" t="s">
        <v>481</v>
      </c>
      <c r="L98" s="2" t="s">
        <v>482</v>
      </c>
      <c r="M98" s="2" t="s">
        <v>22</v>
      </c>
    </row>
    <row r="99" spans="1:16" ht="15" x14ac:dyDescent="0.2">
      <c r="A99" s="2" t="s">
        <v>58</v>
      </c>
      <c r="B99" s="3" t="str">
        <f t="shared" si="2"/>
        <v>dlautner@abbott.com</v>
      </c>
      <c r="C99" s="3">
        <f t="shared" si="3"/>
        <v>1</v>
      </c>
      <c r="D99" s="2" t="s">
        <v>483</v>
      </c>
      <c r="E99" s="2" t="s">
        <v>217</v>
      </c>
      <c r="F99" s="2" t="s">
        <v>484</v>
      </c>
      <c r="I99" s="2" t="s">
        <v>485</v>
      </c>
      <c r="L99" s="2" t="s">
        <v>486</v>
      </c>
      <c r="M99" s="2" t="s">
        <v>22</v>
      </c>
    </row>
    <row r="100" spans="1:16" ht="15" x14ac:dyDescent="0.2">
      <c r="A100" s="2" t="s">
        <v>58</v>
      </c>
      <c r="B100" s="3" t="str">
        <f t="shared" si="2"/>
        <v>jaugustine@abbott.com</v>
      </c>
      <c r="C100" s="3">
        <f t="shared" si="3"/>
        <v>1</v>
      </c>
      <c r="D100" s="2" t="s">
        <v>487</v>
      </c>
      <c r="E100" s="2" t="s">
        <v>187</v>
      </c>
      <c r="F100" s="2" t="s">
        <v>488</v>
      </c>
      <c r="I100" s="2" t="s">
        <v>489</v>
      </c>
      <c r="L100" s="2" t="s">
        <v>490</v>
      </c>
      <c r="M100" s="2" t="s">
        <v>22</v>
      </c>
    </row>
    <row r="101" spans="1:16" ht="15" x14ac:dyDescent="0.2">
      <c r="A101" s="2" t="s">
        <v>58</v>
      </c>
      <c r="B101" s="3" t="str">
        <f t="shared" si="2"/>
        <v>bhensley@abbott.com</v>
      </c>
      <c r="C101" s="3">
        <f t="shared" si="3"/>
        <v>1</v>
      </c>
      <c r="D101" s="2" t="s">
        <v>491</v>
      </c>
      <c r="E101" s="2" t="s">
        <v>492</v>
      </c>
      <c r="F101" s="2" t="s">
        <v>493</v>
      </c>
      <c r="I101" s="2" t="s">
        <v>494</v>
      </c>
      <c r="L101" s="2" t="s">
        <v>495</v>
      </c>
      <c r="M101" s="2" t="s">
        <v>22</v>
      </c>
    </row>
    <row r="102" spans="1:16" ht="15" x14ac:dyDescent="0.2">
      <c r="A102" s="2" t="s">
        <v>58</v>
      </c>
      <c r="B102" s="3" t="str">
        <f t="shared" si="2"/>
        <v>mary.newkirk@abbott.com</v>
      </c>
      <c r="C102" s="3">
        <f t="shared" si="3"/>
        <v>1</v>
      </c>
      <c r="D102" s="2" t="s">
        <v>496</v>
      </c>
      <c r="E102" s="2" t="s">
        <v>385</v>
      </c>
      <c r="F102" s="2" t="s">
        <v>386</v>
      </c>
      <c r="I102" s="2" t="s">
        <v>497</v>
      </c>
      <c r="L102" s="2" t="s">
        <v>248</v>
      </c>
      <c r="M102" s="2" t="s">
        <v>463</v>
      </c>
    </row>
    <row r="103" spans="1:16" ht="15" x14ac:dyDescent="0.2">
      <c r="A103" s="2" t="s">
        <v>58</v>
      </c>
      <c r="B103" s="3" t="str">
        <f t="shared" si="2"/>
        <v>malaimo@abbott.com</v>
      </c>
      <c r="C103" s="3">
        <f t="shared" si="3"/>
        <v>1</v>
      </c>
      <c r="D103" s="2" t="s">
        <v>498</v>
      </c>
      <c r="E103" s="2" t="s">
        <v>59</v>
      </c>
      <c r="F103" s="2" t="s">
        <v>499</v>
      </c>
      <c r="I103" s="2" t="s">
        <v>500</v>
      </c>
      <c r="L103" s="2" t="s">
        <v>501</v>
      </c>
      <c r="M103" s="2" t="s">
        <v>22</v>
      </c>
    </row>
    <row r="104" spans="1:16" ht="13" x14ac:dyDescent="0.15">
      <c r="A104" s="4" t="s">
        <v>502</v>
      </c>
      <c r="B104" s="3" t="str">
        <f t="shared" si="2"/>
        <v>cherie.stanford@abbvie.com</v>
      </c>
      <c r="C104" s="3">
        <f t="shared" si="3"/>
        <v>2</v>
      </c>
      <c r="D104" s="5">
        <v>25013894541</v>
      </c>
      <c r="E104" s="4" t="s">
        <v>503</v>
      </c>
      <c r="F104" s="4" t="s">
        <v>504</v>
      </c>
      <c r="G104" s="4" t="s">
        <v>34</v>
      </c>
      <c r="H104" s="4"/>
      <c r="I104" s="4" t="s">
        <v>505</v>
      </c>
      <c r="J104" s="6" t="s">
        <v>506</v>
      </c>
      <c r="K104" s="4"/>
      <c r="L104" s="4" t="s">
        <v>507</v>
      </c>
      <c r="M104" s="4"/>
      <c r="N104" s="4"/>
      <c r="O104" s="4"/>
      <c r="P104" s="4" t="str">
        <f>IF(OR(M104="Customer", M104="Opportunity", H104="Yes", H104=TRUE, G104="Yes", G104=TRUE, O104&gt;0), "YES", "NO")</f>
        <v>YES</v>
      </c>
    </row>
    <row r="105" spans="1:16" ht="13" x14ac:dyDescent="0.15">
      <c r="A105" s="4" t="s">
        <v>502</v>
      </c>
      <c r="B105" s="3" t="str">
        <f t="shared" si="2"/>
        <v>john.vravick@abbvie.com</v>
      </c>
      <c r="C105" s="3">
        <f t="shared" si="3"/>
        <v>1</v>
      </c>
      <c r="D105" s="5">
        <v>25006767181</v>
      </c>
      <c r="E105" s="4" t="s">
        <v>187</v>
      </c>
      <c r="F105" s="4" t="s">
        <v>508</v>
      </c>
      <c r="G105" s="4" t="s">
        <v>34</v>
      </c>
      <c r="H105" s="4"/>
      <c r="I105" s="4" t="s">
        <v>509</v>
      </c>
      <c r="J105" s="6" t="s">
        <v>506</v>
      </c>
      <c r="K105" s="4"/>
      <c r="L105" s="4" t="s">
        <v>510</v>
      </c>
      <c r="M105" s="4"/>
      <c r="N105" s="4"/>
      <c r="O105" s="4"/>
      <c r="P105" s="4" t="str">
        <f>IF(OR(M105="Customer", M105="Opportunity", H105="Yes", H105=TRUE, G105="Yes", G105=TRUE, O105&gt;0), "YES", "NO")</f>
        <v>YES</v>
      </c>
    </row>
    <row r="106" spans="1:16" ht="13" x14ac:dyDescent="0.15">
      <c r="A106" s="4" t="s">
        <v>502</v>
      </c>
      <c r="B106" s="3" t="str">
        <f t="shared" si="2"/>
        <v>kieran.oconnell@abbvie.com</v>
      </c>
      <c r="C106" s="3">
        <f t="shared" si="3"/>
        <v>1</v>
      </c>
      <c r="D106" s="5">
        <v>25021479698</v>
      </c>
      <c r="E106" s="4" t="s">
        <v>511</v>
      </c>
      <c r="F106" s="4" t="s">
        <v>512</v>
      </c>
      <c r="G106" s="4" t="s">
        <v>34</v>
      </c>
      <c r="H106" s="4"/>
      <c r="I106" s="4" t="s">
        <v>513</v>
      </c>
      <c r="J106" s="6" t="s">
        <v>506</v>
      </c>
      <c r="K106" s="4"/>
      <c r="L106" s="4" t="s">
        <v>514</v>
      </c>
      <c r="M106" s="4"/>
      <c r="N106" s="4"/>
      <c r="O106" s="4"/>
      <c r="P106" s="4" t="str">
        <f>IF(OR(M106="Customer", M106="Opportunity", H106="Yes", H106=TRUE, G106="Yes", G106=TRUE, O106&gt;0), "YES", "NO")</f>
        <v>YES</v>
      </c>
    </row>
    <row r="107" spans="1:16" ht="15" x14ac:dyDescent="0.2">
      <c r="A107" s="2" t="s">
        <v>502</v>
      </c>
      <c r="B107" s="3" t="str">
        <f t="shared" si="2"/>
        <v>jpratt@abbvie.com</v>
      </c>
      <c r="C107" s="3">
        <f t="shared" si="3"/>
        <v>1</v>
      </c>
      <c r="D107" s="2" t="s">
        <v>515</v>
      </c>
      <c r="E107" s="2" t="s">
        <v>516</v>
      </c>
      <c r="F107" s="2" t="s">
        <v>517</v>
      </c>
      <c r="I107" s="2" t="s">
        <v>518</v>
      </c>
      <c r="L107" s="2" t="s">
        <v>519</v>
      </c>
      <c r="M107" s="2" t="s">
        <v>45</v>
      </c>
    </row>
    <row r="108" spans="1:16" ht="15" x14ac:dyDescent="0.2">
      <c r="A108" s="2" t="s">
        <v>502</v>
      </c>
      <c r="B108" s="3" t="str">
        <f t="shared" si="2"/>
        <v>mscofield@abbvie.com</v>
      </c>
      <c r="C108" s="3">
        <f t="shared" si="3"/>
        <v>1</v>
      </c>
      <c r="D108" s="2" t="s">
        <v>520</v>
      </c>
      <c r="E108" s="2" t="s">
        <v>521</v>
      </c>
      <c r="F108" s="2" t="s">
        <v>522</v>
      </c>
      <c r="I108" s="2" t="s">
        <v>523</v>
      </c>
      <c r="L108" s="2" t="s">
        <v>524</v>
      </c>
      <c r="M108" s="2" t="s">
        <v>45</v>
      </c>
    </row>
    <row r="109" spans="1:16" ht="15" x14ac:dyDescent="0.2">
      <c r="A109" s="2" t="s">
        <v>502</v>
      </c>
      <c r="B109" s="3" t="str">
        <f t="shared" si="2"/>
        <v>pdiskant@abbvie.com</v>
      </c>
      <c r="C109" s="3">
        <f t="shared" si="3"/>
        <v>1</v>
      </c>
      <c r="D109" s="2" t="s">
        <v>525</v>
      </c>
      <c r="E109" s="2" t="s">
        <v>526</v>
      </c>
      <c r="F109" s="2" t="s">
        <v>527</v>
      </c>
      <c r="I109" s="2" t="s">
        <v>528</v>
      </c>
      <c r="L109" s="2" t="s">
        <v>529</v>
      </c>
      <c r="M109" s="2" t="s">
        <v>45</v>
      </c>
    </row>
    <row r="110" spans="1:16" ht="15" x14ac:dyDescent="0.2">
      <c r="A110" s="2" t="s">
        <v>502</v>
      </c>
      <c r="B110" s="3" t="str">
        <f t="shared" si="2"/>
        <v>rlitewski@abbvie.com</v>
      </c>
      <c r="C110" s="3">
        <f t="shared" si="3"/>
        <v>1</v>
      </c>
      <c r="D110" s="2" t="s">
        <v>530</v>
      </c>
      <c r="E110" s="2" t="s">
        <v>531</v>
      </c>
      <c r="F110" s="2" t="s">
        <v>532</v>
      </c>
      <c r="I110" s="2" t="s">
        <v>533</v>
      </c>
      <c r="L110" s="2" t="s">
        <v>534</v>
      </c>
      <c r="M110" s="2" t="s">
        <v>45</v>
      </c>
    </row>
    <row r="111" spans="1:16" ht="15" x14ac:dyDescent="0.2">
      <c r="A111" s="2" t="s">
        <v>502</v>
      </c>
      <c r="B111" s="3" t="str">
        <f t="shared" si="2"/>
        <v>bcontorno@abbvie.com</v>
      </c>
      <c r="C111" s="3">
        <f t="shared" si="3"/>
        <v>1</v>
      </c>
      <c r="D111" s="2" t="s">
        <v>535</v>
      </c>
      <c r="E111" s="2" t="s">
        <v>536</v>
      </c>
      <c r="F111" s="2" t="s">
        <v>537</v>
      </c>
      <c r="I111" s="2" t="s">
        <v>538</v>
      </c>
      <c r="L111" s="2" t="s">
        <v>539</v>
      </c>
      <c r="M111" s="2" t="s">
        <v>45</v>
      </c>
    </row>
    <row r="112" spans="1:16" ht="15" x14ac:dyDescent="0.2">
      <c r="A112" s="2" t="s">
        <v>502</v>
      </c>
      <c r="B112" s="3" t="str">
        <f t="shared" si="2"/>
        <v>bkulieke@abbvie.com</v>
      </c>
      <c r="C112" s="3">
        <f t="shared" si="3"/>
        <v>1</v>
      </c>
      <c r="D112" s="2" t="s">
        <v>540</v>
      </c>
      <c r="E112" s="2" t="s">
        <v>541</v>
      </c>
      <c r="F112" s="2" t="s">
        <v>542</v>
      </c>
      <c r="I112" s="2" t="s">
        <v>543</v>
      </c>
      <c r="L112" s="2" t="s">
        <v>544</v>
      </c>
      <c r="M112" s="2" t="s">
        <v>45</v>
      </c>
    </row>
    <row r="113" spans="1:13" ht="15" x14ac:dyDescent="0.2">
      <c r="A113" s="2" t="s">
        <v>502</v>
      </c>
      <c r="B113" s="3" t="str">
        <f t="shared" si="2"/>
        <v>oghori@abbvie.com</v>
      </c>
      <c r="C113" s="3">
        <f t="shared" si="3"/>
        <v>1</v>
      </c>
      <c r="D113" s="2" t="s">
        <v>545</v>
      </c>
      <c r="E113" s="2" t="s">
        <v>546</v>
      </c>
      <c r="F113" s="2" t="s">
        <v>547</v>
      </c>
      <c r="I113" s="2" t="s">
        <v>548</v>
      </c>
      <c r="L113" s="2" t="s">
        <v>132</v>
      </c>
      <c r="M113" s="2" t="s">
        <v>45</v>
      </c>
    </row>
    <row r="114" spans="1:13" ht="15" x14ac:dyDescent="0.2">
      <c r="A114" s="2" t="s">
        <v>502</v>
      </c>
      <c r="B114" s="3" t="str">
        <f t="shared" si="2"/>
        <v>mreeves@abbvie.com</v>
      </c>
      <c r="C114" s="3">
        <f t="shared" si="3"/>
        <v>1</v>
      </c>
      <c r="D114" s="2" t="s">
        <v>549</v>
      </c>
      <c r="E114" s="2" t="s">
        <v>550</v>
      </c>
      <c r="F114" s="2" t="s">
        <v>551</v>
      </c>
      <c r="I114" s="2" t="s">
        <v>552</v>
      </c>
      <c r="L114" s="2" t="s">
        <v>553</v>
      </c>
      <c r="M114" s="2" t="s">
        <v>45</v>
      </c>
    </row>
    <row r="115" spans="1:13" ht="15" x14ac:dyDescent="0.2">
      <c r="A115" s="2" t="s">
        <v>502</v>
      </c>
      <c r="B115" s="3" t="str">
        <f t="shared" si="2"/>
        <v>erinaldi@abbvie.com</v>
      </c>
      <c r="C115" s="3">
        <f t="shared" si="3"/>
        <v>1</v>
      </c>
      <c r="D115" s="2" t="s">
        <v>554</v>
      </c>
      <c r="E115" s="2" t="s">
        <v>555</v>
      </c>
      <c r="F115" s="2" t="s">
        <v>556</v>
      </c>
      <c r="I115" s="2" t="s">
        <v>557</v>
      </c>
      <c r="L115" s="2" t="s">
        <v>558</v>
      </c>
      <c r="M115" s="2" t="s">
        <v>45</v>
      </c>
    </row>
    <row r="116" spans="1:13" ht="15" x14ac:dyDescent="0.2">
      <c r="A116" s="2" t="s">
        <v>502</v>
      </c>
      <c r="B116" s="3" t="str">
        <f t="shared" si="2"/>
        <v>mshrestha@abbvie.com</v>
      </c>
      <c r="C116" s="3">
        <f t="shared" si="3"/>
        <v>1</v>
      </c>
      <c r="D116" s="2" t="s">
        <v>559</v>
      </c>
      <c r="E116" s="2" t="s">
        <v>560</v>
      </c>
      <c r="F116" s="2" t="s">
        <v>168</v>
      </c>
      <c r="I116" s="2" t="s">
        <v>561</v>
      </c>
      <c r="L116" s="2" t="s">
        <v>562</v>
      </c>
      <c r="M116" s="2" t="s">
        <v>45</v>
      </c>
    </row>
    <row r="117" spans="1:13" ht="15" x14ac:dyDescent="0.2">
      <c r="A117" s="2" t="s">
        <v>502</v>
      </c>
      <c r="B117" s="3" t="str">
        <f t="shared" si="2"/>
        <v>pgermeys@abbvie.com</v>
      </c>
      <c r="C117" s="3">
        <f t="shared" si="3"/>
        <v>1</v>
      </c>
      <c r="D117" s="2" t="s">
        <v>563</v>
      </c>
      <c r="E117" s="2" t="s">
        <v>564</v>
      </c>
      <c r="F117" s="2" t="s">
        <v>565</v>
      </c>
      <c r="I117" s="2" t="s">
        <v>566</v>
      </c>
      <c r="L117" s="2" t="s">
        <v>567</v>
      </c>
      <c r="M117" s="2" t="s">
        <v>45</v>
      </c>
    </row>
    <row r="118" spans="1:13" ht="15" x14ac:dyDescent="0.2">
      <c r="A118" s="2" t="s">
        <v>502</v>
      </c>
      <c r="B118" s="3" t="str">
        <f t="shared" si="2"/>
        <v>jcastro@abbvie.com</v>
      </c>
      <c r="C118" s="3">
        <f t="shared" si="3"/>
        <v>1</v>
      </c>
      <c r="D118" s="2" t="s">
        <v>568</v>
      </c>
      <c r="E118" s="2" t="s">
        <v>569</v>
      </c>
      <c r="F118" s="2" t="s">
        <v>570</v>
      </c>
      <c r="I118" s="2" t="s">
        <v>571</v>
      </c>
      <c r="L118" s="2" t="s">
        <v>572</v>
      </c>
      <c r="M118" s="2" t="s">
        <v>45</v>
      </c>
    </row>
    <row r="119" spans="1:13" ht="15" x14ac:dyDescent="0.2">
      <c r="A119" s="2" t="s">
        <v>502</v>
      </c>
      <c r="B119" s="3" t="str">
        <f t="shared" si="2"/>
        <v>mmatsey@abbvie.com</v>
      </c>
      <c r="C119" s="3">
        <f t="shared" si="3"/>
        <v>1</v>
      </c>
      <c r="D119" s="2" t="s">
        <v>573</v>
      </c>
      <c r="E119" s="2" t="s">
        <v>59</v>
      </c>
      <c r="F119" s="2" t="s">
        <v>574</v>
      </c>
      <c r="I119" s="2" t="s">
        <v>575</v>
      </c>
      <c r="L119" s="2" t="s">
        <v>576</v>
      </c>
      <c r="M119" s="2" t="s">
        <v>45</v>
      </c>
    </row>
    <row r="120" spans="1:13" ht="15" x14ac:dyDescent="0.2">
      <c r="A120" s="2" t="s">
        <v>502</v>
      </c>
      <c r="B120" s="3" t="str">
        <f t="shared" si="2"/>
        <v>hnelson@abbvie.com</v>
      </c>
      <c r="C120" s="3">
        <f t="shared" si="3"/>
        <v>1</v>
      </c>
      <c r="D120" s="2" t="s">
        <v>577</v>
      </c>
      <c r="E120" s="2" t="s">
        <v>578</v>
      </c>
      <c r="F120" s="2" t="s">
        <v>579</v>
      </c>
      <c r="I120" s="2" t="s">
        <v>580</v>
      </c>
      <c r="L120" s="2" t="s">
        <v>581</v>
      </c>
      <c r="M120" s="2" t="s">
        <v>45</v>
      </c>
    </row>
    <row r="121" spans="1:13" ht="15" x14ac:dyDescent="0.2">
      <c r="A121" s="2" t="s">
        <v>502</v>
      </c>
      <c r="B121" s="3" t="str">
        <f t="shared" si="2"/>
        <v>pthompson@abbvie.com</v>
      </c>
      <c r="C121" s="3">
        <f t="shared" si="3"/>
        <v>1</v>
      </c>
      <c r="D121" s="2" t="s">
        <v>582</v>
      </c>
      <c r="E121" s="2" t="s">
        <v>583</v>
      </c>
      <c r="F121" s="2" t="s">
        <v>584</v>
      </c>
      <c r="I121" s="2" t="s">
        <v>585</v>
      </c>
      <c r="L121" s="2" t="s">
        <v>586</v>
      </c>
      <c r="M121" s="2" t="s">
        <v>45</v>
      </c>
    </row>
    <row r="122" spans="1:13" ht="15" x14ac:dyDescent="0.2">
      <c r="A122" s="2" t="s">
        <v>502</v>
      </c>
      <c r="B122" s="3" t="str">
        <f t="shared" si="2"/>
        <v>rpatel@abbvie.com</v>
      </c>
      <c r="C122" s="3">
        <f t="shared" si="3"/>
        <v>1</v>
      </c>
      <c r="D122" s="2" t="s">
        <v>587</v>
      </c>
      <c r="E122" s="2" t="s">
        <v>588</v>
      </c>
      <c r="F122" s="2" t="s">
        <v>589</v>
      </c>
      <c r="I122" s="2" t="s">
        <v>590</v>
      </c>
      <c r="L122" s="2" t="s">
        <v>591</v>
      </c>
      <c r="M122" s="2" t="s">
        <v>45</v>
      </c>
    </row>
    <row r="123" spans="1:13" ht="15" x14ac:dyDescent="0.2">
      <c r="A123" s="2" t="s">
        <v>502</v>
      </c>
      <c r="B123" s="3" t="str">
        <f t="shared" si="2"/>
        <v>lconstantine@abbvie.com</v>
      </c>
      <c r="C123" s="3">
        <f t="shared" si="3"/>
        <v>1</v>
      </c>
      <c r="D123" s="2" t="s">
        <v>592</v>
      </c>
      <c r="E123" s="2" t="s">
        <v>593</v>
      </c>
      <c r="F123" s="2" t="s">
        <v>594</v>
      </c>
      <c r="I123" s="2" t="s">
        <v>595</v>
      </c>
      <c r="L123" s="2" t="s">
        <v>596</v>
      </c>
      <c r="M123" s="2" t="s">
        <v>45</v>
      </c>
    </row>
    <row r="124" spans="1:13" ht="15" x14ac:dyDescent="0.2">
      <c r="A124" s="2" t="s">
        <v>502</v>
      </c>
      <c r="B124" s="3" t="str">
        <f t="shared" si="2"/>
        <v>lcohen@abbvie.com</v>
      </c>
      <c r="C124" s="3">
        <f t="shared" si="3"/>
        <v>1</v>
      </c>
      <c r="D124" s="2" t="s">
        <v>597</v>
      </c>
      <c r="E124" s="2" t="s">
        <v>598</v>
      </c>
      <c r="F124" s="2" t="s">
        <v>599</v>
      </c>
      <c r="I124" s="2" t="s">
        <v>600</v>
      </c>
      <c r="L124" s="2" t="s">
        <v>601</v>
      </c>
      <c r="M124" s="2" t="s">
        <v>45</v>
      </c>
    </row>
    <row r="125" spans="1:13" ht="15" x14ac:dyDescent="0.2">
      <c r="A125" s="2" t="s">
        <v>502</v>
      </c>
      <c r="B125" s="3" t="str">
        <f t="shared" si="2"/>
        <v>gbrown@abbvie.com</v>
      </c>
      <c r="C125" s="3">
        <f t="shared" si="3"/>
        <v>1</v>
      </c>
      <c r="D125" s="2" t="s">
        <v>602</v>
      </c>
      <c r="E125" s="2" t="s">
        <v>603</v>
      </c>
      <c r="F125" s="2" t="s">
        <v>604</v>
      </c>
      <c r="I125" s="2" t="s">
        <v>605</v>
      </c>
      <c r="L125" s="2" t="s">
        <v>606</v>
      </c>
      <c r="M125" s="2" t="s">
        <v>45</v>
      </c>
    </row>
    <row r="126" spans="1:13" ht="15" x14ac:dyDescent="0.2">
      <c r="A126" s="2" t="s">
        <v>502</v>
      </c>
      <c r="B126" s="3" t="str">
        <f t="shared" si="2"/>
        <v>edygert@abbvie.com</v>
      </c>
      <c r="C126" s="3">
        <f t="shared" si="3"/>
        <v>1</v>
      </c>
      <c r="D126" s="2" t="s">
        <v>607</v>
      </c>
      <c r="E126" s="2" t="s">
        <v>608</v>
      </c>
      <c r="F126" s="2" t="s">
        <v>609</v>
      </c>
      <c r="I126" s="2" t="s">
        <v>610</v>
      </c>
      <c r="L126" s="2" t="s">
        <v>611</v>
      </c>
      <c r="M126" s="2" t="s">
        <v>45</v>
      </c>
    </row>
    <row r="127" spans="1:13" ht="15" x14ac:dyDescent="0.2">
      <c r="A127" s="2" t="s">
        <v>502</v>
      </c>
      <c r="B127" s="3" t="str">
        <f t="shared" si="2"/>
        <v>pnaumovski@abbvie.com</v>
      </c>
      <c r="C127" s="3">
        <f t="shared" si="3"/>
        <v>1</v>
      </c>
      <c r="D127" s="2" t="s">
        <v>612</v>
      </c>
      <c r="E127" s="2" t="s">
        <v>613</v>
      </c>
      <c r="F127" s="2" t="s">
        <v>614</v>
      </c>
      <c r="I127" s="2" t="s">
        <v>615</v>
      </c>
      <c r="L127" s="2" t="s">
        <v>616</v>
      </c>
      <c r="M127" s="2" t="s">
        <v>45</v>
      </c>
    </row>
    <row r="128" spans="1:13" ht="15" x14ac:dyDescent="0.2">
      <c r="A128" s="2" t="s">
        <v>502</v>
      </c>
      <c r="B128" s="3" t="str">
        <f t="shared" si="2"/>
        <v>dgantz@abbvie.com</v>
      </c>
      <c r="C128" s="3">
        <f t="shared" si="3"/>
        <v>1</v>
      </c>
      <c r="D128" s="2" t="s">
        <v>617</v>
      </c>
      <c r="E128" s="2" t="s">
        <v>618</v>
      </c>
      <c r="F128" s="2" t="s">
        <v>619</v>
      </c>
      <c r="I128" s="2" t="s">
        <v>620</v>
      </c>
      <c r="L128" s="2" t="s">
        <v>621</v>
      </c>
      <c r="M128" s="2" t="s">
        <v>45</v>
      </c>
    </row>
    <row r="129" spans="1:16" ht="15" x14ac:dyDescent="0.2">
      <c r="A129" s="2" t="s">
        <v>502</v>
      </c>
      <c r="B129" s="3" t="str">
        <f t="shared" si="2"/>
        <v>jmitchell@abbvie.com</v>
      </c>
      <c r="C129" s="3">
        <f t="shared" si="3"/>
        <v>1</v>
      </c>
      <c r="D129" s="2" t="s">
        <v>622</v>
      </c>
      <c r="E129" s="2" t="s">
        <v>264</v>
      </c>
      <c r="F129" s="2" t="s">
        <v>623</v>
      </c>
      <c r="I129" s="2" t="s">
        <v>624</v>
      </c>
      <c r="L129" s="2" t="s">
        <v>625</v>
      </c>
      <c r="M129" s="2" t="s">
        <v>45</v>
      </c>
    </row>
    <row r="130" spans="1:16" ht="15" x14ac:dyDescent="0.2">
      <c r="A130" s="2" t="s">
        <v>502</v>
      </c>
      <c r="B130" s="3" t="str">
        <f t="shared" ref="B130:B193" si="4">IF(H130&lt;&gt;"",H130,I130)</f>
        <v>fnolte@abbvie.com</v>
      </c>
      <c r="C130" s="3">
        <f t="shared" ref="C130:C193" si="5">COUNTIF($B$2:$B$1586,B130)</f>
        <v>1</v>
      </c>
      <c r="D130" s="2" t="s">
        <v>626</v>
      </c>
      <c r="E130" s="2" t="s">
        <v>627</v>
      </c>
      <c r="F130" s="2" t="s">
        <v>628</v>
      </c>
      <c r="I130" s="2" t="s">
        <v>629</v>
      </c>
      <c r="L130" s="2" t="s">
        <v>630</v>
      </c>
      <c r="M130" s="2" t="s">
        <v>45</v>
      </c>
    </row>
    <row r="131" spans="1:16" ht="15" x14ac:dyDescent="0.2">
      <c r="A131" s="2" t="s">
        <v>502</v>
      </c>
      <c r="B131" s="3" t="str">
        <f t="shared" si="4"/>
        <v>shomann@abbvie.com</v>
      </c>
      <c r="C131" s="3">
        <f t="shared" si="5"/>
        <v>1</v>
      </c>
      <c r="D131" s="2" t="s">
        <v>631</v>
      </c>
      <c r="E131" s="2" t="s">
        <v>632</v>
      </c>
      <c r="F131" s="2" t="s">
        <v>633</v>
      </c>
      <c r="I131" s="2" t="s">
        <v>634</v>
      </c>
      <c r="L131" s="2" t="s">
        <v>635</v>
      </c>
      <c r="M131" s="2" t="s">
        <v>45</v>
      </c>
    </row>
    <row r="132" spans="1:16" ht="15" x14ac:dyDescent="0.2">
      <c r="A132" s="2" t="s">
        <v>502</v>
      </c>
      <c r="B132" s="3" t="str">
        <f t="shared" si="4"/>
        <v>jciccimarra@abbvie.com</v>
      </c>
      <c r="C132" s="3">
        <f t="shared" si="5"/>
        <v>1</v>
      </c>
      <c r="D132" s="2" t="s">
        <v>636</v>
      </c>
      <c r="E132" s="2" t="s">
        <v>187</v>
      </c>
      <c r="F132" s="2" t="s">
        <v>637</v>
      </c>
      <c r="I132" s="2" t="s">
        <v>638</v>
      </c>
      <c r="L132" s="2" t="s">
        <v>639</v>
      </c>
      <c r="M132" s="2" t="s">
        <v>45</v>
      </c>
    </row>
    <row r="133" spans="1:16" ht="15" x14ac:dyDescent="0.2">
      <c r="A133" s="2" t="s">
        <v>502</v>
      </c>
      <c r="B133" s="3" t="str">
        <f t="shared" si="4"/>
        <v>jprowant@abbvie.com</v>
      </c>
      <c r="C133" s="3">
        <f t="shared" si="5"/>
        <v>1</v>
      </c>
      <c r="D133" s="2" t="s">
        <v>640</v>
      </c>
      <c r="E133" s="2" t="s">
        <v>641</v>
      </c>
      <c r="F133" s="2" t="s">
        <v>642</v>
      </c>
      <c r="I133" s="2" t="s">
        <v>643</v>
      </c>
      <c r="L133" s="2" t="s">
        <v>644</v>
      </c>
      <c r="M133" s="2" t="s">
        <v>45</v>
      </c>
    </row>
    <row r="134" spans="1:16" ht="15" x14ac:dyDescent="0.2">
      <c r="A134" s="2" t="s">
        <v>502</v>
      </c>
      <c r="B134" s="3" t="str">
        <f t="shared" si="4"/>
        <v>mekkela@abbvie.com</v>
      </c>
      <c r="C134" s="3">
        <f t="shared" si="5"/>
        <v>1</v>
      </c>
      <c r="D134" s="2" t="s">
        <v>645</v>
      </c>
      <c r="E134" s="2" t="s">
        <v>192</v>
      </c>
      <c r="F134" s="2" t="s">
        <v>646</v>
      </c>
      <c r="I134" s="2" t="s">
        <v>647</v>
      </c>
      <c r="L134" s="2" t="s">
        <v>648</v>
      </c>
      <c r="M134" s="2" t="s">
        <v>45</v>
      </c>
    </row>
    <row r="135" spans="1:16" ht="15" x14ac:dyDescent="0.2">
      <c r="A135" s="2" t="s">
        <v>502</v>
      </c>
      <c r="B135" s="3" t="str">
        <f t="shared" si="4"/>
        <v>brenda.ferraro@abbvie.com</v>
      </c>
      <c r="C135" s="3">
        <f t="shared" si="5"/>
        <v>1</v>
      </c>
      <c r="D135" s="2" t="s">
        <v>649</v>
      </c>
      <c r="E135" s="2" t="s">
        <v>259</v>
      </c>
      <c r="F135" s="2" t="s">
        <v>650</v>
      </c>
      <c r="I135" s="2" t="s">
        <v>651</v>
      </c>
      <c r="L135" s="2" t="s">
        <v>652</v>
      </c>
      <c r="M135" s="2" t="s">
        <v>45</v>
      </c>
    </row>
    <row r="136" spans="1:16" ht="15" x14ac:dyDescent="0.2">
      <c r="A136" s="2" t="s">
        <v>502</v>
      </c>
      <c r="B136" s="3" t="str">
        <f t="shared" si="4"/>
        <v>tarik.rahmanovic@abbvie.com</v>
      </c>
      <c r="C136" s="3">
        <f t="shared" si="5"/>
        <v>1</v>
      </c>
      <c r="D136" s="2" t="s">
        <v>653</v>
      </c>
      <c r="E136" s="2" t="s">
        <v>654</v>
      </c>
      <c r="F136" s="2" t="s">
        <v>655</v>
      </c>
      <c r="I136" s="2" t="s">
        <v>656</v>
      </c>
      <c r="L136" s="2" t="s">
        <v>657</v>
      </c>
      <c r="M136" s="2" t="s">
        <v>45</v>
      </c>
    </row>
    <row r="137" spans="1:16" ht="15" x14ac:dyDescent="0.2">
      <c r="A137" s="2" t="s">
        <v>502</v>
      </c>
      <c r="B137" s="3" t="str">
        <f t="shared" si="4"/>
        <v>cherie.stanford@abbvie.com</v>
      </c>
      <c r="C137" s="3">
        <f t="shared" si="5"/>
        <v>2</v>
      </c>
      <c r="D137" s="2" t="s">
        <v>658</v>
      </c>
      <c r="E137" s="2" t="s">
        <v>503</v>
      </c>
      <c r="F137" s="2" t="s">
        <v>504</v>
      </c>
      <c r="I137" s="2" t="s">
        <v>505</v>
      </c>
      <c r="L137" s="2" t="s">
        <v>659</v>
      </c>
      <c r="M137" s="2" t="s">
        <v>45</v>
      </c>
    </row>
    <row r="138" spans="1:16" ht="15" x14ac:dyDescent="0.2">
      <c r="A138" s="2" t="s">
        <v>502</v>
      </c>
      <c r="B138" s="3" t="str">
        <f t="shared" si="4"/>
        <v>rachel.james@abbvie.com</v>
      </c>
      <c r="C138" s="3">
        <f t="shared" si="5"/>
        <v>1</v>
      </c>
      <c r="D138" s="2" t="s">
        <v>660</v>
      </c>
      <c r="E138" s="2" t="s">
        <v>661</v>
      </c>
      <c r="F138" s="2" t="s">
        <v>264</v>
      </c>
      <c r="I138" s="2" t="s">
        <v>662</v>
      </c>
      <c r="L138" s="2" t="s">
        <v>663</v>
      </c>
      <c r="M138" s="2" t="s">
        <v>45</v>
      </c>
    </row>
    <row r="139" spans="1:16" ht="15" x14ac:dyDescent="0.2">
      <c r="A139" s="2" t="s">
        <v>502</v>
      </c>
      <c r="B139" s="3" t="str">
        <f t="shared" si="4"/>
        <v>evan.dygert@abbvie.com</v>
      </c>
      <c r="C139" s="3">
        <f t="shared" si="5"/>
        <v>1</v>
      </c>
      <c r="D139" s="2" t="s">
        <v>664</v>
      </c>
      <c r="E139" s="2" t="s">
        <v>608</v>
      </c>
      <c r="F139" s="2" t="s">
        <v>609</v>
      </c>
      <c r="I139" s="2" t="s">
        <v>665</v>
      </c>
      <c r="L139" s="2" t="s">
        <v>611</v>
      </c>
      <c r="M139" s="2" t="s">
        <v>463</v>
      </c>
    </row>
    <row r="140" spans="1:16" ht="15" x14ac:dyDescent="0.2">
      <c r="A140" s="2" t="s">
        <v>502</v>
      </c>
      <c r="B140" s="3" t="str">
        <f t="shared" si="4"/>
        <v>jennifer.christian@abbvie.com</v>
      </c>
      <c r="C140" s="3">
        <f t="shared" si="5"/>
        <v>1</v>
      </c>
      <c r="D140" s="2" t="s">
        <v>666</v>
      </c>
      <c r="E140" s="2" t="s">
        <v>139</v>
      </c>
      <c r="F140" s="2" t="s">
        <v>667</v>
      </c>
      <c r="I140" s="2" t="s">
        <v>668</v>
      </c>
      <c r="L140" s="2" t="s">
        <v>669</v>
      </c>
      <c r="M140" s="2" t="s">
        <v>45</v>
      </c>
    </row>
    <row r="141" spans="1:16" ht="13" x14ac:dyDescent="0.15">
      <c r="A141" s="4" t="s">
        <v>670</v>
      </c>
      <c r="B141" s="3" t="str">
        <f t="shared" si="4"/>
        <v>Yes</v>
      </c>
      <c r="C141" s="3">
        <f t="shared" si="5"/>
        <v>446</v>
      </c>
      <c r="D141" s="5">
        <v>11491769677</v>
      </c>
      <c r="E141" s="4" t="s">
        <v>671</v>
      </c>
      <c r="F141" s="4" t="s">
        <v>672</v>
      </c>
      <c r="G141" s="4"/>
      <c r="H141" s="4" t="s">
        <v>34</v>
      </c>
      <c r="I141" s="4" t="s">
        <v>673</v>
      </c>
      <c r="J141" s="6" t="s">
        <v>674</v>
      </c>
      <c r="K141" s="4"/>
      <c r="L141" s="4" t="s">
        <v>675</v>
      </c>
      <c r="M141" s="4" t="s">
        <v>38</v>
      </c>
      <c r="N141" s="4"/>
      <c r="O141" s="4"/>
      <c r="P141" s="4" t="str">
        <f>IF(OR(M141="Customer", M141="Opportunity", H141="Yes", H141=TRUE, G141="Yes", G141=TRUE, O141&gt;0), "YES", "NO")</f>
        <v>YES</v>
      </c>
    </row>
    <row r="142" spans="1:16" ht="13" x14ac:dyDescent="0.15">
      <c r="A142" s="4" t="s">
        <v>676</v>
      </c>
      <c r="B142" s="3" t="str">
        <f t="shared" si="4"/>
        <v>roger.brotz@acadiahealthcare.com</v>
      </c>
      <c r="C142" s="3">
        <f t="shared" si="5"/>
        <v>1</v>
      </c>
      <c r="D142" s="5">
        <v>25010944380</v>
      </c>
      <c r="E142" s="4" t="s">
        <v>677</v>
      </c>
      <c r="F142" s="4" t="s">
        <v>678</v>
      </c>
      <c r="G142" s="4" t="s">
        <v>34</v>
      </c>
      <c r="H142" s="4"/>
      <c r="I142" s="4" t="s">
        <v>679</v>
      </c>
      <c r="J142" s="6" t="s">
        <v>680</v>
      </c>
      <c r="K142" s="4"/>
      <c r="L142" s="4" t="s">
        <v>681</v>
      </c>
      <c r="M142" s="4"/>
      <c r="N142" s="4"/>
      <c r="O142" s="4"/>
      <c r="P142" s="4" t="str">
        <f>IF(OR(M142="Customer", M142="Opportunity", H142="Yes", H142=TRUE, G142="Yes", G142=TRUE, O142&gt;0), "YES", "NO")</f>
        <v>YES</v>
      </c>
    </row>
    <row r="143" spans="1:16" ht="15" x14ac:dyDescent="0.2">
      <c r="A143" s="2" t="s">
        <v>676</v>
      </c>
      <c r="B143" s="3" t="str">
        <f t="shared" si="4"/>
        <v>spencer.bain@acadiahealthcare.com</v>
      </c>
      <c r="C143" s="3">
        <f t="shared" si="5"/>
        <v>1</v>
      </c>
      <c r="D143" s="2" t="s">
        <v>682</v>
      </c>
      <c r="E143" s="2" t="s">
        <v>683</v>
      </c>
      <c r="F143" s="2" t="s">
        <v>684</v>
      </c>
      <c r="I143" s="2" t="s">
        <v>685</v>
      </c>
      <c r="L143" s="2" t="s">
        <v>686</v>
      </c>
      <c r="M143" s="2" t="s">
        <v>45</v>
      </c>
    </row>
    <row r="144" spans="1:16" ht="13" x14ac:dyDescent="0.15">
      <c r="A144" s="4" t="s">
        <v>687</v>
      </c>
      <c r="B144" s="3" t="str">
        <f t="shared" si="4"/>
        <v>Yes</v>
      </c>
      <c r="C144" s="3">
        <f t="shared" si="5"/>
        <v>446</v>
      </c>
      <c r="D144" s="5">
        <v>1859</v>
      </c>
      <c r="E144" s="4" t="s">
        <v>688</v>
      </c>
      <c r="F144" s="4" t="s">
        <v>689</v>
      </c>
      <c r="G144" s="4"/>
      <c r="H144" s="4" t="s">
        <v>34</v>
      </c>
      <c r="I144" s="4" t="s">
        <v>690</v>
      </c>
      <c r="J144" s="6" t="s">
        <v>691</v>
      </c>
      <c r="K144" s="4"/>
      <c r="L144" s="4" t="s">
        <v>692</v>
      </c>
      <c r="M144" s="4" t="s">
        <v>38</v>
      </c>
      <c r="N144" s="4"/>
      <c r="O144" s="4"/>
      <c r="P144" s="4" t="str">
        <f t="shared" ref="P144:P155" si="6">IF(OR(M144="Customer", M144="Opportunity", H144="Yes", H144=TRUE, G144="Yes", G144=TRUE, O144&gt;0), "YES", "NO")</f>
        <v>YES</v>
      </c>
    </row>
    <row r="145" spans="1:16" ht="13" x14ac:dyDescent="0.15">
      <c r="A145" s="4" t="s">
        <v>693</v>
      </c>
      <c r="B145" s="3" t="str">
        <f t="shared" si="4"/>
        <v>lbusby@achhh.org</v>
      </c>
      <c r="C145" s="3">
        <f t="shared" si="5"/>
        <v>1</v>
      </c>
      <c r="D145" s="5">
        <v>25021905560</v>
      </c>
      <c r="E145" s="4" t="s">
        <v>694</v>
      </c>
      <c r="F145" s="4" t="s">
        <v>695</v>
      </c>
      <c r="G145" s="4" t="s">
        <v>34</v>
      </c>
      <c r="H145" s="4"/>
      <c r="I145" s="4" t="s">
        <v>696</v>
      </c>
      <c r="J145" s="6" t="s">
        <v>697</v>
      </c>
      <c r="K145" s="4"/>
      <c r="L145" s="4" t="s">
        <v>698</v>
      </c>
      <c r="M145" s="4"/>
      <c r="N145" s="4"/>
      <c r="O145" s="4"/>
      <c r="P145" s="4" t="str">
        <f t="shared" si="6"/>
        <v>YES</v>
      </c>
    </row>
    <row r="146" spans="1:16" ht="13" x14ac:dyDescent="0.15">
      <c r="A146" s="4" t="s">
        <v>699</v>
      </c>
      <c r="B146" s="3" t="str">
        <f t="shared" si="4"/>
        <v>Yes</v>
      </c>
      <c r="C146" s="3">
        <f t="shared" si="5"/>
        <v>446</v>
      </c>
      <c r="D146" s="5">
        <v>11510275203</v>
      </c>
      <c r="E146" s="4" t="s">
        <v>700</v>
      </c>
      <c r="F146" s="4" t="s">
        <v>701</v>
      </c>
      <c r="G146" s="4"/>
      <c r="H146" s="4" t="s">
        <v>34</v>
      </c>
      <c r="I146" s="4" t="s">
        <v>702</v>
      </c>
      <c r="J146" s="6" t="s">
        <v>703</v>
      </c>
      <c r="K146" s="4"/>
      <c r="L146" s="4" t="s">
        <v>704</v>
      </c>
      <c r="M146" s="4" t="s">
        <v>38</v>
      </c>
      <c r="N146" s="4"/>
      <c r="O146" s="4"/>
      <c r="P146" s="4" t="str">
        <f t="shared" si="6"/>
        <v>YES</v>
      </c>
    </row>
    <row r="147" spans="1:16" ht="13" x14ac:dyDescent="0.15">
      <c r="A147" s="4" t="s">
        <v>705</v>
      </c>
      <c r="B147" s="3" t="str">
        <f t="shared" si="4"/>
        <v>Yes</v>
      </c>
      <c r="C147" s="3">
        <f t="shared" si="5"/>
        <v>446</v>
      </c>
      <c r="D147" s="5">
        <v>1051</v>
      </c>
      <c r="E147" s="4" t="s">
        <v>24</v>
      </c>
      <c r="F147" s="4" t="s">
        <v>706</v>
      </c>
      <c r="G147" s="4"/>
      <c r="H147" s="4" t="s">
        <v>34</v>
      </c>
      <c r="I147" s="4" t="s">
        <v>707</v>
      </c>
      <c r="J147" s="6" t="s">
        <v>708</v>
      </c>
      <c r="K147" s="4"/>
      <c r="L147" s="4" t="s">
        <v>709</v>
      </c>
      <c r="M147" s="4" t="s">
        <v>38</v>
      </c>
      <c r="N147" s="4"/>
      <c r="O147" s="4"/>
      <c r="P147" s="4" t="str">
        <f t="shared" si="6"/>
        <v>YES</v>
      </c>
    </row>
    <row r="148" spans="1:16" ht="13" x14ac:dyDescent="0.15">
      <c r="A148" s="4" t="s">
        <v>710</v>
      </c>
      <c r="B148" s="3" t="str">
        <f t="shared" si="4"/>
        <v>alan@activeprotective.com</v>
      </c>
      <c r="C148" s="3">
        <f t="shared" si="5"/>
        <v>1</v>
      </c>
      <c r="D148" s="5">
        <v>15123006782</v>
      </c>
      <c r="E148" s="4" t="s">
        <v>711</v>
      </c>
      <c r="F148" s="4" t="s">
        <v>712</v>
      </c>
      <c r="G148" s="4"/>
      <c r="H148" s="4"/>
      <c r="I148" s="4" t="s">
        <v>713</v>
      </c>
      <c r="J148" s="6" t="s">
        <v>714</v>
      </c>
      <c r="K148" s="7">
        <v>45449.65625</v>
      </c>
      <c r="L148" s="4" t="s">
        <v>715</v>
      </c>
      <c r="M148" s="4" t="s">
        <v>716</v>
      </c>
      <c r="N148" s="4"/>
      <c r="O148" s="5">
        <v>1</v>
      </c>
      <c r="P148" s="4" t="str">
        <f t="shared" si="6"/>
        <v>YES</v>
      </c>
    </row>
    <row r="149" spans="1:16" ht="13" x14ac:dyDescent="0.15">
      <c r="A149" s="4" t="s">
        <v>710</v>
      </c>
      <c r="B149" s="3" t="str">
        <f t="shared" si="4"/>
        <v>eric@activeprotective.com</v>
      </c>
      <c r="C149" s="3">
        <f t="shared" si="5"/>
        <v>1</v>
      </c>
      <c r="D149" s="5">
        <v>15129297519</v>
      </c>
      <c r="E149" s="4" t="s">
        <v>109</v>
      </c>
      <c r="F149" s="4" t="s">
        <v>717</v>
      </c>
      <c r="G149" s="4"/>
      <c r="H149" s="4"/>
      <c r="I149" s="4" t="s">
        <v>718</v>
      </c>
      <c r="J149" s="6" t="s">
        <v>714</v>
      </c>
      <c r="K149" s="4"/>
      <c r="L149" s="4"/>
      <c r="M149" s="4" t="s">
        <v>716</v>
      </c>
      <c r="N149" s="4"/>
      <c r="O149" s="4"/>
      <c r="P149" s="4" t="str">
        <f t="shared" si="6"/>
        <v>YES</v>
      </c>
    </row>
    <row r="150" spans="1:16" ht="13" x14ac:dyDescent="0.15">
      <c r="A150" s="4" t="s">
        <v>719</v>
      </c>
      <c r="B150" s="3" t="str">
        <f t="shared" si="4"/>
        <v>lloyd.willis@acuityinternational.com</v>
      </c>
      <c r="C150" s="3">
        <f t="shared" si="5"/>
        <v>1</v>
      </c>
      <c r="D150" s="5">
        <v>25013809218</v>
      </c>
      <c r="E150" s="4" t="s">
        <v>720</v>
      </c>
      <c r="F150" s="4" t="s">
        <v>721</v>
      </c>
      <c r="G150" s="4" t="s">
        <v>34</v>
      </c>
      <c r="H150" s="4"/>
      <c r="I150" s="4" t="s">
        <v>722</v>
      </c>
      <c r="J150" s="6" t="s">
        <v>723</v>
      </c>
      <c r="K150" s="4"/>
      <c r="L150" s="4" t="s">
        <v>724</v>
      </c>
      <c r="M150" s="4"/>
      <c r="N150" s="4"/>
      <c r="O150" s="4"/>
      <c r="P150" s="4" t="str">
        <f t="shared" si="6"/>
        <v>YES</v>
      </c>
    </row>
    <row r="151" spans="1:16" ht="13" x14ac:dyDescent="0.15">
      <c r="A151" s="4" t="s">
        <v>725</v>
      </c>
      <c r="B151" s="3" t="str">
        <f t="shared" si="4"/>
        <v>Yes</v>
      </c>
      <c r="C151" s="3">
        <f t="shared" si="5"/>
        <v>446</v>
      </c>
      <c r="D151" s="5">
        <v>11496431213</v>
      </c>
      <c r="E151" s="4" t="s">
        <v>726</v>
      </c>
      <c r="F151" s="4" t="s">
        <v>727</v>
      </c>
      <c r="G151" s="4"/>
      <c r="H151" s="4" t="s">
        <v>34</v>
      </c>
      <c r="I151" s="4" t="s">
        <v>728</v>
      </c>
      <c r="J151" s="6" t="s">
        <v>729</v>
      </c>
      <c r="K151" s="4"/>
      <c r="L151" s="4" t="s">
        <v>730</v>
      </c>
      <c r="M151" s="4" t="s">
        <v>38</v>
      </c>
      <c r="N151" s="4"/>
      <c r="O151" s="4"/>
      <c r="P151" s="4" t="str">
        <f t="shared" si="6"/>
        <v>YES</v>
      </c>
    </row>
    <row r="152" spans="1:16" ht="13" x14ac:dyDescent="0.15">
      <c r="A152" s="4" t="s">
        <v>731</v>
      </c>
      <c r="B152" s="3" t="str">
        <f t="shared" si="4"/>
        <v>Yes</v>
      </c>
      <c r="C152" s="3">
        <f t="shared" si="5"/>
        <v>446</v>
      </c>
      <c r="D152" s="5">
        <v>201</v>
      </c>
      <c r="E152" s="4" t="s">
        <v>192</v>
      </c>
      <c r="F152" s="4" t="s">
        <v>732</v>
      </c>
      <c r="G152" s="4"/>
      <c r="H152" s="4" t="s">
        <v>34</v>
      </c>
      <c r="I152" s="4" t="s">
        <v>733</v>
      </c>
      <c r="J152" s="6" t="s">
        <v>734</v>
      </c>
      <c r="K152" s="4"/>
      <c r="L152" s="4" t="s">
        <v>735</v>
      </c>
      <c r="M152" s="4" t="s">
        <v>38</v>
      </c>
      <c r="N152" s="4"/>
      <c r="O152" s="4"/>
      <c r="P152" s="4" t="str">
        <f t="shared" si="6"/>
        <v>YES</v>
      </c>
    </row>
    <row r="153" spans="1:16" ht="13" x14ac:dyDescent="0.15">
      <c r="A153" s="4" t="s">
        <v>736</v>
      </c>
      <c r="B153" s="3" t="str">
        <f t="shared" si="4"/>
        <v>ckaczmarski@ahsid.net</v>
      </c>
      <c r="C153" s="3">
        <f t="shared" si="5"/>
        <v>1</v>
      </c>
      <c r="D153" s="5">
        <v>25006222704</v>
      </c>
      <c r="E153" s="4" t="s">
        <v>737</v>
      </c>
      <c r="F153" s="4" t="s">
        <v>738</v>
      </c>
      <c r="G153" s="4" t="s">
        <v>34</v>
      </c>
      <c r="H153" s="4"/>
      <c r="I153" s="4" t="s">
        <v>739</v>
      </c>
      <c r="J153" s="6" t="s">
        <v>740</v>
      </c>
      <c r="K153" s="4"/>
      <c r="L153" s="4" t="s">
        <v>468</v>
      </c>
      <c r="M153" s="4"/>
      <c r="N153" s="4"/>
      <c r="O153" s="4"/>
      <c r="P153" s="4" t="str">
        <f t="shared" si="6"/>
        <v>YES</v>
      </c>
    </row>
    <row r="154" spans="1:16" ht="13" x14ac:dyDescent="0.15">
      <c r="A154" s="4" t="s">
        <v>741</v>
      </c>
      <c r="B154" s="3" t="str">
        <f t="shared" si="4"/>
        <v>Yes</v>
      </c>
      <c r="C154" s="3">
        <f t="shared" si="5"/>
        <v>446</v>
      </c>
      <c r="D154" s="5">
        <v>11513147175</v>
      </c>
      <c r="E154" s="4" t="s">
        <v>742</v>
      </c>
      <c r="F154" s="4" t="s">
        <v>743</v>
      </c>
      <c r="G154" s="4"/>
      <c r="H154" s="4" t="s">
        <v>34</v>
      </c>
      <c r="I154" s="4" t="s">
        <v>744</v>
      </c>
      <c r="J154" s="6" t="s">
        <v>745</v>
      </c>
      <c r="K154" s="4"/>
      <c r="L154" s="4" t="s">
        <v>746</v>
      </c>
      <c r="M154" s="4" t="s">
        <v>38</v>
      </c>
      <c r="N154" s="4"/>
      <c r="O154" s="4"/>
      <c r="P154" s="4" t="str">
        <f t="shared" si="6"/>
        <v>YES</v>
      </c>
    </row>
    <row r="155" spans="1:16" ht="13" x14ac:dyDescent="0.15">
      <c r="A155" s="4" t="s">
        <v>747</v>
      </c>
      <c r="B155" s="3" t="str">
        <f t="shared" si="4"/>
        <v>trond.toennesen@agilent.com</v>
      </c>
      <c r="C155" s="3">
        <f t="shared" si="5"/>
        <v>1</v>
      </c>
      <c r="D155" s="5">
        <v>25013908517</v>
      </c>
      <c r="E155" s="4" t="s">
        <v>748</v>
      </c>
      <c r="F155" s="4" t="s">
        <v>749</v>
      </c>
      <c r="G155" s="4" t="s">
        <v>34</v>
      </c>
      <c r="H155" s="4"/>
      <c r="I155" s="4" t="s">
        <v>750</v>
      </c>
      <c r="J155" s="6" t="s">
        <v>751</v>
      </c>
      <c r="K155" s="4"/>
      <c r="L155" s="4" t="s">
        <v>752</v>
      </c>
      <c r="M155" s="4"/>
      <c r="N155" s="4"/>
      <c r="O155" s="4"/>
      <c r="P155" s="4" t="str">
        <f t="shared" si="6"/>
        <v>YES</v>
      </c>
    </row>
    <row r="156" spans="1:16" ht="15" x14ac:dyDescent="0.2">
      <c r="A156" s="2" t="s">
        <v>753</v>
      </c>
      <c r="B156" s="3" t="str">
        <f t="shared" si="4"/>
        <v>nelson.wenner@aidahealthcare.com</v>
      </c>
      <c r="C156" s="3">
        <f t="shared" si="5"/>
        <v>1</v>
      </c>
      <c r="D156" s="2" t="s">
        <v>754</v>
      </c>
      <c r="E156" s="2" t="s">
        <v>579</v>
      </c>
      <c r="F156" s="2" t="s">
        <v>755</v>
      </c>
      <c r="I156" s="2" t="s">
        <v>756</v>
      </c>
      <c r="L156" s="2" t="s">
        <v>686</v>
      </c>
      <c r="M156" s="2" t="s">
        <v>45</v>
      </c>
    </row>
    <row r="157" spans="1:16" ht="15" x14ac:dyDescent="0.2">
      <c r="A157" s="2" t="s">
        <v>753</v>
      </c>
      <c r="B157" s="3" t="str">
        <f t="shared" si="4"/>
        <v>michael.nikitin@aidahealthcare.com</v>
      </c>
      <c r="C157" s="3">
        <f t="shared" si="5"/>
        <v>1</v>
      </c>
      <c r="D157" s="2" t="s">
        <v>757</v>
      </c>
      <c r="E157" s="2" t="s">
        <v>59</v>
      </c>
      <c r="F157" s="2" t="s">
        <v>758</v>
      </c>
      <c r="I157" s="2" t="s">
        <v>759</v>
      </c>
      <c r="L157" s="2" t="s">
        <v>760</v>
      </c>
      <c r="M157" s="2" t="s">
        <v>45</v>
      </c>
    </row>
    <row r="158" spans="1:16" ht="13" x14ac:dyDescent="0.15">
      <c r="A158" s="4" t="s">
        <v>761</v>
      </c>
      <c r="B158" s="3" t="str">
        <f t="shared" si="4"/>
        <v>Yes</v>
      </c>
      <c r="C158" s="3">
        <f t="shared" si="5"/>
        <v>446</v>
      </c>
      <c r="D158" s="5">
        <v>303</v>
      </c>
      <c r="E158" s="4" t="s">
        <v>65</v>
      </c>
      <c r="F158" s="4" t="s">
        <v>762</v>
      </c>
      <c r="G158" s="4"/>
      <c r="H158" s="4" t="s">
        <v>34</v>
      </c>
      <c r="I158" s="4" t="s">
        <v>763</v>
      </c>
      <c r="J158" s="6" t="s">
        <v>764</v>
      </c>
      <c r="K158" s="4"/>
      <c r="L158" s="4" t="s">
        <v>765</v>
      </c>
      <c r="M158" s="4" t="s">
        <v>38</v>
      </c>
      <c r="N158" s="4"/>
      <c r="O158" s="4"/>
      <c r="P158" s="4" t="str">
        <f>IF(OR(M158="Customer", M158="Opportunity", H158="Yes", H158=TRUE, G158="Yes", G158=TRUE, O158&gt;0), "YES", "NO")</f>
        <v>YES</v>
      </c>
    </row>
    <row r="159" spans="1:16" ht="13" x14ac:dyDescent="0.15">
      <c r="A159" s="4" t="s">
        <v>766</v>
      </c>
      <c r="B159" s="3" t="str">
        <f t="shared" si="4"/>
        <v>Yes</v>
      </c>
      <c r="C159" s="3">
        <f t="shared" si="5"/>
        <v>446</v>
      </c>
      <c r="D159" s="5">
        <v>11514703030</v>
      </c>
      <c r="E159" s="4" t="s">
        <v>767</v>
      </c>
      <c r="F159" s="4" t="s">
        <v>768</v>
      </c>
      <c r="G159" s="4"/>
      <c r="H159" s="4" t="s">
        <v>34</v>
      </c>
      <c r="I159" s="4" t="s">
        <v>769</v>
      </c>
      <c r="J159" s="6" t="s">
        <v>770</v>
      </c>
      <c r="K159" s="4"/>
      <c r="L159" s="4" t="s">
        <v>771</v>
      </c>
      <c r="M159" s="4" t="s">
        <v>38</v>
      </c>
      <c r="N159" s="4"/>
      <c r="O159" s="4"/>
      <c r="P159" s="4" t="str">
        <f>IF(OR(M159="Customer", M159="Opportunity", H159="Yes", H159=TRUE, G159="Yes", G159=TRUE, O159&gt;0), "YES", "NO")</f>
        <v>YES</v>
      </c>
    </row>
    <row r="160" spans="1:16" ht="13" x14ac:dyDescent="0.15">
      <c r="A160" s="4" t="s">
        <v>772</v>
      </c>
      <c r="B160" s="3" t="str">
        <f t="shared" si="4"/>
        <v>Yes</v>
      </c>
      <c r="C160" s="3">
        <f t="shared" si="5"/>
        <v>446</v>
      </c>
      <c r="D160" s="5">
        <v>11510907735</v>
      </c>
      <c r="E160" s="4" t="s">
        <v>773</v>
      </c>
      <c r="F160" s="4" t="s">
        <v>774</v>
      </c>
      <c r="G160" s="4"/>
      <c r="H160" s="4" t="s">
        <v>34</v>
      </c>
      <c r="I160" s="4" t="s">
        <v>775</v>
      </c>
      <c r="J160" s="6" t="s">
        <v>776</v>
      </c>
      <c r="K160" s="4"/>
      <c r="L160" s="4" t="s">
        <v>777</v>
      </c>
      <c r="M160" s="4" t="s">
        <v>38</v>
      </c>
      <c r="N160" s="4"/>
      <c r="O160" s="4"/>
      <c r="P160" s="4" t="str">
        <f>IF(OR(M160="Customer", M160="Opportunity", H160="Yes", H160=TRUE, G160="Yes", G160=TRUE, O160&gt;0), "YES", "NO")</f>
        <v>YES</v>
      </c>
    </row>
    <row r="161" spans="1:16" ht="15" x14ac:dyDescent="0.2">
      <c r="A161" s="2" t="s">
        <v>778</v>
      </c>
      <c r="B161" s="3" t="str">
        <f t="shared" si="4"/>
        <v>shashank.kaushik@alcon.com</v>
      </c>
      <c r="C161" s="3">
        <f t="shared" si="5"/>
        <v>1</v>
      </c>
      <c r="D161" s="2" t="s">
        <v>779</v>
      </c>
      <c r="E161" s="2" t="s">
        <v>780</v>
      </c>
      <c r="F161" s="2" t="s">
        <v>781</v>
      </c>
      <c r="I161" s="2" t="s">
        <v>782</v>
      </c>
      <c r="L161" s="2" t="s">
        <v>783</v>
      </c>
      <c r="M161" s="2" t="s">
        <v>45</v>
      </c>
    </row>
    <row r="162" spans="1:16" ht="15" x14ac:dyDescent="0.2">
      <c r="A162" s="2" t="s">
        <v>778</v>
      </c>
      <c r="B162" s="3" t="str">
        <f t="shared" si="4"/>
        <v>matt.castoe@alcon.com</v>
      </c>
      <c r="C162" s="3">
        <f t="shared" si="5"/>
        <v>1</v>
      </c>
      <c r="D162" s="2" t="s">
        <v>784</v>
      </c>
      <c r="E162" s="2" t="s">
        <v>785</v>
      </c>
      <c r="F162" s="2" t="s">
        <v>786</v>
      </c>
      <c r="I162" s="2" t="s">
        <v>787</v>
      </c>
      <c r="L162" s="2" t="s">
        <v>788</v>
      </c>
      <c r="M162" s="2" t="s">
        <v>22</v>
      </c>
    </row>
    <row r="163" spans="1:16" ht="15" x14ac:dyDescent="0.2">
      <c r="A163" s="2" t="s">
        <v>778</v>
      </c>
      <c r="B163" s="3" t="str">
        <f t="shared" si="4"/>
        <v>john.zuniga@alcon.com</v>
      </c>
      <c r="C163" s="3">
        <f t="shared" si="5"/>
        <v>1</v>
      </c>
      <c r="D163" s="2" t="s">
        <v>789</v>
      </c>
      <c r="E163" s="2" t="s">
        <v>187</v>
      </c>
      <c r="F163" s="2" t="s">
        <v>790</v>
      </c>
      <c r="I163" s="2" t="s">
        <v>791</v>
      </c>
      <c r="L163" s="2" t="s">
        <v>792</v>
      </c>
      <c r="M163" s="2" t="s">
        <v>22</v>
      </c>
    </row>
    <row r="164" spans="1:16" ht="15" x14ac:dyDescent="0.2">
      <c r="A164" s="2" t="s">
        <v>778</v>
      </c>
      <c r="B164" s="3" t="str">
        <f t="shared" si="4"/>
        <v>scott@alcon.com</v>
      </c>
      <c r="C164" s="3">
        <f t="shared" si="5"/>
        <v>1</v>
      </c>
      <c r="D164" s="2" t="s">
        <v>793</v>
      </c>
      <c r="E164" s="2" t="s">
        <v>794</v>
      </c>
      <c r="F164" s="2" t="s">
        <v>795</v>
      </c>
      <c r="I164" s="2" t="s">
        <v>796</v>
      </c>
      <c r="L164" s="2" t="s">
        <v>797</v>
      </c>
      <c r="M164" s="2" t="s">
        <v>22</v>
      </c>
    </row>
    <row r="165" spans="1:16" ht="13" x14ac:dyDescent="0.15">
      <c r="A165" s="4" t="s">
        <v>798</v>
      </c>
      <c r="B165" s="3" t="str">
        <f t="shared" si="4"/>
        <v>Yes</v>
      </c>
      <c r="C165" s="3">
        <f t="shared" si="5"/>
        <v>446</v>
      </c>
      <c r="D165" s="5">
        <v>11513567147</v>
      </c>
      <c r="E165" s="4" t="s">
        <v>799</v>
      </c>
      <c r="F165" s="4" t="s">
        <v>800</v>
      </c>
      <c r="G165" s="4"/>
      <c r="H165" s="4" t="s">
        <v>34</v>
      </c>
      <c r="I165" s="4" t="s">
        <v>801</v>
      </c>
      <c r="J165" s="6" t="s">
        <v>802</v>
      </c>
      <c r="K165" s="4"/>
      <c r="L165" s="4" t="s">
        <v>803</v>
      </c>
      <c r="M165" s="4" t="s">
        <v>38</v>
      </c>
      <c r="N165" s="4"/>
      <c r="O165" s="4"/>
      <c r="P165" s="4" t="str">
        <f>IF(OR(M165="Customer", M165="Opportunity", H165="Yes", H165=TRUE, G165="Yes", G165=TRUE, O165&gt;0), "YES", "NO")</f>
        <v>YES</v>
      </c>
    </row>
    <row r="166" spans="1:16" ht="15" x14ac:dyDescent="0.2">
      <c r="A166" s="2" t="s">
        <v>804</v>
      </c>
      <c r="B166" s="3" t="str">
        <f t="shared" si="4"/>
        <v>afoster@aligntech.com</v>
      </c>
      <c r="C166" s="3">
        <f t="shared" si="5"/>
        <v>1</v>
      </c>
      <c r="D166" s="2" t="s">
        <v>805</v>
      </c>
      <c r="E166" s="2" t="s">
        <v>806</v>
      </c>
      <c r="F166" s="2" t="s">
        <v>807</v>
      </c>
      <c r="I166" s="2" t="s">
        <v>808</v>
      </c>
      <c r="L166" s="2" t="s">
        <v>809</v>
      </c>
      <c r="M166" s="2" t="s">
        <v>45</v>
      </c>
    </row>
    <row r="167" spans="1:16" ht="15" x14ac:dyDescent="0.2">
      <c r="A167" s="2" t="s">
        <v>804</v>
      </c>
      <c r="B167" s="3" t="str">
        <f t="shared" si="4"/>
        <v>pcebotari@aligntech.com</v>
      </c>
      <c r="C167" s="3">
        <f t="shared" si="5"/>
        <v>1</v>
      </c>
      <c r="D167" s="2" t="s">
        <v>810</v>
      </c>
      <c r="E167" s="2" t="s">
        <v>811</v>
      </c>
      <c r="F167" s="2" t="s">
        <v>812</v>
      </c>
      <c r="I167" s="2" t="s">
        <v>813</v>
      </c>
      <c r="L167" s="2" t="s">
        <v>814</v>
      </c>
      <c r="M167" s="2" t="s">
        <v>45</v>
      </c>
    </row>
    <row r="168" spans="1:16" ht="15" x14ac:dyDescent="0.2">
      <c r="A168" s="2" t="s">
        <v>804</v>
      </c>
      <c r="B168" s="3" t="str">
        <f t="shared" si="4"/>
        <v>irao@aligntech.com</v>
      </c>
      <c r="C168" s="3">
        <f t="shared" si="5"/>
        <v>1</v>
      </c>
      <c r="D168" s="2" t="s">
        <v>815</v>
      </c>
      <c r="E168" s="2" t="s">
        <v>816</v>
      </c>
      <c r="F168" s="2" t="s">
        <v>817</v>
      </c>
      <c r="I168" s="2" t="s">
        <v>818</v>
      </c>
      <c r="L168" s="2" t="s">
        <v>819</v>
      </c>
      <c r="M168" s="2" t="s">
        <v>45</v>
      </c>
    </row>
    <row r="169" spans="1:16" ht="15" x14ac:dyDescent="0.2">
      <c r="A169" s="2" t="s">
        <v>804</v>
      </c>
      <c r="B169" s="3" t="str">
        <f t="shared" si="4"/>
        <v>capke@aligntech.com</v>
      </c>
      <c r="C169" s="3">
        <f t="shared" si="5"/>
        <v>1</v>
      </c>
      <c r="D169" s="2" t="s">
        <v>820</v>
      </c>
      <c r="E169" s="2" t="s">
        <v>821</v>
      </c>
      <c r="F169" s="2" t="s">
        <v>822</v>
      </c>
      <c r="I169" s="2" t="s">
        <v>823</v>
      </c>
      <c r="L169" s="2" t="s">
        <v>824</v>
      </c>
      <c r="M169" s="2" t="s">
        <v>45</v>
      </c>
    </row>
    <row r="170" spans="1:16" ht="15" x14ac:dyDescent="0.2">
      <c r="A170" s="2" t="s">
        <v>804</v>
      </c>
      <c r="B170" s="3" t="str">
        <f t="shared" si="4"/>
        <v>msorrells@aligntech.com</v>
      </c>
      <c r="C170" s="3">
        <f t="shared" si="5"/>
        <v>1</v>
      </c>
      <c r="D170" s="2" t="s">
        <v>825</v>
      </c>
      <c r="E170" s="2" t="s">
        <v>826</v>
      </c>
      <c r="F170" s="2" t="s">
        <v>827</v>
      </c>
      <c r="I170" s="2" t="s">
        <v>828</v>
      </c>
      <c r="L170" s="2" t="s">
        <v>829</v>
      </c>
      <c r="M170" s="2" t="s">
        <v>45</v>
      </c>
    </row>
    <row r="171" spans="1:16" ht="13" x14ac:dyDescent="0.15">
      <c r="A171" s="6" t="s">
        <v>830</v>
      </c>
      <c r="B171" s="3" t="str">
        <f t="shared" si="4"/>
        <v>Yes</v>
      </c>
      <c r="C171" s="3">
        <f t="shared" si="5"/>
        <v>446</v>
      </c>
      <c r="D171" s="5">
        <v>11515754086</v>
      </c>
      <c r="E171" s="4" t="s">
        <v>831</v>
      </c>
      <c r="F171" s="4" t="s">
        <v>832</v>
      </c>
      <c r="G171" s="4"/>
      <c r="H171" s="4" t="s">
        <v>34</v>
      </c>
      <c r="I171" s="4" t="s">
        <v>833</v>
      </c>
      <c r="J171" s="6" t="s">
        <v>830</v>
      </c>
      <c r="K171" s="4"/>
      <c r="L171" s="4" t="s">
        <v>834</v>
      </c>
      <c r="M171" s="4" t="s">
        <v>38</v>
      </c>
      <c r="N171" s="4"/>
      <c r="O171" s="4"/>
      <c r="P171" s="4" t="str">
        <f t="shared" ref="P171:P177" si="7">IF(OR(M171="Customer", M171="Opportunity", H171="Yes", H171=TRUE, G171="Yes", G171=TRUE, O171&gt;0), "YES", "NO")</f>
        <v>YES</v>
      </c>
    </row>
    <row r="172" spans="1:16" ht="13" x14ac:dyDescent="0.15">
      <c r="A172" s="4" t="s">
        <v>835</v>
      </c>
      <c r="B172" s="3" t="str">
        <f t="shared" si="4"/>
        <v>Yes</v>
      </c>
      <c r="C172" s="3">
        <f t="shared" si="5"/>
        <v>446</v>
      </c>
      <c r="D172" s="5">
        <v>11511464050</v>
      </c>
      <c r="E172" s="4" t="s">
        <v>836</v>
      </c>
      <c r="F172" s="4" t="s">
        <v>837</v>
      </c>
      <c r="G172" s="4"/>
      <c r="H172" s="4" t="s">
        <v>34</v>
      </c>
      <c r="I172" s="4" t="s">
        <v>838</v>
      </c>
      <c r="J172" s="6" t="s">
        <v>839</v>
      </c>
      <c r="K172" s="4"/>
      <c r="L172" s="4" t="s">
        <v>840</v>
      </c>
      <c r="M172" s="4" t="s">
        <v>38</v>
      </c>
      <c r="N172" s="4"/>
      <c r="O172" s="4"/>
      <c r="P172" s="4" t="str">
        <f t="shared" si="7"/>
        <v>YES</v>
      </c>
    </row>
    <row r="173" spans="1:16" ht="13" x14ac:dyDescent="0.15">
      <c r="A173" s="4" t="s">
        <v>841</v>
      </c>
      <c r="B173" s="3" t="str">
        <f t="shared" si="4"/>
        <v>mauraans@amazon.com</v>
      </c>
      <c r="C173" s="3">
        <f t="shared" si="5"/>
        <v>1</v>
      </c>
      <c r="D173" s="5">
        <v>25006940709</v>
      </c>
      <c r="E173" s="4" t="s">
        <v>842</v>
      </c>
      <c r="F173" s="4" t="s">
        <v>843</v>
      </c>
      <c r="G173" s="4" t="s">
        <v>34</v>
      </c>
      <c r="H173" s="4"/>
      <c r="I173" s="4" t="s">
        <v>844</v>
      </c>
      <c r="J173" s="6" t="s">
        <v>845</v>
      </c>
      <c r="K173" s="4"/>
      <c r="L173" s="4" t="s">
        <v>846</v>
      </c>
      <c r="M173" s="4"/>
      <c r="N173" s="4" t="s">
        <v>847</v>
      </c>
      <c r="O173" s="4"/>
      <c r="P173" s="4" t="str">
        <f t="shared" si="7"/>
        <v>YES</v>
      </c>
    </row>
    <row r="174" spans="1:16" ht="13" x14ac:dyDescent="0.15">
      <c r="A174" s="4" t="s">
        <v>848</v>
      </c>
      <c r="B174" s="3" t="str">
        <f t="shared" si="4"/>
        <v>jriggi@aha.org</v>
      </c>
      <c r="C174" s="3">
        <f t="shared" si="5"/>
        <v>1</v>
      </c>
      <c r="D174" s="5">
        <v>25010973863</v>
      </c>
      <c r="E174" s="4" t="s">
        <v>187</v>
      </c>
      <c r="F174" s="4" t="s">
        <v>849</v>
      </c>
      <c r="G174" s="4" t="s">
        <v>34</v>
      </c>
      <c r="H174" s="4"/>
      <c r="I174" s="4" t="s">
        <v>850</v>
      </c>
      <c r="J174" s="6" t="s">
        <v>851</v>
      </c>
      <c r="K174" s="4"/>
      <c r="L174" s="4" t="s">
        <v>852</v>
      </c>
      <c r="M174" s="4"/>
      <c r="N174" s="4"/>
      <c r="O174" s="4"/>
      <c r="P174" s="4" t="str">
        <f t="shared" si="7"/>
        <v>YES</v>
      </c>
    </row>
    <row r="175" spans="1:16" ht="13" x14ac:dyDescent="0.15">
      <c r="A175" s="4" t="s">
        <v>853</v>
      </c>
      <c r="B175" s="3" t="str">
        <f t="shared" si="4"/>
        <v>mrisoldi@amgen.com</v>
      </c>
      <c r="C175" s="3">
        <f t="shared" si="5"/>
        <v>1</v>
      </c>
      <c r="D175" s="5">
        <v>25021538140</v>
      </c>
      <c r="E175" s="4" t="s">
        <v>192</v>
      </c>
      <c r="F175" s="4" t="s">
        <v>854</v>
      </c>
      <c r="G175" s="4" t="s">
        <v>34</v>
      </c>
      <c r="H175" s="4"/>
      <c r="I175" s="4" t="s">
        <v>855</v>
      </c>
      <c r="J175" s="6" t="s">
        <v>856</v>
      </c>
      <c r="K175" s="4"/>
      <c r="L175" s="4" t="s">
        <v>857</v>
      </c>
      <c r="M175" s="4"/>
      <c r="N175" s="4"/>
      <c r="O175" s="4"/>
      <c r="P175" s="4" t="str">
        <f t="shared" si="7"/>
        <v>YES</v>
      </c>
    </row>
    <row r="176" spans="1:16" ht="13" x14ac:dyDescent="0.15">
      <c r="A176" s="4" t="s">
        <v>858</v>
      </c>
      <c r="B176" s="3" t="str">
        <f t="shared" si="4"/>
        <v>david.rodriguez@analog.com</v>
      </c>
      <c r="C176" s="3">
        <f t="shared" si="5"/>
        <v>1</v>
      </c>
      <c r="D176" s="5">
        <v>25005692299</v>
      </c>
      <c r="E176" s="4" t="s">
        <v>119</v>
      </c>
      <c r="F176" s="4" t="s">
        <v>859</v>
      </c>
      <c r="G176" s="4" t="s">
        <v>34</v>
      </c>
      <c r="H176" s="4"/>
      <c r="I176" s="4" t="s">
        <v>860</v>
      </c>
      <c r="J176" s="6" t="s">
        <v>861</v>
      </c>
      <c r="K176" s="4"/>
      <c r="L176" s="4" t="s">
        <v>862</v>
      </c>
      <c r="M176" s="4"/>
      <c r="N176" s="4"/>
      <c r="O176" s="4"/>
      <c r="P176" s="4" t="str">
        <f t="shared" si="7"/>
        <v>YES</v>
      </c>
    </row>
    <row r="177" spans="1:16" ht="13" x14ac:dyDescent="0.15">
      <c r="A177" s="4" t="s">
        <v>863</v>
      </c>
      <c r="B177" s="3" t="str">
        <f t="shared" si="4"/>
        <v>Yes</v>
      </c>
      <c r="C177" s="3">
        <f t="shared" si="5"/>
        <v>446</v>
      </c>
      <c r="D177" s="5">
        <v>11512248109</v>
      </c>
      <c r="E177" s="4" t="s">
        <v>864</v>
      </c>
      <c r="F177" s="4" t="s">
        <v>865</v>
      </c>
      <c r="G177" s="4"/>
      <c r="H177" s="4" t="s">
        <v>34</v>
      </c>
      <c r="I177" s="4" t="s">
        <v>866</v>
      </c>
      <c r="J177" s="6" t="s">
        <v>867</v>
      </c>
      <c r="K177" s="4"/>
      <c r="L177" s="4" t="s">
        <v>868</v>
      </c>
      <c r="M177" s="4" t="s">
        <v>38</v>
      </c>
      <c r="N177" s="4"/>
      <c r="O177" s="4"/>
      <c r="P177" s="4" t="str">
        <f t="shared" si="7"/>
        <v>YES</v>
      </c>
    </row>
    <row r="178" spans="1:16" ht="15" x14ac:dyDescent="0.2">
      <c r="A178" s="2" t="s">
        <v>869</v>
      </c>
      <c r="B178" s="3" t="str">
        <f t="shared" si="4"/>
        <v>panupan.viboonvutiwong@appliedmedical.com</v>
      </c>
      <c r="C178" s="3">
        <f t="shared" si="5"/>
        <v>1</v>
      </c>
      <c r="D178" s="2" t="s">
        <v>870</v>
      </c>
      <c r="E178" s="2" t="s">
        <v>871</v>
      </c>
      <c r="F178" s="2" t="s">
        <v>872</v>
      </c>
      <c r="I178" s="2" t="s">
        <v>873</v>
      </c>
      <c r="L178" s="2" t="s">
        <v>874</v>
      </c>
      <c r="M178" s="2" t="s">
        <v>45</v>
      </c>
    </row>
    <row r="179" spans="1:16" ht="13" x14ac:dyDescent="0.15">
      <c r="A179" s="4" t="s">
        <v>875</v>
      </c>
      <c r="B179" s="3" t="str">
        <f t="shared" si="4"/>
        <v>Yes</v>
      </c>
      <c r="C179" s="3">
        <f t="shared" si="5"/>
        <v>446</v>
      </c>
      <c r="D179" s="5">
        <v>11515742887</v>
      </c>
      <c r="E179" s="4" t="s">
        <v>876</v>
      </c>
      <c r="F179" s="4" t="s">
        <v>877</v>
      </c>
      <c r="G179" s="4"/>
      <c r="H179" s="4" t="s">
        <v>34</v>
      </c>
      <c r="I179" s="4" t="s">
        <v>878</v>
      </c>
      <c r="J179" s="6" t="s">
        <v>879</v>
      </c>
      <c r="K179" s="4"/>
      <c r="L179" s="4" t="s">
        <v>880</v>
      </c>
      <c r="M179" s="4" t="s">
        <v>38</v>
      </c>
      <c r="N179" s="4"/>
      <c r="O179" s="4"/>
      <c r="P179" s="4" t="str">
        <f>IF(OR(M179="Customer", M179="Opportunity", H179="Yes", H179=TRUE, G179="Yes", G179=TRUE, O179&gt;0), "YES", "NO")</f>
        <v>YES</v>
      </c>
    </row>
    <row r="180" spans="1:16" ht="13" x14ac:dyDescent="0.15">
      <c r="A180" s="4" t="s">
        <v>881</v>
      </c>
      <c r="B180" s="3" t="str">
        <f t="shared" si="4"/>
        <v>Yes</v>
      </c>
      <c r="C180" s="3">
        <f t="shared" si="5"/>
        <v>446</v>
      </c>
      <c r="D180" s="5">
        <v>11514703027</v>
      </c>
      <c r="E180" s="4" t="s">
        <v>882</v>
      </c>
      <c r="F180" s="4" t="s">
        <v>883</v>
      </c>
      <c r="G180" s="4"/>
      <c r="H180" s="4" t="s">
        <v>34</v>
      </c>
      <c r="I180" s="4" t="s">
        <v>884</v>
      </c>
      <c r="J180" s="6" t="s">
        <v>885</v>
      </c>
      <c r="K180" s="4"/>
      <c r="L180" s="4" t="s">
        <v>886</v>
      </c>
      <c r="M180" s="4" t="s">
        <v>38</v>
      </c>
      <c r="N180" s="4"/>
      <c r="O180" s="4"/>
      <c r="P180" s="4" t="str">
        <f>IF(OR(M180="Customer", M180="Opportunity", H180="Yes", H180=TRUE, G180="Yes", G180=TRUE, O180&gt;0), "YES", "NO")</f>
        <v>YES</v>
      </c>
    </row>
    <row r="181" spans="1:16" ht="13" x14ac:dyDescent="0.15">
      <c r="A181" s="4" t="s">
        <v>887</v>
      </c>
      <c r="B181" s="3" t="str">
        <f t="shared" si="4"/>
        <v>Yes</v>
      </c>
      <c r="C181" s="3">
        <f t="shared" si="5"/>
        <v>446</v>
      </c>
      <c r="D181" s="5">
        <v>3901</v>
      </c>
      <c r="E181" s="4" t="s">
        <v>348</v>
      </c>
      <c r="F181" s="4" t="s">
        <v>888</v>
      </c>
      <c r="G181" s="4"/>
      <c r="H181" s="4" t="s">
        <v>34</v>
      </c>
      <c r="I181" s="4" t="s">
        <v>889</v>
      </c>
      <c r="J181" s="6" t="s">
        <v>890</v>
      </c>
      <c r="K181" s="4"/>
      <c r="L181" s="4" t="s">
        <v>891</v>
      </c>
      <c r="M181" s="4" t="s">
        <v>38</v>
      </c>
      <c r="N181" s="4"/>
      <c r="O181" s="4"/>
      <c r="P181" s="4" t="str">
        <f>IF(OR(M181="Customer", M181="Opportunity", H181="Yes", H181=TRUE, G181="Yes", G181=TRUE, O181&gt;0), "YES", "NO")</f>
        <v>YES</v>
      </c>
    </row>
    <row r="182" spans="1:16" ht="13" x14ac:dyDescent="0.15">
      <c r="A182" s="4" t="s">
        <v>892</v>
      </c>
      <c r="B182" s="3" t="str">
        <f t="shared" si="4"/>
        <v>Yes</v>
      </c>
      <c r="C182" s="3">
        <f t="shared" si="5"/>
        <v>446</v>
      </c>
      <c r="D182" s="5">
        <v>11491769679</v>
      </c>
      <c r="E182" s="4" t="s">
        <v>893</v>
      </c>
      <c r="F182" s="4" t="s">
        <v>894</v>
      </c>
      <c r="G182" s="4"/>
      <c r="H182" s="4" t="s">
        <v>34</v>
      </c>
      <c r="I182" s="4" t="s">
        <v>895</v>
      </c>
      <c r="J182" s="6" t="s">
        <v>896</v>
      </c>
      <c r="K182" s="4"/>
      <c r="L182" s="4" t="s">
        <v>897</v>
      </c>
      <c r="M182" s="4" t="s">
        <v>38</v>
      </c>
      <c r="N182" s="4"/>
      <c r="O182" s="4"/>
      <c r="P182" s="4" t="str">
        <f>IF(OR(M182="Customer", M182="Opportunity", H182="Yes", H182=TRUE, G182="Yes", G182=TRUE, O182&gt;0), "YES", "NO")</f>
        <v>YES</v>
      </c>
    </row>
    <row r="183" spans="1:16" ht="15" x14ac:dyDescent="0.2">
      <c r="A183" s="2" t="s">
        <v>898</v>
      </c>
      <c r="B183" s="3" t="str">
        <f t="shared" si="4"/>
        <v>alan.abcarian@argonmedical.com</v>
      </c>
      <c r="C183" s="3">
        <f t="shared" si="5"/>
        <v>1</v>
      </c>
      <c r="D183" s="2" t="s">
        <v>899</v>
      </c>
      <c r="E183" s="2" t="s">
        <v>711</v>
      </c>
      <c r="F183" s="2" t="s">
        <v>900</v>
      </c>
      <c r="I183" s="2" t="s">
        <v>901</v>
      </c>
      <c r="L183" s="2" t="s">
        <v>902</v>
      </c>
      <c r="M183" s="2" t="s">
        <v>45</v>
      </c>
    </row>
    <row r="184" spans="1:16" ht="15" x14ac:dyDescent="0.2">
      <c r="A184" s="2" t="s">
        <v>903</v>
      </c>
      <c r="B184" s="3" t="str">
        <f t="shared" si="4"/>
        <v>bdemyan@arthrex.com</v>
      </c>
      <c r="C184" s="3">
        <f t="shared" si="5"/>
        <v>1</v>
      </c>
      <c r="D184" s="2" t="s">
        <v>904</v>
      </c>
      <c r="E184" s="2" t="s">
        <v>905</v>
      </c>
      <c r="F184" s="2" t="s">
        <v>906</v>
      </c>
      <c r="I184" s="2" t="s">
        <v>907</v>
      </c>
      <c r="L184" s="2" t="s">
        <v>908</v>
      </c>
      <c r="M184" s="2" t="s">
        <v>45</v>
      </c>
    </row>
    <row r="185" spans="1:16" ht="15" x14ac:dyDescent="0.2">
      <c r="A185" s="2" t="s">
        <v>903</v>
      </c>
      <c r="B185" s="3" t="str">
        <f t="shared" si="4"/>
        <v>lathan.larue@arthrex.com</v>
      </c>
      <c r="C185" s="3">
        <f t="shared" si="5"/>
        <v>1</v>
      </c>
      <c r="D185" s="2" t="s">
        <v>909</v>
      </c>
      <c r="E185" s="2" t="s">
        <v>910</v>
      </c>
      <c r="F185" s="2" t="s">
        <v>910</v>
      </c>
      <c r="I185" s="2" t="s">
        <v>911</v>
      </c>
      <c r="L185" s="2" t="s">
        <v>912</v>
      </c>
      <c r="M185" s="2" t="s">
        <v>45</v>
      </c>
    </row>
    <row r="186" spans="1:16" ht="15" x14ac:dyDescent="0.2">
      <c r="A186" s="2" t="s">
        <v>903</v>
      </c>
      <c r="B186" s="3" t="str">
        <f t="shared" si="4"/>
        <v>charles.long@arthrex.com</v>
      </c>
      <c r="C186" s="3">
        <f t="shared" si="5"/>
        <v>1</v>
      </c>
      <c r="D186" s="2" t="s">
        <v>913</v>
      </c>
      <c r="E186" s="2" t="s">
        <v>903</v>
      </c>
      <c r="F186" s="2" t="s">
        <v>914</v>
      </c>
      <c r="I186" s="2" t="s">
        <v>915</v>
      </c>
      <c r="L186" s="2" t="s">
        <v>916</v>
      </c>
      <c r="M186" s="2" t="s">
        <v>917</v>
      </c>
    </row>
    <row r="187" spans="1:16" ht="15" x14ac:dyDescent="0.2">
      <c r="A187" s="2" t="s">
        <v>903</v>
      </c>
      <c r="B187" s="3" t="str">
        <f t="shared" si="4"/>
        <v>julie.harr@arthrex.com</v>
      </c>
      <c r="C187" s="3">
        <f t="shared" si="5"/>
        <v>1</v>
      </c>
      <c r="D187" s="2" t="s">
        <v>918</v>
      </c>
      <c r="E187" s="2" t="s">
        <v>919</v>
      </c>
      <c r="F187" s="2" t="s">
        <v>920</v>
      </c>
      <c r="I187" s="2" t="s">
        <v>921</v>
      </c>
      <c r="L187" s="2" t="s">
        <v>922</v>
      </c>
      <c r="M187" s="2" t="s">
        <v>463</v>
      </c>
    </row>
    <row r="188" spans="1:16" ht="13" x14ac:dyDescent="0.15">
      <c r="A188" s="4" t="s">
        <v>923</v>
      </c>
      <c r="B188" s="3" t="str">
        <f t="shared" si="4"/>
        <v>hasseeb.bhatti@epredia.com</v>
      </c>
      <c r="C188" s="3">
        <f t="shared" si="5"/>
        <v>1</v>
      </c>
      <c r="D188" s="5">
        <v>15122198358</v>
      </c>
      <c r="E188" s="4" t="s">
        <v>924</v>
      </c>
      <c r="F188" s="4" t="s">
        <v>925</v>
      </c>
      <c r="G188" s="4"/>
      <c r="H188" s="4"/>
      <c r="I188" s="4" t="s">
        <v>926</v>
      </c>
      <c r="J188" s="6" t="s">
        <v>927</v>
      </c>
      <c r="K188" s="4"/>
      <c r="L188" s="4"/>
      <c r="M188" s="4" t="s">
        <v>716</v>
      </c>
      <c r="N188" s="4"/>
      <c r="O188" s="4"/>
      <c r="P188" s="4" t="str">
        <f t="shared" ref="P188:P204" si="8">IF(OR(M188="Customer", M188="Opportunity", H188="Yes", H188=TRUE, G188="Yes", G188=TRUE, O188&gt;0), "YES", "NO")</f>
        <v>YES</v>
      </c>
    </row>
    <row r="189" spans="1:16" ht="13" x14ac:dyDescent="0.15">
      <c r="A189" s="4" t="s">
        <v>923</v>
      </c>
      <c r="B189" s="3" t="str">
        <f t="shared" si="4"/>
        <v>andy.hackett@epredia.com</v>
      </c>
      <c r="C189" s="3">
        <f t="shared" si="5"/>
        <v>1</v>
      </c>
      <c r="D189" s="5">
        <v>15128932241</v>
      </c>
      <c r="E189" s="4" t="s">
        <v>928</v>
      </c>
      <c r="F189" s="4" t="s">
        <v>929</v>
      </c>
      <c r="G189" s="4"/>
      <c r="H189" s="4"/>
      <c r="I189" s="4" t="s">
        <v>930</v>
      </c>
      <c r="J189" s="6" t="s">
        <v>927</v>
      </c>
      <c r="K189" s="4"/>
      <c r="L189" s="4"/>
      <c r="M189" s="4" t="s">
        <v>716</v>
      </c>
      <c r="N189" s="4"/>
      <c r="O189" s="4"/>
      <c r="P189" s="4" t="str">
        <f t="shared" si="8"/>
        <v>YES</v>
      </c>
    </row>
    <row r="190" spans="1:16" ht="13" x14ac:dyDescent="0.15">
      <c r="A190" s="4" t="s">
        <v>923</v>
      </c>
      <c r="B190" s="3" t="str">
        <f t="shared" si="4"/>
        <v>david.mcnulty@epredia.com</v>
      </c>
      <c r="C190" s="3">
        <f t="shared" si="5"/>
        <v>1</v>
      </c>
      <c r="D190" s="5">
        <v>15121923593</v>
      </c>
      <c r="E190" s="4" t="s">
        <v>119</v>
      </c>
      <c r="F190" s="4" t="s">
        <v>931</v>
      </c>
      <c r="G190" s="4"/>
      <c r="H190" s="4"/>
      <c r="I190" s="4" t="s">
        <v>932</v>
      </c>
      <c r="J190" s="6" t="s">
        <v>927</v>
      </c>
      <c r="K190" s="4"/>
      <c r="L190" s="4" t="s">
        <v>933</v>
      </c>
      <c r="M190" s="4" t="s">
        <v>716</v>
      </c>
      <c r="N190" s="4"/>
      <c r="O190" s="4"/>
      <c r="P190" s="4" t="str">
        <f t="shared" si="8"/>
        <v>YES</v>
      </c>
    </row>
    <row r="191" spans="1:16" ht="13" x14ac:dyDescent="0.15">
      <c r="A191" s="4" t="s">
        <v>923</v>
      </c>
      <c r="B191" s="3" t="str">
        <f t="shared" si="4"/>
        <v>nathan.schwandt@epredia.com</v>
      </c>
      <c r="C191" s="3">
        <f t="shared" si="5"/>
        <v>1</v>
      </c>
      <c r="D191" s="5">
        <v>15121743269</v>
      </c>
      <c r="E191" s="4" t="s">
        <v>934</v>
      </c>
      <c r="F191" s="4" t="s">
        <v>935</v>
      </c>
      <c r="G191" s="4"/>
      <c r="H191" s="4"/>
      <c r="I191" s="4" t="s">
        <v>936</v>
      </c>
      <c r="J191" s="6" t="s">
        <v>927</v>
      </c>
      <c r="K191" s="4"/>
      <c r="L191" s="4"/>
      <c r="M191" s="4" t="s">
        <v>716</v>
      </c>
      <c r="N191" s="4"/>
      <c r="O191" s="4"/>
      <c r="P191" s="4" t="str">
        <f t="shared" si="8"/>
        <v>YES</v>
      </c>
    </row>
    <row r="192" spans="1:16" ht="13" x14ac:dyDescent="0.15">
      <c r="A192" s="4" t="s">
        <v>923</v>
      </c>
      <c r="B192" s="3" t="str">
        <f t="shared" si="4"/>
        <v>antonio.massicci@epredia.com</v>
      </c>
      <c r="C192" s="3">
        <f t="shared" si="5"/>
        <v>1</v>
      </c>
      <c r="D192" s="5">
        <v>15124307201</v>
      </c>
      <c r="E192" s="4" t="s">
        <v>937</v>
      </c>
      <c r="F192" s="4" t="s">
        <v>938</v>
      </c>
      <c r="G192" s="4"/>
      <c r="H192" s="4"/>
      <c r="I192" s="4" t="s">
        <v>939</v>
      </c>
      <c r="J192" s="6" t="s">
        <v>927</v>
      </c>
      <c r="K192" s="4"/>
      <c r="L192" s="4"/>
      <c r="M192" s="4" t="s">
        <v>716</v>
      </c>
      <c r="N192" s="4"/>
      <c r="O192" s="4"/>
      <c r="P192" s="4" t="str">
        <f t="shared" si="8"/>
        <v>YES</v>
      </c>
    </row>
    <row r="193" spans="1:16" ht="13" x14ac:dyDescent="0.15">
      <c r="A193" s="4" t="s">
        <v>923</v>
      </c>
      <c r="B193" s="3" t="str">
        <f t="shared" si="4"/>
        <v>gregory.stefkovic@ascensia.com</v>
      </c>
      <c r="C193" s="3">
        <f t="shared" si="5"/>
        <v>1</v>
      </c>
      <c r="D193" s="5">
        <v>15106485856</v>
      </c>
      <c r="E193" s="4" t="s">
        <v>940</v>
      </c>
      <c r="F193" s="4" t="s">
        <v>941</v>
      </c>
      <c r="G193" s="4"/>
      <c r="H193" s="4"/>
      <c r="I193" s="4" t="s">
        <v>942</v>
      </c>
      <c r="J193" s="6" t="s">
        <v>943</v>
      </c>
      <c r="K193" s="4"/>
      <c r="L193" s="4"/>
      <c r="M193" s="4" t="s">
        <v>716</v>
      </c>
      <c r="N193" s="4"/>
      <c r="O193" s="4"/>
      <c r="P193" s="4" t="str">
        <f t="shared" si="8"/>
        <v>YES</v>
      </c>
    </row>
    <row r="194" spans="1:16" ht="13" x14ac:dyDescent="0.15">
      <c r="A194" s="4" t="s">
        <v>944</v>
      </c>
      <c r="B194" s="3" t="str">
        <f t="shared" ref="B194:B257" si="9">IF(H194&lt;&gt;"",H194,I194)</f>
        <v>Yes</v>
      </c>
      <c r="C194" s="3">
        <f t="shared" ref="C194:C257" si="10">COUNTIF($B$2:$B$1586,B194)</f>
        <v>446</v>
      </c>
      <c r="D194" s="5">
        <v>11516590849</v>
      </c>
      <c r="E194" s="4" t="s">
        <v>945</v>
      </c>
      <c r="F194" s="4" t="s">
        <v>946</v>
      </c>
      <c r="G194" s="4"/>
      <c r="H194" s="4" t="s">
        <v>34</v>
      </c>
      <c r="I194" s="4" t="s">
        <v>947</v>
      </c>
      <c r="J194" s="6" t="s">
        <v>948</v>
      </c>
      <c r="K194" s="4"/>
      <c r="L194" s="4" t="s">
        <v>949</v>
      </c>
      <c r="M194" s="4" t="s">
        <v>38</v>
      </c>
      <c r="N194" s="4"/>
      <c r="O194" s="4"/>
      <c r="P194" s="4" t="str">
        <f t="shared" si="8"/>
        <v>YES</v>
      </c>
    </row>
    <row r="195" spans="1:16" ht="13" x14ac:dyDescent="0.15">
      <c r="A195" s="4" t="s">
        <v>950</v>
      </c>
      <c r="B195" s="3" t="str">
        <f t="shared" si="9"/>
        <v>Yes</v>
      </c>
      <c r="C195" s="3">
        <f t="shared" si="10"/>
        <v>446</v>
      </c>
      <c r="D195" s="5">
        <v>11490763630</v>
      </c>
      <c r="E195" s="4" t="s">
        <v>951</v>
      </c>
      <c r="F195" s="4" t="s">
        <v>952</v>
      </c>
      <c r="G195" s="4"/>
      <c r="H195" s="4" t="s">
        <v>34</v>
      </c>
      <c r="I195" s="4" t="s">
        <v>953</v>
      </c>
      <c r="J195" s="6" t="s">
        <v>954</v>
      </c>
      <c r="K195" s="4"/>
      <c r="L195" s="4" t="s">
        <v>955</v>
      </c>
      <c r="M195" s="4" t="s">
        <v>38</v>
      </c>
      <c r="N195" s="4"/>
      <c r="O195" s="4"/>
      <c r="P195" s="4" t="str">
        <f t="shared" si="8"/>
        <v>YES</v>
      </c>
    </row>
    <row r="196" spans="1:16" ht="13" x14ac:dyDescent="0.15">
      <c r="A196" s="4" t="s">
        <v>956</v>
      </c>
      <c r="B196" s="3" t="str">
        <f t="shared" si="9"/>
        <v>Yes</v>
      </c>
      <c r="C196" s="3">
        <f t="shared" si="10"/>
        <v>446</v>
      </c>
      <c r="D196" s="5">
        <v>11514404906</v>
      </c>
      <c r="E196" s="4" t="s">
        <v>957</v>
      </c>
      <c r="F196" s="4" t="s">
        <v>958</v>
      </c>
      <c r="G196" s="4"/>
      <c r="H196" s="4" t="s">
        <v>34</v>
      </c>
      <c r="I196" s="4" t="s">
        <v>959</v>
      </c>
      <c r="J196" s="6" t="s">
        <v>960</v>
      </c>
      <c r="K196" s="4"/>
      <c r="L196" s="4" t="s">
        <v>961</v>
      </c>
      <c r="M196" s="4" t="s">
        <v>38</v>
      </c>
      <c r="N196" s="4"/>
      <c r="O196" s="4"/>
      <c r="P196" s="4" t="str">
        <f t="shared" si="8"/>
        <v>YES</v>
      </c>
    </row>
    <row r="197" spans="1:16" ht="13" x14ac:dyDescent="0.15">
      <c r="A197" s="4" t="s">
        <v>962</v>
      </c>
      <c r="B197" s="3" t="str">
        <f t="shared" si="9"/>
        <v>Yes</v>
      </c>
      <c r="C197" s="3">
        <f t="shared" si="10"/>
        <v>446</v>
      </c>
      <c r="D197" s="5">
        <v>11513126833</v>
      </c>
      <c r="E197" s="4" t="s">
        <v>963</v>
      </c>
      <c r="F197" s="4" t="s">
        <v>964</v>
      </c>
      <c r="G197" s="4"/>
      <c r="H197" s="4" t="s">
        <v>34</v>
      </c>
      <c r="I197" s="4" t="s">
        <v>965</v>
      </c>
      <c r="J197" s="6" t="s">
        <v>966</v>
      </c>
      <c r="K197" s="4"/>
      <c r="L197" s="4" t="s">
        <v>967</v>
      </c>
      <c r="M197" s="4" t="s">
        <v>38</v>
      </c>
      <c r="N197" s="4"/>
      <c r="O197" s="4"/>
      <c r="P197" s="4" t="str">
        <f t="shared" si="8"/>
        <v>YES</v>
      </c>
    </row>
    <row r="198" spans="1:16" ht="13" x14ac:dyDescent="0.15">
      <c r="A198" s="4" t="s">
        <v>968</v>
      </c>
      <c r="B198" s="3" t="str">
        <f t="shared" si="9"/>
        <v>Yes</v>
      </c>
      <c r="C198" s="3">
        <f t="shared" si="10"/>
        <v>446</v>
      </c>
      <c r="D198" s="5">
        <v>3758</v>
      </c>
      <c r="E198" s="4" t="s">
        <v>969</v>
      </c>
      <c r="F198" s="4" t="s">
        <v>970</v>
      </c>
      <c r="G198" s="4"/>
      <c r="H198" s="4" t="s">
        <v>34</v>
      </c>
      <c r="I198" s="4" t="s">
        <v>971</v>
      </c>
      <c r="J198" s="6" t="s">
        <v>972</v>
      </c>
      <c r="K198" s="4"/>
      <c r="L198" s="4" t="s">
        <v>973</v>
      </c>
      <c r="M198" s="4" t="s">
        <v>38</v>
      </c>
      <c r="N198" s="4"/>
      <c r="O198" s="4"/>
      <c r="P198" s="4" t="str">
        <f t="shared" si="8"/>
        <v>YES</v>
      </c>
    </row>
    <row r="199" spans="1:16" ht="13" x14ac:dyDescent="0.15">
      <c r="A199" s="6" t="s">
        <v>974</v>
      </c>
      <c r="B199" s="3" t="str">
        <f t="shared" si="9"/>
        <v>Yes</v>
      </c>
      <c r="C199" s="3">
        <f t="shared" si="10"/>
        <v>446</v>
      </c>
      <c r="D199" s="5">
        <v>11514965900</v>
      </c>
      <c r="E199" s="4" t="s">
        <v>975</v>
      </c>
      <c r="F199" s="4" t="s">
        <v>976</v>
      </c>
      <c r="G199" s="4"/>
      <c r="H199" s="4" t="s">
        <v>34</v>
      </c>
      <c r="I199" s="4" t="s">
        <v>977</v>
      </c>
      <c r="J199" s="6" t="s">
        <v>978</v>
      </c>
      <c r="K199" s="4"/>
      <c r="L199" s="4" t="s">
        <v>681</v>
      </c>
      <c r="M199" s="4" t="s">
        <v>38</v>
      </c>
      <c r="N199" s="4"/>
      <c r="O199" s="4"/>
      <c r="P199" s="4" t="str">
        <f t="shared" si="8"/>
        <v>YES</v>
      </c>
    </row>
    <row r="200" spans="1:16" ht="13" x14ac:dyDescent="0.15">
      <c r="A200" s="4" t="s">
        <v>979</v>
      </c>
      <c r="B200" s="3" t="str">
        <f t="shared" si="9"/>
        <v>Yes</v>
      </c>
      <c r="C200" s="3">
        <f t="shared" si="10"/>
        <v>446</v>
      </c>
      <c r="D200" s="5">
        <v>11514429100</v>
      </c>
      <c r="E200" s="4" t="s">
        <v>980</v>
      </c>
      <c r="F200" s="4" t="s">
        <v>981</v>
      </c>
      <c r="G200" s="4"/>
      <c r="H200" s="4" t="s">
        <v>34</v>
      </c>
      <c r="I200" s="4" t="s">
        <v>982</v>
      </c>
      <c r="J200" s="4" t="s">
        <v>983</v>
      </c>
      <c r="K200" s="4"/>
      <c r="L200" s="4" t="s">
        <v>984</v>
      </c>
      <c r="M200" s="4" t="s">
        <v>38</v>
      </c>
      <c r="N200" s="4"/>
      <c r="O200" s="4"/>
      <c r="P200" s="4" t="str">
        <f t="shared" si="8"/>
        <v>YES</v>
      </c>
    </row>
    <row r="201" spans="1:16" ht="13" x14ac:dyDescent="0.15">
      <c r="A201" s="4" t="s">
        <v>985</v>
      </c>
      <c r="B201" s="3" t="str">
        <f t="shared" si="9"/>
        <v>Yes</v>
      </c>
      <c r="C201" s="3">
        <f t="shared" si="10"/>
        <v>446</v>
      </c>
      <c r="D201" s="5">
        <v>1201</v>
      </c>
      <c r="E201" s="4" t="s">
        <v>986</v>
      </c>
      <c r="F201" s="4" t="s">
        <v>987</v>
      </c>
      <c r="G201" s="4"/>
      <c r="H201" s="4" t="s">
        <v>34</v>
      </c>
      <c r="I201" s="4" t="s">
        <v>988</v>
      </c>
      <c r="J201" s="6" t="s">
        <v>989</v>
      </c>
      <c r="K201" s="4"/>
      <c r="L201" s="4" t="s">
        <v>990</v>
      </c>
      <c r="M201" s="4" t="s">
        <v>38</v>
      </c>
      <c r="N201" s="4"/>
      <c r="O201" s="4"/>
      <c r="P201" s="4" t="str">
        <f t="shared" si="8"/>
        <v>YES</v>
      </c>
    </row>
    <row r="202" spans="1:16" ht="13" x14ac:dyDescent="0.15">
      <c r="A202" s="4" t="s">
        <v>991</v>
      </c>
      <c r="B202" s="3" t="str">
        <f t="shared" si="9"/>
        <v>Yes</v>
      </c>
      <c r="C202" s="3">
        <f t="shared" si="10"/>
        <v>446</v>
      </c>
      <c r="D202" s="5">
        <v>11511483312</v>
      </c>
      <c r="E202" s="4" t="s">
        <v>992</v>
      </c>
      <c r="F202" s="4" t="s">
        <v>993</v>
      </c>
      <c r="G202" s="4"/>
      <c r="H202" s="4" t="s">
        <v>34</v>
      </c>
      <c r="I202" s="4" t="s">
        <v>994</v>
      </c>
      <c r="J202" s="6" t="s">
        <v>995</v>
      </c>
      <c r="K202" s="4"/>
      <c r="L202" s="4" t="s">
        <v>765</v>
      </c>
      <c r="M202" s="4" t="s">
        <v>38</v>
      </c>
      <c r="N202" s="4"/>
      <c r="O202" s="4"/>
      <c r="P202" s="4" t="str">
        <f t="shared" si="8"/>
        <v>YES</v>
      </c>
    </row>
    <row r="203" spans="1:16" ht="13" x14ac:dyDescent="0.15">
      <c r="A203" s="4" t="s">
        <v>996</v>
      </c>
      <c r="B203" s="3" t="str">
        <f t="shared" si="9"/>
        <v>Yes</v>
      </c>
      <c r="C203" s="3">
        <f t="shared" si="10"/>
        <v>446</v>
      </c>
      <c r="D203" s="5">
        <v>11515156630</v>
      </c>
      <c r="E203" s="4" t="s">
        <v>997</v>
      </c>
      <c r="F203" s="4" t="s">
        <v>998</v>
      </c>
      <c r="G203" s="4"/>
      <c r="H203" s="4" t="s">
        <v>34</v>
      </c>
      <c r="I203" s="4" t="s">
        <v>999</v>
      </c>
      <c r="J203" s="6" t="s">
        <v>1000</v>
      </c>
      <c r="K203" s="4"/>
      <c r="L203" s="4" t="s">
        <v>1001</v>
      </c>
      <c r="M203" s="4" t="s">
        <v>38</v>
      </c>
      <c r="N203" s="4"/>
      <c r="O203" s="4"/>
      <c r="P203" s="4" t="str">
        <f t="shared" si="8"/>
        <v>YES</v>
      </c>
    </row>
    <row r="204" spans="1:16" ht="13" x14ac:dyDescent="0.15">
      <c r="A204" s="4" t="s">
        <v>1002</v>
      </c>
      <c r="B204" s="3" t="str">
        <f t="shared" si="9"/>
        <v>Yes</v>
      </c>
      <c r="C204" s="3">
        <f t="shared" si="10"/>
        <v>446</v>
      </c>
      <c r="D204" s="5">
        <v>11512927909</v>
      </c>
      <c r="E204" s="4" t="s">
        <v>59</v>
      </c>
      <c r="F204" s="4" t="s">
        <v>1003</v>
      </c>
      <c r="G204" s="4"/>
      <c r="H204" s="4" t="s">
        <v>34</v>
      </c>
      <c r="I204" s="4" t="s">
        <v>1004</v>
      </c>
      <c r="J204" s="6" t="s">
        <v>1005</v>
      </c>
      <c r="K204" s="4"/>
      <c r="L204" s="4" t="s">
        <v>1006</v>
      </c>
      <c r="M204" s="4" t="s">
        <v>38</v>
      </c>
      <c r="N204" s="4"/>
      <c r="O204" s="4"/>
      <c r="P204" s="4" t="str">
        <f t="shared" si="8"/>
        <v>YES</v>
      </c>
    </row>
    <row r="205" spans="1:16" ht="15" x14ac:dyDescent="0.2">
      <c r="A205" s="2" t="s">
        <v>1007</v>
      </c>
      <c r="B205" s="3" t="str">
        <f t="shared" si="9"/>
        <v>robert.elfring@bbraun.com</v>
      </c>
      <c r="C205" s="3">
        <f t="shared" si="10"/>
        <v>1</v>
      </c>
      <c r="D205" s="2" t="s">
        <v>1008</v>
      </c>
      <c r="E205" s="2" t="s">
        <v>531</v>
      </c>
      <c r="F205" s="2" t="s">
        <v>1009</v>
      </c>
      <c r="I205" s="2" t="s">
        <v>1010</v>
      </c>
      <c r="L205" s="2" t="s">
        <v>1011</v>
      </c>
      <c r="M205" s="2" t="s">
        <v>45</v>
      </c>
    </row>
    <row r="206" spans="1:16" ht="13" x14ac:dyDescent="0.15">
      <c r="A206" s="4" t="s">
        <v>1012</v>
      </c>
      <c r="B206" s="3" t="str">
        <f t="shared" si="9"/>
        <v>taylor.payne1@bhsi.com</v>
      </c>
      <c r="C206" s="3">
        <f t="shared" si="10"/>
        <v>1</v>
      </c>
      <c r="D206" s="5">
        <v>25006958619</v>
      </c>
      <c r="E206" s="4" t="s">
        <v>1013</v>
      </c>
      <c r="F206" s="4" t="s">
        <v>1014</v>
      </c>
      <c r="G206" s="4" t="s">
        <v>34</v>
      </c>
      <c r="H206" s="4"/>
      <c r="I206" s="4" t="s">
        <v>1015</v>
      </c>
      <c r="J206" s="6" t="s">
        <v>1016</v>
      </c>
      <c r="K206" s="4"/>
      <c r="L206" s="4" t="s">
        <v>1017</v>
      </c>
      <c r="M206" s="4"/>
      <c r="N206" s="4"/>
      <c r="O206" s="4"/>
      <c r="P206" s="4" t="str">
        <f t="shared" ref="P206:P211" si="11">IF(OR(M206="Customer", M206="Opportunity", H206="Yes", H206=TRUE, G206="Yes", G206=TRUE, O206&gt;0), "YES", "NO")</f>
        <v>YES</v>
      </c>
    </row>
    <row r="207" spans="1:16" ht="13" x14ac:dyDescent="0.15">
      <c r="A207" s="4" t="s">
        <v>1018</v>
      </c>
      <c r="B207" s="3" t="str">
        <f t="shared" si="9"/>
        <v>Yes</v>
      </c>
      <c r="C207" s="3">
        <f t="shared" si="10"/>
        <v>446</v>
      </c>
      <c r="D207" s="5">
        <v>4402</v>
      </c>
      <c r="E207" s="4" t="s">
        <v>1019</v>
      </c>
      <c r="F207" s="4" t="s">
        <v>1020</v>
      </c>
      <c r="G207" s="4"/>
      <c r="H207" s="4" t="s">
        <v>34</v>
      </c>
      <c r="I207" s="4" t="s">
        <v>1021</v>
      </c>
      <c r="J207" s="6" t="s">
        <v>1022</v>
      </c>
      <c r="K207" s="4"/>
      <c r="L207" s="4" t="s">
        <v>1023</v>
      </c>
      <c r="M207" s="4" t="s">
        <v>38</v>
      </c>
      <c r="N207" s="4"/>
      <c r="O207" s="4"/>
      <c r="P207" s="4" t="str">
        <f t="shared" si="11"/>
        <v>YES</v>
      </c>
    </row>
    <row r="208" spans="1:16" ht="13" x14ac:dyDescent="0.15">
      <c r="A208" s="4" t="s">
        <v>1024</v>
      </c>
      <c r="B208" s="3" t="str">
        <f t="shared" si="9"/>
        <v>michele_huffman@baxter.com</v>
      </c>
      <c r="C208" s="3">
        <f t="shared" si="10"/>
        <v>1</v>
      </c>
      <c r="D208" s="5">
        <v>25012062262</v>
      </c>
      <c r="E208" s="4" t="s">
        <v>1025</v>
      </c>
      <c r="F208" s="4" t="s">
        <v>1026</v>
      </c>
      <c r="G208" s="4" t="s">
        <v>34</v>
      </c>
      <c r="H208" s="4"/>
      <c r="I208" s="4" t="s">
        <v>1027</v>
      </c>
      <c r="J208" s="6" t="s">
        <v>1022</v>
      </c>
      <c r="K208" s="4"/>
      <c r="L208" s="4" t="s">
        <v>233</v>
      </c>
      <c r="M208" s="4"/>
      <c r="N208" s="4"/>
      <c r="O208" s="4"/>
      <c r="P208" s="4" t="str">
        <f t="shared" si="11"/>
        <v>YES</v>
      </c>
    </row>
    <row r="209" spans="1:16" ht="13" x14ac:dyDescent="0.15">
      <c r="A209" s="4" t="s">
        <v>1024</v>
      </c>
      <c r="B209" s="3" t="str">
        <f t="shared" si="9"/>
        <v>sivaram.rajagopalan@vantive.com</v>
      </c>
      <c r="C209" s="3">
        <f t="shared" si="10"/>
        <v>1</v>
      </c>
      <c r="D209" s="5">
        <v>83740003404</v>
      </c>
      <c r="E209" s="4" t="s">
        <v>1028</v>
      </c>
      <c r="F209" s="4" t="s">
        <v>1029</v>
      </c>
      <c r="G209" s="4" t="s">
        <v>34</v>
      </c>
      <c r="H209" s="4"/>
      <c r="I209" s="4" t="s">
        <v>1030</v>
      </c>
      <c r="J209" s="6" t="s">
        <v>1031</v>
      </c>
      <c r="K209" s="7">
        <v>45714.534722222219</v>
      </c>
      <c r="L209" s="4" t="s">
        <v>1032</v>
      </c>
      <c r="M209" s="4" t="s">
        <v>1033</v>
      </c>
      <c r="N209" s="4"/>
      <c r="O209" s="5">
        <v>1</v>
      </c>
      <c r="P209" s="4" t="str">
        <f t="shared" si="11"/>
        <v>YES</v>
      </c>
    </row>
    <row r="210" spans="1:16" ht="13" x14ac:dyDescent="0.15">
      <c r="A210" s="4" t="s">
        <v>1024</v>
      </c>
      <c r="B210" s="3" t="str">
        <f t="shared" si="9"/>
        <v>svetlana_griffin@baxter.com</v>
      </c>
      <c r="C210" s="3">
        <f t="shared" si="10"/>
        <v>1</v>
      </c>
      <c r="D210" s="5">
        <v>25021538139</v>
      </c>
      <c r="E210" s="4" t="s">
        <v>1034</v>
      </c>
      <c r="F210" s="4" t="s">
        <v>1035</v>
      </c>
      <c r="G210" s="4" t="s">
        <v>34</v>
      </c>
      <c r="H210" s="4"/>
      <c r="I210" s="4" t="s">
        <v>1036</v>
      </c>
      <c r="J210" s="6" t="s">
        <v>1022</v>
      </c>
      <c r="K210" s="4"/>
      <c r="L210" s="4" t="s">
        <v>1037</v>
      </c>
      <c r="M210" s="4"/>
      <c r="N210" s="4"/>
      <c r="O210" s="4"/>
      <c r="P210" s="4" t="str">
        <f t="shared" si="11"/>
        <v>YES</v>
      </c>
    </row>
    <row r="211" spans="1:16" ht="13" x14ac:dyDescent="0.15">
      <c r="A211" s="4" t="s">
        <v>1024</v>
      </c>
      <c r="B211" s="3" t="str">
        <f t="shared" si="9"/>
        <v>irina_singh@baxter.com</v>
      </c>
      <c r="C211" s="3">
        <f t="shared" si="10"/>
        <v>2</v>
      </c>
      <c r="D211" s="5">
        <v>23808178256</v>
      </c>
      <c r="E211" s="4" t="s">
        <v>1038</v>
      </c>
      <c r="F211" s="4" t="s">
        <v>1039</v>
      </c>
      <c r="G211" s="4" t="s">
        <v>34</v>
      </c>
      <c r="H211" s="4"/>
      <c r="I211" s="4" t="s">
        <v>1040</v>
      </c>
      <c r="J211" s="6" t="s">
        <v>1022</v>
      </c>
      <c r="K211" s="4"/>
      <c r="L211" s="4" t="s">
        <v>1041</v>
      </c>
      <c r="M211" s="4" t="s">
        <v>1042</v>
      </c>
      <c r="N211" s="4"/>
      <c r="O211" s="4"/>
      <c r="P211" s="4" t="str">
        <f t="shared" si="11"/>
        <v>YES</v>
      </c>
    </row>
    <row r="212" spans="1:16" ht="15" x14ac:dyDescent="0.2">
      <c r="A212" s="2" t="s">
        <v>1024</v>
      </c>
      <c r="B212" s="3" t="str">
        <f t="shared" si="9"/>
        <v>bryan.murphy@baxter.com</v>
      </c>
      <c r="C212" s="3">
        <f t="shared" si="10"/>
        <v>1</v>
      </c>
      <c r="D212" s="2" t="s">
        <v>1043</v>
      </c>
      <c r="E212" s="2" t="s">
        <v>99</v>
      </c>
      <c r="F212" s="2" t="s">
        <v>1044</v>
      </c>
      <c r="I212" s="2" t="s">
        <v>1045</v>
      </c>
      <c r="L212" s="2" t="s">
        <v>1046</v>
      </c>
      <c r="M212" s="2" t="s">
        <v>22</v>
      </c>
    </row>
    <row r="213" spans="1:16" ht="15" x14ac:dyDescent="0.2">
      <c r="A213" s="2" t="s">
        <v>1024</v>
      </c>
      <c r="B213" s="3" t="str">
        <f t="shared" si="9"/>
        <v>ellen.lakin@baxter.com</v>
      </c>
      <c r="C213" s="3">
        <f t="shared" si="10"/>
        <v>1</v>
      </c>
      <c r="D213" s="2" t="s">
        <v>1047</v>
      </c>
      <c r="E213" s="2" t="s">
        <v>1048</v>
      </c>
      <c r="F213" s="2" t="s">
        <v>1049</v>
      </c>
      <c r="I213" s="2" t="s">
        <v>1050</v>
      </c>
      <c r="L213" s="2" t="s">
        <v>1051</v>
      </c>
      <c r="M213" s="2" t="s">
        <v>22</v>
      </c>
    </row>
    <row r="214" spans="1:16" ht="15" x14ac:dyDescent="0.2">
      <c r="A214" s="2" t="s">
        <v>1024</v>
      </c>
      <c r="B214" s="3" t="str">
        <f t="shared" si="9"/>
        <v>christine.donnelly@baxter.com</v>
      </c>
      <c r="C214" s="3">
        <f t="shared" si="10"/>
        <v>1</v>
      </c>
      <c r="D214" s="2" t="s">
        <v>1052</v>
      </c>
      <c r="E214" s="2" t="s">
        <v>1053</v>
      </c>
      <c r="F214" s="2" t="s">
        <v>1054</v>
      </c>
      <c r="I214" s="2" t="s">
        <v>1055</v>
      </c>
      <c r="L214" s="2" t="s">
        <v>1056</v>
      </c>
      <c r="M214" s="2" t="s">
        <v>22</v>
      </c>
    </row>
    <row r="215" spans="1:16" ht="15" x14ac:dyDescent="0.2">
      <c r="A215" s="2" t="s">
        <v>1024</v>
      </c>
      <c r="B215" s="3" t="str">
        <f t="shared" si="9"/>
        <v>michele.huffman@baxter.com</v>
      </c>
      <c r="C215" s="3">
        <f t="shared" si="10"/>
        <v>1</v>
      </c>
      <c r="D215" s="2" t="s">
        <v>1057</v>
      </c>
      <c r="E215" s="2" t="s">
        <v>1025</v>
      </c>
      <c r="F215" s="2" t="s">
        <v>1026</v>
      </c>
      <c r="I215" s="2" t="s">
        <v>1058</v>
      </c>
      <c r="L215" s="2" t="s">
        <v>1059</v>
      </c>
      <c r="M215" s="2" t="s">
        <v>22</v>
      </c>
    </row>
    <row r="216" spans="1:16" ht="15" x14ac:dyDescent="0.2">
      <c r="A216" s="2" t="s">
        <v>1024</v>
      </c>
      <c r="B216" s="3" t="str">
        <f t="shared" si="9"/>
        <v>c.howell@baxter.com</v>
      </c>
      <c r="C216" s="3">
        <f t="shared" si="10"/>
        <v>1</v>
      </c>
      <c r="D216" s="2" t="s">
        <v>1060</v>
      </c>
      <c r="E216" s="2" t="s">
        <v>1061</v>
      </c>
      <c r="F216" s="2" t="s">
        <v>1062</v>
      </c>
      <c r="I216" s="2" t="s">
        <v>1063</v>
      </c>
      <c r="L216" s="2" t="s">
        <v>1064</v>
      </c>
      <c r="M216" s="2" t="s">
        <v>22</v>
      </c>
    </row>
    <row r="217" spans="1:16" ht="15" x14ac:dyDescent="0.2">
      <c r="A217" s="2" t="s">
        <v>1024</v>
      </c>
      <c r="B217" s="3" t="str">
        <f t="shared" si="9"/>
        <v>robert.mitera@baxter.com</v>
      </c>
      <c r="C217" s="3">
        <f t="shared" si="10"/>
        <v>1</v>
      </c>
      <c r="D217" s="2" t="s">
        <v>1065</v>
      </c>
      <c r="E217" s="2" t="s">
        <v>531</v>
      </c>
      <c r="F217" s="2" t="s">
        <v>1066</v>
      </c>
      <c r="I217" s="2" t="s">
        <v>1067</v>
      </c>
      <c r="L217" s="2" t="s">
        <v>1068</v>
      </c>
      <c r="M217" s="2" t="s">
        <v>22</v>
      </c>
    </row>
    <row r="218" spans="1:16" ht="15" x14ac:dyDescent="0.2">
      <c r="A218" s="2" t="s">
        <v>1024</v>
      </c>
      <c r="B218" s="3" t="str">
        <f t="shared" si="9"/>
        <v>sharla.francis@baxter.com</v>
      </c>
      <c r="C218" s="3">
        <f t="shared" si="10"/>
        <v>1</v>
      </c>
      <c r="D218" s="2" t="s">
        <v>1069</v>
      </c>
      <c r="E218" s="2" t="s">
        <v>1070</v>
      </c>
      <c r="F218" s="2" t="s">
        <v>1071</v>
      </c>
      <c r="I218" s="2" t="s">
        <v>1072</v>
      </c>
      <c r="L218" s="2" t="s">
        <v>1073</v>
      </c>
      <c r="M218" s="2" t="s">
        <v>22</v>
      </c>
    </row>
    <row r="219" spans="1:16" ht="15" x14ac:dyDescent="0.2">
      <c r="A219" s="2" t="s">
        <v>1024</v>
      </c>
      <c r="B219" s="3" t="str">
        <f t="shared" si="9"/>
        <v>jeff.wilson@baxter.com</v>
      </c>
      <c r="C219" s="3">
        <f t="shared" si="10"/>
        <v>1</v>
      </c>
      <c r="D219" s="2" t="s">
        <v>1074</v>
      </c>
      <c r="E219" s="2" t="s">
        <v>1075</v>
      </c>
      <c r="F219" s="2" t="s">
        <v>1076</v>
      </c>
      <c r="I219" s="2" t="s">
        <v>1077</v>
      </c>
      <c r="L219" s="2" t="s">
        <v>1078</v>
      </c>
      <c r="M219" s="2" t="s">
        <v>22</v>
      </c>
    </row>
    <row r="220" spans="1:16" ht="15" x14ac:dyDescent="0.2">
      <c r="A220" s="2" t="s">
        <v>1024</v>
      </c>
      <c r="B220" s="3" t="str">
        <f t="shared" si="9"/>
        <v>sravan.r@baxter.com</v>
      </c>
      <c r="C220" s="3">
        <f t="shared" si="10"/>
        <v>1</v>
      </c>
      <c r="D220" s="2" t="s">
        <v>1079</v>
      </c>
      <c r="E220" s="2" t="s">
        <v>1080</v>
      </c>
      <c r="F220" s="2" t="s">
        <v>1081</v>
      </c>
      <c r="I220" s="2" t="s">
        <v>1082</v>
      </c>
      <c r="L220" s="2" t="s">
        <v>1083</v>
      </c>
      <c r="M220" s="2" t="s">
        <v>22</v>
      </c>
    </row>
    <row r="221" spans="1:16" ht="15" x14ac:dyDescent="0.2">
      <c r="A221" s="2" t="s">
        <v>1024</v>
      </c>
      <c r="B221" s="3" t="str">
        <f t="shared" si="9"/>
        <v>scott.coleman@baxter.com</v>
      </c>
      <c r="C221" s="3">
        <f t="shared" si="10"/>
        <v>1</v>
      </c>
      <c r="D221" s="2" t="s">
        <v>1084</v>
      </c>
      <c r="E221" s="2" t="s">
        <v>794</v>
      </c>
      <c r="F221" s="2" t="s">
        <v>1085</v>
      </c>
      <c r="I221" s="2" t="s">
        <v>1086</v>
      </c>
      <c r="L221" s="2" t="s">
        <v>1087</v>
      </c>
      <c r="M221" s="2" t="s">
        <v>22</v>
      </c>
    </row>
    <row r="222" spans="1:16" ht="15" x14ac:dyDescent="0.2">
      <c r="A222" s="2" t="s">
        <v>1024</v>
      </c>
      <c r="B222" s="3" t="str">
        <f t="shared" si="9"/>
        <v>khaja.khan@baxter.com</v>
      </c>
      <c r="C222" s="3">
        <f t="shared" si="10"/>
        <v>1</v>
      </c>
      <c r="D222" s="2" t="s">
        <v>1088</v>
      </c>
      <c r="E222" s="2" t="s">
        <v>1089</v>
      </c>
      <c r="F222" s="2" t="s">
        <v>1090</v>
      </c>
      <c r="I222" s="2" t="s">
        <v>1091</v>
      </c>
      <c r="L222" s="2" t="s">
        <v>1092</v>
      </c>
      <c r="M222" s="2" t="s">
        <v>22</v>
      </c>
    </row>
    <row r="223" spans="1:16" ht="15" x14ac:dyDescent="0.2">
      <c r="A223" s="2" t="s">
        <v>1024</v>
      </c>
      <c r="B223" s="3" t="str">
        <f t="shared" si="9"/>
        <v>sivaram.rajagopalan@baxter.com</v>
      </c>
      <c r="C223" s="3">
        <f t="shared" si="10"/>
        <v>1</v>
      </c>
      <c r="D223" s="2" t="s">
        <v>1093</v>
      </c>
      <c r="E223" s="2" t="s">
        <v>1028</v>
      </c>
      <c r="F223" s="2" t="s">
        <v>1029</v>
      </c>
      <c r="I223" s="2" t="s">
        <v>1094</v>
      </c>
      <c r="L223" s="2" t="s">
        <v>1095</v>
      </c>
      <c r="M223" s="2" t="s">
        <v>22</v>
      </c>
    </row>
    <row r="224" spans="1:16" ht="15" x14ac:dyDescent="0.2">
      <c r="A224" s="2" t="s">
        <v>1024</v>
      </c>
      <c r="B224" s="3" t="str">
        <f t="shared" si="9"/>
        <v>christopher.selk@baxter.com</v>
      </c>
      <c r="C224" s="3">
        <f t="shared" si="10"/>
        <v>1</v>
      </c>
      <c r="D224" s="2" t="s">
        <v>1096</v>
      </c>
      <c r="E224" s="2" t="s">
        <v>70</v>
      </c>
      <c r="F224" s="2" t="s">
        <v>1097</v>
      </c>
      <c r="I224" s="2" t="s">
        <v>1098</v>
      </c>
      <c r="L224" s="2" t="s">
        <v>1099</v>
      </c>
      <c r="M224" s="2" t="s">
        <v>22</v>
      </c>
    </row>
    <row r="225" spans="1:16" ht="15" x14ac:dyDescent="0.2">
      <c r="A225" s="2" t="s">
        <v>1024</v>
      </c>
      <c r="B225" s="3" t="str">
        <f t="shared" si="9"/>
        <v>lauren.groebe@baxter.com</v>
      </c>
      <c r="C225" s="3">
        <f t="shared" si="10"/>
        <v>1</v>
      </c>
      <c r="D225" s="2" t="s">
        <v>1100</v>
      </c>
      <c r="E225" s="2" t="s">
        <v>302</v>
      </c>
      <c r="F225" s="2" t="s">
        <v>1101</v>
      </c>
      <c r="I225" s="2" t="s">
        <v>1102</v>
      </c>
      <c r="L225" s="2" t="s">
        <v>1103</v>
      </c>
      <c r="M225" s="2" t="s">
        <v>22</v>
      </c>
    </row>
    <row r="226" spans="1:16" ht="15" x14ac:dyDescent="0.2">
      <c r="A226" s="2" t="s">
        <v>1024</v>
      </c>
      <c r="B226" s="3" t="str">
        <f t="shared" si="9"/>
        <v>will.sammons@baxter.com</v>
      </c>
      <c r="C226" s="3">
        <f t="shared" si="10"/>
        <v>1</v>
      </c>
      <c r="D226" s="2" t="s">
        <v>1104</v>
      </c>
      <c r="E226" s="2" t="s">
        <v>1105</v>
      </c>
      <c r="F226" s="2" t="s">
        <v>1106</v>
      </c>
      <c r="I226" s="2" t="s">
        <v>1107</v>
      </c>
      <c r="L226" s="2" t="s">
        <v>1108</v>
      </c>
      <c r="M226" s="2" t="s">
        <v>22</v>
      </c>
    </row>
    <row r="227" spans="1:16" ht="15" x14ac:dyDescent="0.2">
      <c r="A227" s="2" t="s">
        <v>1024</v>
      </c>
      <c r="B227" s="3" t="str">
        <f t="shared" si="9"/>
        <v>stacie.brough@baxter.com</v>
      </c>
      <c r="C227" s="3">
        <f t="shared" si="10"/>
        <v>1</v>
      </c>
      <c r="D227" s="2" t="s">
        <v>1109</v>
      </c>
      <c r="E227" s="2" t="s">
        <v>1110</v>
      </c>
      <c r="F227" s="2" t="s">
        <v>1111</v>
      </c>
      <c r="I227" s="2" t="s">
        <v>1112</v>
      </c>
      <c r="L227" s="2" t="s">
        <v>1113</v>
      </c>
      <c r="M227" s="2" t="s">
        <v>22</v>
      </c>
    </row>
    <row r="228" spans="1:16" ht="15" x14ac:dyDescent="0.2">
      <c r="A228" s="2" t="s">
        <v>1024</v>
      </c>
      <c r="B228" s="3" t="str">
        <f t="shared" si="9"/>
        <v>maya.maya@baxter.com</v>
      </c>
      <c r="C228" s="3">
        <f t="shared" si="10"/>
        <v>1</v>
      </c>
      <c r="D228" s="2" t="s">
        <v>1114</v>
      </c>
      <c r="E228" s="2" t="s">
        <v>1115</v>
      </c>
      <c r="F228" s="2" t="s">
        <v>1115</v>
      </c>
      <c r="I228" s="2" t="s">
        <v>1116</v>
      </c>
      <c r="L228" s="2" t="s">
        <v>132</v>
      </c>
      <c r="M228" s="2" t="s">
        <v>22</v>
      </c>
    </row>
    <row r="229" spans="1:16" ht="15" x14ac:dyDescent="0.2">
      <c r="A229" s="2" t="s">
        <v>1024</v>
      </c>
      <c r="B229" s="3" t="str">
        <f t="shared" si="9"/>
        <v>josh.hawkins@baxter.com</v>
      </c>
      <c r="C229" s="3">
        <f t="shared" si="10"/>
        <v>1</v>
      </c>
      <c r="D229" s="2" t="s">
        <v>1117</v>
      </c>
      <c r="E229" s="2" t="s">
        <v>1118</v>
      </c>
      <c r="F229" s="2" t="s">
        <v>1119</v>
      </c>
      <c r="I229" s="2" t="s">
        <v>1120</v>
      </c>
      <c r="L229" s="2" t="s">
        <v>591</v>
      </c>
      <c r="M229" s="2" t="s">
        <v>22</v>
      </c>
    </row>
    <row r="230" spans="1:16" ht="15" x14ac:dyDescent="0.2">
      <c r="A230" s="2" t="s">
        <v>1024</v>
      </c>
      <c r="B230" s="3" t="str">
        <f t="shared" si="9"/>
        <v>jeff.best@baxter.com</v>
      </c>
      <c r="C230" s="3">
        <f t="shared" si="10"/>
        <v>1</v>
      </c>
      <c r="D230" s="2" t="s">
        <v>1121</v>
      </c>
      <c r="E230" s="2" t="s">
        <v>1075</v>
      </c>
      <c r="F230" s="2" t="s">
        <v>1122</v>
      </c>
      <c r="I230" s="2" t="s">
        <v>1123</v>
      </c>
      <c r="L230" s="2" t="s">
        <v>1124</v>
      </c>
      <c r="M230" s="2" t="s">
        <v>22</v>
      </c>
    </row>
    <row r="231" spans="1:16" ht="15" x14ac:dyDescent="0.2">
      <c r="A231" s="2" t="s">
        <v>1024</v>
      </c>
      <c r="B231" s="3" t="str">
        <f t="shared" si="9"/>
        <v>thomas.balicki@baxter.com</v>
      </c>
      <c r="C231" s="3">
        <f t="shared" si="10"/>
        <v>1</v>
      </c>
      <c r="D231" s="2" t="s">
        <v>1125</v>
      </c>
      <c r="E231" s="2" t="s">
        <v>1126</v>
      </c>
      <c r="F231" s="2" t="s">
        <v>1127</v>
      </c>
      <c r="I231" s="2" t="s">
        <v>1128</v>
      </c>
      <c r="L231" s="2" t="s">
        <v>1129</v>
      </c>
      <c r="M231" s="2" t="s">
        <v>22</v>
      </c>
    </row>
    <row r="232" spans="1:16" ht="15" x14ac:dyDescent="0.2">
      <c r="A232" s="2" t="s">
        <v>1024</v>
      </c>
      <c r="B232" s="3" t="str">
        <f t="shared" si="9"/>
        <v>irina_singh@baxter.com</v>
      </c>
      <c r="C232" s="3">
        <f t="shared" si="10"/>
        <v>2</v>
      </c>
      <c r="D232" s="2" t="s">
        <v>1130</v>
      </c>
      <c r="E232" s="2" t="s">
        <v>1038</v>
      </c>
      <c r="F232" s="2" t="s">
        <v>1039</v>
      </c>
      <c r="I232" s="2" t="s">
        <v>1040</v>
      </c>
      <c r="L232" s="2" t="s">
        <v>1041</v>
      </c>
      <c r="M232" s="2" t="s">
        <v>463</v>
      </c>
    </row>
    <row r="233" spans="1:16" ht="15" x14ac:dyDescent="0.2">
      <c r="A233" s="2" t="s">
        <v>1024</v>
      </c>
      <c r="B233" s="3" t="str">
        <f t="shared" si="9"/>
        <v>noela.n@baxter.com</v>
      </c>
      <c r="C233" s="3">
        <f t="shared" si="10"/>
        <v>1</v>
      </c>
      <c r="D233" s="2" t="s">
        <v>1131</v>
      </c>
      <c r="E233" s="2" t="s">
        <v>1132</v>
      </c>
      <c r="F233" s="2" t="s">
        <v>1133</v>
      </c>
      <c r="I233" s="2" t="s">
        <v>1134</v>
      </c>
      <c r="L233" s="2" t="s">
        <v>309</v>
      </c>
      <c r="M233" s="2" t="s">
        <v>22</v>
      </c>
    </row>
    <row r="234" spans="1:16" ht="15" x14ac:dyDescent="0.2">
      <c r="A234" s="2" t="s">
        <v>1024</v>
      </c>
      <c r="B234" s="3" t="str">
        <f t="shared" si="9"/>
        <v>michael.stelzner@baxter.com</v>
      </c>
      <c r="C234" s="3">
        <f t="shared" si="10"/>
        <v>1</v>
      </c>
      <c r="D234" s="2" t="s">
        <v>1135</v>
      </c>
      <c r="E234" s="2" t="s">
        <v>59</v>
      </c>
      <c r="F234" s="2" t="s">
        <v>1136</v>
      </c>
      <c r="I234" s="2" t="s">
        <v>1137</v>
      </c>
      <c r="L234" s="2" t="s">
        <v>1138</v>
      </c>
      <c r="M234" s="2" t="s">
        <v>22</v>
      </c>
    </row>
    <row r="235" spans="1:16" ht="15" x14ac:dyDescent="0.2">
      <c r="A235" s="2" t="s">
        <v>1024</v>
      </c>
      <c r="B235" s="3" t="str">
        <f t="shared" si="9"/>
        <v>isidro_ignacio_morales@baxter.com</v>
      </c>
      <c r="C235" s="3">
        <f t="shared" si="10"/>
        <v>1</v>
      </c>
      <c r="D235" s="2" t="s">
        <v>1139</v>
      </c>
      <c r="E235" s="2" t="s">
        <v>910</v>
      </c>
      <c r="F235" s="2" t="s">
        <v>910</v>
      </c>
      <c r="I235" s="2" t="s">
        <v>1140</v>
      </c>
      <c r="L235" s="2" t="s">
        <v>1141</v>
      </c>
      <c r="M235" s="2" t="s">
        <v>45</v>
      </c>
    </row>
    <row r="236" spans="1:16" ht="15" x14ac:dyDescent="0.2">
      <c r="A236" s="2" t="s">
        <v>1024</v>
      </c>
      <c r="B236" s="3" t="str">
        <f t="shared" si="9"/>
        <v>hector_ivan_espinoza@baxter.com</v>
      </c>
      <c r="C236" s="3">
        <f t="shared" si="10"/>
        <v>1</v>
      </c>
      <c r="D236" s="2" t="s">
        <v>1142</v>
      </c>
      <c r="E236" s="2" t="s">
        <v>1143</v>
      </c>
      <c r="F236" s="2" t="s">
        <v>1144</v>
      </c>
      <c r="I236" s="2" t="s">
        <v>1145</v>
      </c>
      <c r="L236" s="2" t="s">
        <v>910</v>
      </c>
      <c r="M236" s="2" t="s">
        <v>22</v>
      </c>
    </row>
    <row r="237" spans="1:16" ht="13" x14ac:dyDescent="0.15">
      <c r="A237" s="4" t="s">
        <v>1146</v>
      </c>
      <c r="B237" s="3" t="str">
        <f t="shared" si="9"/>
        <v>jjaffee@bayada.com</v>
      </c>
      <c r="C237" s="3">
        <f t="shared" si="10"/>
        <v>1</v>
      </c>
      <c r="D237" s="5">
        <v>25021631787</v>
      </c>
      <c r="E237" s="4" t="s">
        <v>1147</v>
      </c>
      <c r="F237" s="4" t="s">
        <v>1148</v>
      </c>
      <c r="G237" s="4" t="s">
        <v>34</v>
      </c>
      <c r="H237" s="4"/>
      <c r="I237" s="4" t="s">
        <v>1149</v>
      </c>
      <c r="J237" s="6" t="s">
        <v>1150</v>
      </c>
      <c r="K237" s="4"/>
      <c r="L237" s="4" t="s">
        <v>1151</v>
      </c>
      <c r="M237" s="4"/>
      <c r="N237" s="4"/>
      <c r="O237" s="4"/>
      <c r="P237" s="4" t="str">
        <f t="shared" ref="P237:P255" si="12">IF(OR(M237="Customer", M237="Opportunity", H237="Yes", H237=TRUE, G237="Yes", G237=TRUE, O237&gt;0), "YES", "NO")</f>
        <v>YES</v>
      </c>
    </row>
    <row r="238" spans="1:16" ht="13" x14ac:dyDescent="0.15">
      <c r="A238" s="4" t="s">
        <v>1152</v>
      </c>
      <c r="B238" s="3" t="str">
        <f t="shared" si="9"/>
        <v>eric.kruse@bayer.com</v>
      </c>
      <c r="C238" s="3">
        <f t="shared" si="10"/>
        <v>1</v>
      </c>
      <c r="D238" s="5">
        <v>25021798181</v>
      </c>
      <c r="E238" s="4" t="s">
        <v>109</v>
      </c>
      <c r="F238" s="4" t="s">
        <v>1153</v>
      </c>
      <c r="G238" s="4" t="s">
        <v>34</v>
      </c>
      <c r="H238" s="4"/>
      <c r="I238" s="4" t="s">
        <v>1154</v>
      </c>
      <c r="J238" s="6" t="s">
        <v>1155</v>
      </c>
      <c r="K238" s="4"/>
      <c r="L238" s="4" t="s">
        <v>1156</v>
      </c>
      <c r="M238" s="4"/>
      <c r="N238" s="4"/>
      <c r="O238" s="4"/>
      <c r="P238" s="4" t="str">
        <f t="shared" si="12"/>
        <v>YES</v>
      </c>
    </row>
    <row r="239" spans="1:16" ht="13" x14ac:dyDescent="0.15">
      <c r="A239" s="4" t="s">
        <v>1152</v>
      </c>
      <c r="B239" s="3" t="str">
        <f t="shared" si="9"/>
        <v>john.pfaff@bayer.com</v>
      </c>
      <c r="C239" s="3">
        <f t="shared" si="10"/>
        <v>1</v>
      </c>
      <c r="D239" s="5">
        <v>15122281137</v>
      </c>
      <c r="E239" s="4" t="s">
        <v>187</v>
      </c>
      <c r="F239" s="4" t="s">
        <v>1157</v>
      </c>
      <c r="G239" s="4"/>
      <c r="H239" s="4"/>
      <c r="I239" s="4" t="s">
        <v>1158</v>
      </c>
      <c r="J239" s="6" t="s">
        <v>1155</v>
      </c>
      <c r="K239" s="4"/>
      <c r="L239" s="4" t="s">
        <v>1159</v>
      </c>
      <c r="M239" s="4" t="s">
        <v>716</v>
      </c>
      <c r="N239" s="4"/>
      <c r="O239" s="4"/>
      <c r="P239" s="4" t="str">
        <f t="shared" si="12"/>
        <v>YES</v>
      </c>
    </row>
    <row r="240" spans="1:16" ht="13" x14ac:dyDescent="0.15">
      <c r="A240" s="4" t="s">
        <v>1160</v>
      </c>
      <c r="B240" s="3" t="str">
        <f t="shared" si="9"/>
        <v>tyler.skirble@bayer.com</v>
      </c>
      <c r="C240" s="3">
        <f t="shared" si="10"/>
        <v>1</v>
      </c>
      <c r="D240" s="5">
        <v>15129297524</v>
      </c>
      <c r="E240" s="4" t="s">
        <v>1161</v>
      </c>
      <c r="F240" s="4" t="s">
        <v>1162</v>
      </c>
      <c r="G240" s="4"/>
      <c r="H240" s="4"/>
      <c r="I240" s="4" t="s">
        <v>1163</v>
      </c>
      <c r="J240" s="6" t="s">
        <v>1155</v>
      </c>
      <c r="K240" s="4"/>
      <c r="L240" s="4"/>
      <c r="M240" s="4" t="s">
        <v>716</v>
      </c>
      <c r="N240" s="4"/>
      <c r="O240" s="4"/>
      <c r="P240" s="4" t="str">
        <f t="shared" si="12"/>
        <v>YES</v>
      </c>
    </row>
    <row r="241" spans="1:16" ht="13" x14ac:dyDescent="0.15">
      <c r="A241" s="4" t="s">
        <v>1160</v>
      </c>
      <c r="B241" s="3" t="str">
        <f t="shared" si="9"/>
        <v>bo.lanham.ext@bayer.com</v>
      </c>
      <c r="C241" s="3">
        <f t="shared" si="10"/>
        <v>1</v>
      </c>
      <c r="D241" s="5">
        <v>15122431015</v>
      </c>
      <c r="E241" s="4" t="s">
        <v>1164</v>
      </c>
      <c r="F241" s="4" t="s">
        <v>1165</v>
      </c>
      <c r="G241" s="4"/>
      <c r="H241" s="4"/>
      <c r="I241" s="4" t="s">
        <v>1166</v>
      </c>
      <c r="J241" s="6" t="s">
        <v>1155</v>
      </c>
      <c r="K241" s="4"/>
      <c r="L241" s="4"/>
      <c r="M241" s="4" t="s">
        <v>716</v>
      </c>
      <c r="N241" s="4"/>
      <c r="O241" s="4"/>
      <c r="P241" s="4" t="str">
        <f t="shared" si="12"/>
        <v>YES</v>
      </c>
    </row>
    <row r="242" spans="1:16" ht="13" x14ac:dyDescent="0.15">
      <c r="A242" s="4" t="s">
        <v>1160</v>
      </c>
      <c r="B242" s="3" t="str">
        <f t="shared" si="9"/>
        <v>mihir.salunkhe@bayer.com</v>
      </c>
      <c r="C242" s="3">
        <f t="shared" si="10"/>
        <v>1</v>
      </c>
      <c r="D242" s="5">
        <v>15122431005</v>
      </c>
      <c r="E242" s="4" t="s">
        <v>1167</v>
      </c>
      <c r="F242" s="4" t="s">
        <v>1168</v>
      </c>
      <c r="G242" s="4"/>
      <c r="H242" s="4"/>
      <c r="I242" s="4" t="s">
        <v>1169</v>
      </c>
      <c r="J242" s="6" t="s">
        <v>1155</v>
      </c>
      <c r="K242" s="4"/>
      <c r="L242" s="4"/>
      <c r="M242" s="4" t="s">
        <v>716</v>
      </c>
      <c r="N242" s="4"/>
      <c r="O242" s="4"/>
      <c r="P242" s="4" t="str">
        <f t="shared" si="12"/>
        <v>YES</v>
      </c>
    </row>
    <row r="243" spans="1:16" ht="13" x14ac:dyDescent="0.15">
      <c r="A243" s="4" t="s">
        <v>1160</v>
      </c>
      <c r="B243" s="3" t="str">
        <f t="shared" si="9"/>
        <v>paul.schlabach.ext@bayer.com</v>
      </c>
      <c r="C243" s="3">
        <f t="shared" si="10"/>
        <v>1</v>
      </c>
      <c r="D243" s="5">
        <v>15143306373</v>
      </c>
      <c r="E243" s="4" t="s">
        <v>526</v>
      </c>
      <c r="F243" s="4" t="s">
        <v>1170</v>
      </c>
      <c r="G243" s="4"/>
      <c r="H243" s="4"/>
      <c r="I243" s="4" t="s">
        <v>1171</v>
      </c>
      <c r="J243" s="6" t="s">
        <v>1155</v>
      </c>
      <c r="K243" s="4"/>
      <c r="L243" s="4"/>
      <c r="M243" s="4" t="s">
        <v>716</v>
      </c>
      <c r="N243" s="4"/>
      <c r="O243" s="4"/>
      <c r="P243" s="4" t="str">
        <f t="shared" si="12"/>
        <v>YES</v>
      </c>
    </row>
    <row r="244" spans="1:16" ht="13" x14ac:dyDescent="0.15">
      <c r="A244" s="4" t="s">
        <v>1160</v>
      </c>
      <c r="B244" s="3" t="str">
        <f t="shared" si="9"/>
        <v>doug.mcconahy@bayer.com</v>
      </c>
      <c r="C244" s="3">
        <f t="shared" si="10"/>
        <v>1</v>
      </c>
      <c r="D244" s="5">
        <v>15128438886</v>
      </c>
      <c r="E244" s="4" t="s">
        <v>1172</v>
      </c>
      <c r="F244" s="4" t="s">
        <v>1173</v>
      </c>
      <c r="G244" s="4"/>
      <c r="H244" s="4"/>
      <c r="I244" s="4" t="s">
        <v>1174</v>
      </c>
      <c r="J244" s="6" t="s">
        <v>1155</v>
      </c>
      <c r="K244" s="4"/>
      <c r="L244" s="4"/>
      <c r="M244" s="4" t="s">
        <v>716</v>
      </c>
      <c r="N244" s="4"/>
      <c r="O244" s="4"/>
      <c r="P244" s="4" t="str">
        <f t="shared" si="12"/>
        <v>YES</v>
      </c>
    </row>
    <row r="245" spans="1:16" ht="13" x14ac:dyDescent="0.15">
      <c r="A245" s="4" t="s">
        <v>1160</v>
      </c>
      <c r="B245" s="3" t="str">
        <f t="shared" si="9"/>
        <v>jacob.miller@bayer.com</v>
      </c>
      <c r="C245" s="3">
        <f t="shared" si="10"/>
        <v>1</v>
      </c>
      <c r="D245" s="5">
        <v>15128395601</v>
      </c>
      <c r="E245" s="4" t="s">
        <v>1175</v>
      </c>
      <c r="F245" s="4" t="s">
        <v>712</v>
      </c>
      <c r="G245" s="4"/>
      <c r="H245" s="4"/>
      <c r="I245" s="4" t="s">
        <v>1176</v>
      </c>
      <c r="J245" s="6" t="s">
        <v>1155</v>
      </c>
      <c r="K245" s="4"/>
      <c r="L245" s="4"/>
      <c r="M245" s="4" t="s">
        <v>716</v>
      </c>
      <c r="N245" s="4"/>
      <c r="O245" s="4"/>
      <c r="P245" s="4" t="str">
        <f t="shared" si="12"/>
        <v>YES</v>
      </c>
    </row>
    <row r="246" spans="1:16" ht="13" x14ac:dyDescent="0.15">
      <c r="A246" s="4" t="s">
        <v>1160</v>
      </c>
      <c r="B246" s="3" t="str">
        <f t="shared" si="9"/>
        <v>karthik.jadala@bayer.com</v>
      </c>
      <c r="C246" s="3">
        <f t="shared" si="10"/>
        <v>1</v>
      </c>
      <c r="D246" s="5">
        <v>15141397590</v>
      </c>
      <c r="E246" s="4" t="s">
        <v>1177</v>
      </c>
      <c r="F246" s="4" t="s">
        <v>1178</v>
      </c>
      <c r="G246" s="4"/>
      <c r="H246" s="4"/>
      <c r="I246" s="4" t="s">
        <v>1179</v>
      </c>
      <c r="J246" s="6" t="s">
        <v>1155</v>
      </c>
      <c r="K246" s="4"/>
      <c r="L246" s="4"/>
      <c r="M246" s="4" t="s">
        <v>716</v>
      </c>
      <c r="N246" s="4"/>
      <c r="O246" s="4"/>
      <c r="P246" s="4" t="str">
        <f t="shared" si="12"/>
        <v>YES</v>
      </c>
    </row>
    <row r="247" spans="1:16" ht="13" x14ac:dyDescent="0.15">
      <c r="A247" s="4" t="s">
        <v>1160</v>
      </c>
      <c r="B247" s="3" t="str">
        <f t="shared" si="9"/>
        <v>john.franolich@bayer.com</v>
      </c>
      <c r="C247" s="3">
        <f t="shared" si="10"/>
        <v>1</v>
      </c>
      <c r="D247" s="5">
        <v>15121050534</v>
      </c>
      <c r="E247" s="4" t="s">
        <v>187</v>
      </c>
      <c r="F247" s="4" t="s">
        <v>1180</v>
      </c>
      <c r="G247" s="4"/>
      <c r="H247" s="4"/>
      <c r="I247" s="4" t="s">
        <v>1181</v>
      </c>
      <c r="J247" s="6" t="s">
        <v>1155</v>
      </c>
      <c r="K247" s="4"/>
      <c r="L247" s="4"/>
      <c r="M247" s="4" t="s">
        <v>716</v>
      </c>
      <c r="N247" s="4"/>
      <c r="O247" s="4"/>
      <c r="P247" s="4" t="str">
        <f t="shared" si="12"/>
        <v>YES</v>
      </c>
    </row>
    <row r="248" spans="1:16" ht="13" x14ac:dyDescent="0.15">
      <c r="A248" s="4" t="s">
        <v>1160</v>
      </c>
      <c r="B248" s="3" t="str">
        <f t="shared" si="9"/>
        <v>randall.zelenski@bayer.com</v>
      </c>
      <c r="C248" s="3">
        <f t="shared" si="10"/>
        <v>1</v>
      </c>
      <c r="D248" s="5">
        <v>15122198353</v>
      </c>
      <c r="E248" s="4" t="s">
        <v>1182</v>
      </c>
      <c r="F248" s="4" t="s">
        <v>1183</v>
      </c>
      <c r="G248" s="4"/>
      <c r="H248" s="4"/>
      <c r="I248" s="4" t="s">
        <v>1184</v>
      </c>
      <c r="J248" s="6" t="s">
        <v>1155</v>
      </c>
      <c r="K248" s="4"/>
      <c r="L248" s="4"/>
      <c r="M248" s="4" t="s">
        <v>716</v>
      </c>
      <c r="N248" s="4"/>
      <c r="O248" s="4"/>
      <c r="P248" s="4" t="str">
        <f t="shared" si="12"/>
        <v>YES</v>
      </c>
    </row>
    <row r="249" spans="1:16" ht="13" x14ac:dyDescent="0.15">
      <c r="A249" s="4" t="s">
        <v>1160</v>
      </c>
      <c r="B249" s="3" t="str">
        <f t="shared" si="9"/>
        <v>francis.anim.ext@bayer.com</v>
      </c>
      <c r="C249" s="3">
        <f t="shared" si="10"/>
        <v>1</v>
      </c>
      <c r="D249" s="5">
        <v>15128155720</v>
      </c>
      <c r="E249" s="4" t="s">
        <v>1071</v>
      </c>
      <c r="F249" s="4" t="s">
        <v>1185</v>
      </c>
      <c r="G249" s="4"/>
      <c r="H249" s="4"/>
      <c r="I249" s="4" t="s">
        <v>1186</v>
      </c>
      <c r="J249" s="6" t="s">
        <v>1155</v>
      </c>
      <c r="K249" s="4"/>
      <c r="L249" s="4"/>
      <c r="M249" s="4" t="s">
        <v>716</v>
      </c>
      <c r="N249" s="4"/>
      <c r="O249" s="4"/>
      <c r="P249" s="4" t="str">
        <f t="shared" si="12"/>
        <v>YES</v>
      </c>
    </row>
    <row r="250" spans="1:16" ht="13" x14ac:dyDescent="0.15">
      <c r="A250" s="4" t="s">
        <v>1187</v>
      </c>
      <c r="B250" s="3" t="str">
        <f t="shared" si="9"/>
        <v>Yes</v>
      </c>
      <c r="C250" s="3">
        <f t="shared" si="10"/>
        <v>446</v>
      </c>
      <c r="D250" s="5">
        <v>11514678183</v>
      </c>
      <c r="E250" s="4" t="s">
        <v>541</v>
      </c>
      <c r="F250" s="4" t="s">
        <v>1188</v>
      </c>
      <c r="G250" s="4"/>
      <c r="H250" s="4" t="s">
        <v>34</v>
      </c>
      <c r="I250" s="4" t="s">
        <v>1189</v>
      </c>
      <c r="J250" s="6" t="s">
        <v>1190</v>
      </c>
      <c r="K250" s="4"/>
      <c r="L250" s="4" t="s">
        <v>1191</v>
      </c>
      <c r="M250" s="4" t="s">
        <v>38</v>
      </c>
      <c r="N250" s="4"/>
      <c r="O250" s="4"/>
      <c r="P250" s="4" t="str">
        <f t="shared" si="12"/>
        <v>YES</v>
      </c>
    </row>
    <row r="251" spans="1:16" ht="13" x14ac:dyDescent="0.15">
      <c r="A251" s="4" t="s">
        <v>1187</v>
      </c>
      <c r="B251" s="3" t="str">
        <f t="shared" si="9"/>
        <v>Yes</v>
      </c>
      <c r="C251" s="3">
        <f t="shared" si="10"/>
        <v>446</v>
      </c>
      <c r="D251" s="5">
        <v>11513861700</v>
      </c>
      <c r="E251" s="4" t="s">
        <v>1192</v>
      </c>
      <c r="F251" s="4" t="s">
        <v>1193</v>
      </c>
      <c r="G251" s="4"/>
      <c r="H251" s="4" t="s">
        <v>34</v>
      </c>
      <c r="I251" s="4" t="s">
        <v>1194</v>
      </c>
      <c r="J251" s="6" t="s">
        <v>1190</v>
      </c>
      <c r="K251" s="4"/>
      <c r="L251" s="4" t="s">
        <v>1195</v>
      </c>
      <c r="M251" s="4" t="s">
        <v>38</v>
      </c>
      <c r="N251" s="4"/>
      <c r="O251" s="4"/>
      <c r="P251" s="4" t="str">
        <f t="shared" si="12"/>
        <v>YES</v>
      </c>
    </row>
    <row r="252" spans="1:16" ht="13" x14ac:dyDescent="0.15">
      <c r="A252" s="4" t="s">
        <v>1196</v>
      </c>
      <c r="B252" s="3" t="str">
        <f t="shared" si="9"/>
        <v>nohad@beckman.com</v>
      </c>
      <c r="C252" s="3">
        <f t="shared" si="10"/>
        <v>1</v>
      </c>
      <c r="D252" s="5">
        <v>18945845559</v>
      </c>
      <c r="E252" s="4" t="s">
        <v>1197</v>
      </c>
      <c r="F252" s="4" t="s">
        <v>1198</v>
      </c>
      <c r="G252" s="4"/>
      <c r="H252" s="4"/>
      <c r="I252" s="4" t="s">
        <v>1199</v>
      </c>
      <c r="J252" s="6" t="s">
        <v>1200</v>
      </c>
      <c r="K252" s="7">
        <v>45418.706944444442</v>
      </c>
      <c r="L252" s="4" t="s">
        <v>1201</v>
      </c>
      <c r="M252" s="4" t="s">
        <v>38</v>
      </c>
      <c r="N252" s="4"/>
      <c r="O252" s="5">
        <v>1</v>
      </c>
      <c r="P252" s="4" t="str">
        <f t="shared" si="12"/>
        <v>YES</v>
      </c>
    </row>
    <row r="253" spans="1:16" ht="13" x14ac:dyDescent="0.15">
      <c r="A253" s="4" t="s">
        <v>1202</v>
      </c>
      <c r="B253" s="3" t="str">
        <f t="shared" si="9"/>
        <v>ojonimi.ocholi@bd.com</v>
      </c>
      <c r="C253" s="3">
        <f t="shared" si="10"/>
        <v>1</v>
      </c>
      <c r="D253" s="5">
        <v>25006940680</v>
      </c>
      <c r="E253" s="4" t="s">
        <v>1203</v>
      </c>
      <c r="F253" s="4" t="s">
        <v>1204</v>
      </c>
      <c r="G253" s="4" t="s">
        <v>34</v>
      </c>
      <c r="H253" s="4"/>
      <c r="I253" s="4" t="s">
        <v>1205</v>
      </c>
      <c r="J253" s="6" t="s">
        <v>1206</v>
      </c>
      <c r="K253" s="4"/>
      <c r="L253" s="4" t="s">
        <v>1207</v>
      </c>
      <c r="M253" s="4"/>
      <c r="N253" s="4"/>
      <c r="O253" s="4"/>
      <c r="P253" s="4" t="str">
        <f t="shared" si="12"/>
        <v>YES</v>
      </c>
    </row>
    <row r="254" spans="1:16" ht="13" x14ac:dyDescent="0.15">
      <c r="A254" s="4" t="s">
        <v>1202</v>
      </c>
      <c r="B254" s="3" t="str">
        <f t="shared" si="9"/>
        <v>Yes</v>
      </c>
      <c r="C254" s="3">
        <f t="shared" si="10"/>
        <v>446</v>
      </c>
      <c r="D254" s="5">
        <v>11496431278</v>
      </c>
      <c r="E254" s="4" t="s">
        <v>1208</v>
      </c>
      <c r="F254" s="4" t="s">
        <v>1209</v>
      </c>
      <c r="G254" s="4"/>
      <c r="H254" s="4" t="s">
        <v>34</v>
      </c>
      <c r="I254" s="4" t="s">
        <v>1210</v>
      </c>
      <c r="J254" s="6" t="s">
        <v>1206</v>
      </c>
      <c r="K254" s="4"/>
      <c r="L254" s="4" t="s">
        <v>1211</v>
      </c>
      <c r="M254" s="4" t="s">
        <v>38</v>
      </c>
      <c r="N254" s="4"/>
      <c r="O254" s="4"/>
      <c r="P254" s="4" t="str">
        <f t="shared" si="12"/>
        <v>YES</v>
      </c>
    </row>
    <row r="255" spans="1:16" ht="13" x14ac:dyDescent="0.15">
      <c r="A255" s="4" t="s">
        <v>1202</v>
      </c>
      <c r="B255" s="3" t="str">
        <f t="shared" si="9"/>
        <v>Yes</v>
      </c>
      <c r="C255" s="3">
        <f t="shared" si="10"/>
        <v>446</v>
      </c>
      <c r="D255" s="5">
        <v>11514703028</v>
      </c>
      <c r="E255" s="4" t="s">
        <v>1212</v>
      </c>
      <c r="F255" s="4" t="s">
        <v>1213</v>
      </c>
      <c r="G255" s="4"/>
      <c r="H255" s="4" t="s">
        <v>34</v>
      </c>
      <c r="I255" s="4" t="s">
        <v>1214</v>
      </c>
      <c r="J255" s="6" t="s">
        <v>1206</v>
      </c>
      <c r="K255" s="4"/>
      <c r="L255" s="4" t="s">
        <v>1215</v>
      </c>
      <c r="M255" s="4" t="s">
        <v>38</v>
      </c>
      <c r="N255" s="4"/>
      <c r="O255" s="4"/>
      <c r="P255" s="4" t="str">
        <f t="shared" si="12"/>
        <v>YES</v>
      </c>
    </row>
    <row r="256" spans="1:16" ht="15" x14ac:dyDescent="0.2">
      <c r="A256" s="2" t="s">
        <v>1202</v>
      </c>
      <c r="B256" s="3" t="str">
        <f t="shared" si="9"/>
        <v>tcism@bd.com</v>
      </c>
      <c r="C256" s="3">
        <f t="shared" si="10"/>
        <v>1</v>
      </c>
      <c r="D256" s="2" t="s">
        <v>1216</v>
      </c>
      <c r="E256" s="2" t="s">
        <v>1217</v>
      </c>
      <c r="F256" s="2" t="s">
        <v>1218</v>
      </c>
      <c r="I256" s="2" t="s">
        <v>1219</v>
      </c>
      <c r="L256" s="2" t="s">
        <v>1220</v>
      </c>
      <c r="M256" s="2" t="s">
        <v>45</v>
      </c>
    </row>
    <row r="257" spans="1:13" ht="15" x14ac:dyDescent="0.2">
      <c r="A257" s="2" t="s">
        <v>1202</v>
      </c>
      <c r="B257" s="3" t="str">
        <f t="shared" si="9"/>
        <v>bbamfo@bd.com</v>
      </c>
      <c r="C257" s="3">
        <f t="shared" si="10"/>
        <v>1</v>
      </c>
      <c r="D257" s="2" t="s">
        <v>1221</v>
      </c>
      <c r="E257" s="2" t="s">
        <v>1222</v>
      </c>
      <c r="F257" s="2" t="s">
        <v>1223</v>
      </c>
      <c r="I257" s="2" t="s">
        <v>1224</v>
      </c>
      <c r="L257" s="2" t="s">
        <v>1225</v>
      </c>
      <c r="M257" s="2" t="s">
        <v>45</v>
      </c>
    </row>
    <row r="258" spans="1:13" ht="15" x14ac:dyDescent="0.2">
      <c r="A258" s="2" t="s">
        <v>1202</v>
      </c>
      <c r="B258" s="3" t="str">
        <f t="shared" ref="B258:B321" si="13">IF(H258&lt;&gt;"",H258,I258)</f>
        <v>jweatherford@bd.com</v>
      </c>
      <c r="C258" s="3">
        <f t="shared" ref="C258:C321" si="14">COUNTIF($B$2:$B$1586,B258)</f>
        <v>1</v>
      </c>
      <c r="D258" s="2" t="s">
        <v>1226</v>
      </c>
      <c r="E258" s="2" t="s">
        <v>153</v>
      </c>
      <c r="F258" s="2" t="s">
        <v>1227</v>
      </c>
      <c r="I258" s="2" t="s">
        <v>1228</v>
      </c>
      <c r="L258" s="2" t="s">
        <v>309</v>
      </c>
      <c r="M258" s="2" t="s">
        <v>45</v>
      </c>
    </row>
    <row r="259" spans="1:13" ht="15" x14ac:dyDescent="0.2">
      <c r="A259" s="2" t="s">
        <v>1202</v>
      </c>
      <c r="B259" s="3" t="str">
        <f t="shared" si="13"/>
        <v>jwolf@bd.com</v>
      </c>
      <c r="C259" s="3">
        <f t="shared" si="14"/>
        <v>1</v>
      </c>
      <c r="D259" s="2" t="s">
        <v>1229</v>
      </c>
      <c r="E259" s="2" t="s">
        <v>139</v>
      </c>
      <c r="F259" s="2" t="s">
        <v>1230</v>
      </c>
      <c r="I259" s="2" t="s">
        <v>1231</v>
      </c>
      <c r="L259" s="2" t="s">
        <v>1232</v>
      </c>
      <c r="M259" s="2" t="s">
        <v>45</v>
      </c>
    </row>
    <row r="260" spans="1:13" ht="15" x14ac:dyDescent="0.2">
      <c r="A260" s="2" t="s">
        <v>1202</v>
      </c>
      <c r="B260" s="3" t="str">
        <f t="shared" si="13"/>
        <v>sallison@bd.com</v>
      </c>
      <c r="C260" s="3">
        <f t="shared" si="14"/>
        <v>1</v>
      </c>
      <c r="D260" s="2" t="s">
        <v>1233</v>
      </c>
      <c r="E260" s="2" t="s">
        <v>1234</v>
      </c>
      <c r="F260" s="2" t="s">
        <v>417</v>
      </c>
      <c r="I260" s="2" t="s">
        <v>1235</v>
      </c>
      <c r="L260" s="2" t="s">
        <v>1236</v>
      </c>
      <c r="M260" s="2" t="s">
        <v>45</v>
      </c>
    </row>
    <row r="261" spans="1:13" ht="15" x14ac:dyDescent="0.2">
      <c r="A261" s="2" t="s">
        <v>1202</v>
      </c>
      <c r="B261" s="3" t="str">
        <f t="shared" si="13"/>
        <v>bpotter@bd.com</v>
      </c>
      <c r="C261" s="3">
        <f t="shared" si="14"/>
        <v>1</v>
      </c>
      <c r="D261" s="2" t="s">
        <v>1237</v>
      </c>
      <c r="E261" s="2" t="s">
        <v>1238</v>
      </c>
      <c r="F261" s="2" t="s">
        <v>1239</v>
      </c>
      <c r="I261" s="2" t="s">
        <v>1240</v>
      </c>
      <c r="L261" s="2" t="s">
        <v>1241</v>
      </c>
      <c r="M261" s="2" t="s">
        <v>45</v>
      </c>
    </row>
    <row r="262" spans="1:13" ht="15" x14ac:dyDescent="0.2">
      <c r="A262" s="2" t="s">
        <v>1202</v>
      </c>
      <c r="B262" s="3" t="str">
        <f t="shared" si="13"/>
        <v>tel-shabasy@bd.com</v>
      </c>
      <c r="C262" s="3">
        <f t="shared" si="14"/>
        <v>1</v>
      </c>
      <c r="D262" s="2" t="s">
        <v>1242</v>
      </c>
      <c r="E262" s="2" t="s">
        <v>1243</v>
      </c>
      <c r="F262" s="2" t="s">
        <v>1244</v>
      </c>
      <c r="I262" s="2" t="s">
        <v>1245</v>
      </c>
      <c r="L262" s="2" t="s">
        <v>1246</v>
      </c>
      <c r="M262" s="2" t="s">
        <v>1247</v>
      </c>
    </row>
    <row r="263" spans="1:13" ht="15" x14ac:dyDescent="0.2">
      <c r="A263" s="2" t="s">
        <v>1202</v>
      </c>
      <c r="B263" s="3" t="str">
        <f t="shared" si="13"/>
        <v>rjohnson@bd.com</v>
      </c>
      <c r="C263" s="3">
        <f t="shared" si="14"/>
        <v>1</v>
      </c>
      <c r="D263" s="2" t="s">
        <v>1248</v>
      </c>
      <c r="E263" s="2" t="s">
        <v>1249</v>
      </c>
      <c r="F263" s="2" t="s">
        <v>188</v>
      </c>
      <c r="I263" s="2" t="s">
        <v>1250</v>
      </c>
      <c r="L263" s="2" t="s">
        <v>1251</v>
      </c>
      <c r="M263" s="2" t="s">
        <v>45</v>
      </c>
    </row>
    <row r="264" spans="1:13" ht="15" x14ac:dyDescent="0.2">
      <c r="A264" s="2" t="s">
        <v>1202</v>
      </c>
      <c r="B264" s="3" t="str">
        <f t="shared" si="13"/>
        <v>vtran@bd.com</v>
      </c>
      <c r="C264" s="3">
        <f t="shared" si="14"/>
        <v>1</v>
      </c>
      <c r="D264" s="2" t="s">
        <v>1252</v>
      </c>
      <c r="E264" s="2" t="s">
        <v>1253</v>
      </c>
      <c r="F264" s="2" t="s">
        <v>1254</v>
      </c>
      <c r="I264" s="2" t="s">
        <v>1255</v>
      </c>
      <c r="L264" s="2" t="s">
        <v>1256</v>
      </c>
      <c r="M264" s="2" t="s">
        <v>45</v>
      </c>
    </row>
    <row r="265" spans="1:13" ht="15" x14ac:dyDescent="0.2">
      <c r="A265" s="2" t="s">
        <v>1202</v>
      </c>
      <c r="B265" s="3" t="str">
        <f t="shared" si="13"/>
        <v>eedmond@bd.com</v>
      </c>
      <c r="C265" s="3">
        <f t="shared" si="14"/>
        <v>1</v>
      </c>
      <c r="D265" s="2" t="s">
        <v>1257</v>
      </c>
      <c r="E265" s="2" t="s">
        <v>1258</v>
      </c>
      <c r="F265" s="2" t="s">
        <v>1259</v>
      </c>
      <c r="I265" s="2" t="s">
        <v>1260</v>
      </c>
      <c r="L265" s="2" t="s">
        <v>68</v>
      </c>
      <c r="M265" s="2" t="s">
        <v>45</v>
      </c>
    </row>
    <row r="266" spans="1:13" ht="15" x14ac:dyDescent="0.2">
      <c r="A266" s="2" t="s">
        <v>1202</v>
      </c>
      <c r="B266" s="3" t="str">
        <f t="shared" si="13"/>
        <v>mulrich@bd.com</v>
      </c>
      <c r="C266" s="3">
        <f t="shared" si="14"/>
        <v>1</v>
      </c>
      <c r="D266" s="2" t="s">
        <v>1261</v>
      </c>
      <c r="E266" s="2" t="s">
        <v>1262</v>
      </c>
      <c r="F266" s="2" t="s">
        <v>1263</v>
      </c>
      <c r="I266" s="2" t="s">
        <v>1264</v>
      </c>
      <c r="L266" s="2" t="s">
        <v>1265</v>
      </c>
      <c r="M266" s="2" t="s">
        <v>45</v>
      </c>
    </row>
    <row r="267" spans="1:13" ht="15" x14ac:dyDescent="0.2">
      <c r="A267" s="2" t="s">
        <v>1202</v>
      </c>
      <c r="B267" s="3" t="str">
        <f t="shared" si="13"/>
        <v>sroper@bd.com</v>
      </c>
      <c r="C267" s="3">
        <f t="shared" si="14"/>
        <v>1</v>
      </c>
      <c r="D267" s="2" t="s">
        <v>1266</v>
      </c>
      <c r="E267" s="2" t="s">
        <v>1267</v>
      </c>
      <c r="F267" s="2" t="s">
        <v>1268</v>
      </c>
      <c r="I267" s="2" t="s">
        <v>1269</v>
      </c>
      <c r="L267" s="2" t="s">
        <v>1270</v>
      </c>
      <c r="M267" s="2" t="s">
        <v>45</v>
      </c>
    </row>
    <row r="268" spans="1:13" ht="15" x14ac:dyDescent="0.2">
      <c r="A268" s="2" t="s">
        <v>1202</v>
      </c>
      <c r="B268" s="3" t="str">
        <f t="shared" si="13"/>
        <v>jhardy@bd.com</v>
      </c>
      <c r="C268" s="3">
        <f t="shared" si="14"/>
        <v>1</v>
      </c>
      <c r="D268" s="2" t="s">
        <v>1271</v>
      </c>
      <c r="E268" s="2" t="s">
        <v>264</v>
      </c>
      <c r="F268" s="2" t="s">
        <v>1272</v>
      </c>
      <c r="I268" s="2" t="s">
        <v>1273</v>
      </c>
      <c r="L268" s="2" t="s">
        <v>1274</v>
      </c>
      <c r="M268" s="2" t="s">
        <v>45</v>
      </c>
    </row>
    <row r="269" spans="1:13" ht="15" x14ac:dyDescent="0.2">
      <c r="A269" s="2" t="s">
        <v>1202</v>
      </c>
      <c r="B269" s="3" t="str">
        <f t="shared" si="13"/>
        <v>tkarakosmas@bd.com</v>
      </c>
      <c r="C269" s="3">
        <f t="shared" si="14"/>
        <v>1</v>
      </c>
      <c r="D269" s="2" t="s">
        <v>1275</v>
      </c>
      <c r="E269" s="2" t="s">
        <v>1276</v>
      </c>
      <c r="F269" s="2" t="s">
        <v>1277</v>
      </c>
      <c r="I269" s="2" t="s">
        <v>1278</v>
      </c>
      <c r="L269" s="2" t="s">
        <v>1279</v>
      </c>
      <c r="M269" s="2" t="s">
        <v>45</v>
      </c>
    </row>
    <row r="270" spans="1:13" ht="15" x14ac:dyDescent="0.2">
      <c r="A270" s="2" t="s">
        <v>1202</v>
      </c>
      <c r="B270" s="3" t="str">
        <f t="shared" si="13"/>
        <v>madison.ulrich@bd.com</v>
      </c>
      <c r="C270" s="3">
        <f t="shared" si="14"/>
        <v>1</v>
      </c>
      <c r="D270" s="2" t="s">
        <v>1280</v>
      </c>
      <c r="E270" s="2" t="s">
        <v>1262</v>
      </c>
      <c r="F270" s="2" t="s">
        <v>1263</v>
      </c>
      <c r="I270" s="2" t="s">
        <v>1281</v>
      </c>
      <c r="L270" s="2" t="s">
        <v>1265</v>
      </c>
      <c r="M270" s="2" t="s">
        <v>1247</v>
      </c>
    </row>
    <row r="271" spans="1:13" ht="15" x14ac:dyDescent="0.2">
      <c r="A271" s="2" t="s">
        <v>1202</v>
      </c>
      <c r="B271" s="3" t="str">
        <f t="shared" si="13"/>
        <v>david.mcgettrick@bd.com</v>
      </c>
      <c r="C271" s="3">
        <f t="shared" si="14"/>
        <v>1</v>
      </c>
      <c r="D271" s="2" t="s">
        <v>1282</v>
      </c>
      <c r="E271" s="2" t="s">
        <v>119</v>
      </c>
      <c r="F271" s="2" t="s">
        <v>1283</v>
      </c>
      <c r="I271" s="2" t="s">
        <v>1284</v>
      </c>
      <c r="L271" s="2" t="s">
        <v>1285</v>
      </c>
      <c r="M271" s="2" t="s">
        <v>1247</v>
      </c>
    </row>
    <row r="272" spans="1:13" ht="15" x14ac:dyDescent="0.2">
      <c r="A272" s="2" t="s">
        <v>1202</v>
      </c>
      <c r="B272" s="3" t="str">
        <f t="shared" si="13"/>
        <v>mark.ruiz@bd.com</v>
      </c>
      <c r="C272" s="3">
        <f t="shared" si="14"/>
        <v>1</v>
      </c>
      <c r="D272" s="2" t="s">
        <v>1286</v>
      </c>
      <c r="E272" s="2" t="s">
        <v>192</v>
      </c>
      <c r="F272" s="2" t="s">
        <v>1287</v>
      </c>
      <c r="I272" s="2" t="s">
        <v>1288</v>
      </c>
      <c r="L272" s="2" t="s">
        <v>1289</v>
      </c>
      <c r="M272" s="2" t="s">
        <v>45</v>
      </c>
    </row>
    <row r="273" spans="1:16" ht="13" x14ac:dyDescent="0.15">
      <c r="A273" s="4" t="s">
        <v>1290</v>
      </c>
      <c r="B273" s="3" t="str">
        <f t="shared" si="13"/>
        <v>Yes</v>
      </c>
      <c r="C273" s="3">
        <f t="shared" si="14"/>
        <v>446</v>
      </c>
      <c r="D273" s="5">
        <v>11514195207</v>
      </c>
      <c r="E273" s="4" t="s">
        <v>1291</v>
      </c>
      <c r="F273" s="4" t="s">
        <v>1292</v>
      </c>
      <c r="G273" s="4"/>
      <c r="H273" s="4" t="s">
        <v>34</v>
      </c>
      <c r="I273" s="4" t="s">
        <v>1293</v>
      </c>
      <c r="J273" s="6" t="s">
        <v>1294</v>
      </c>
      <c r="K273" s="4"/>
      <c r="L273" s="4" t="s">
        <v>1295</v>
      </c>
      <c r="M273" s="4" t="s">
        <v>38</v>
      </c>
      <c r="N273" s="4"/>
      <c r="O273" s="4"/>
      <c r="P273" s="4" t="str">
        <f t="shared" ref="P273:P280" si="15">IF(OR(M273="Customer", M273="Opportunity", H273="Yes", H273=TRUE, G273="Yes", G273=TRUE, O273&gt;0), "YES", "NO")</f>
        <v>YES</v>
      </c>
    </row>
    <row r="274" spans="1:16" ht="13" x14ac:dyDescent="0.15">
      <c r="A274" s="4" t="s">
        <v>1296</v>
      </c>
      <c r="B274" s="3" t="str">
        <f t="shared" si="13"/>
        <v>Yes</v>
      </c>
      <c r="C274" s="3">
        <f t="shared" si="14"/>
        <v>446</v>
      </c>
      <c r="D274" s="5">
        <v>11514510410</v>
      </c>
      <c r="E274" s="4" t="s">
        <v>1297</v>
      </c>
      <c r="F274" s="4" t="s">
        <v>1298</v>
      </c>
      <c r="G274" s="4"/>
      <c r="H274" s="4" t="s">
        <v>34</v>
      </c>
      <c r="I274" s="4" t="s">
        <v>1299</v>
      </c>
      <c r="J274" s="6" t="s">
        <v>1300</v>
      </c>
      <c r="K274" s="4"/>
      <c r="L274" s="4" t="s">
        <v>1301</v>
      </c>
      <c r="M274" s="4" t="s">
        <v>38</v>
      </c>
      <c r="N274" s="4"/>
      <c r="O274" s="4"/>
      <c r="P274" s="4" t="str">
        <f t="shared" si="15"/>
        <v>YES</v>
      </c>
    </row>
    <row r="275" spans="1:16" ht="13" x14ac:dyDescent="0.15">
      <c r="A275" s="4" t="s">
        <v>1302</v>
      </c>
      <c r="B275" s="3" t="str">
        <f t="shared" si="13"/>
        <v>Yes</v>
      </c>
      <c r="C275" s="3">
        <f t="shared" si="14"/>
        <v>446</v>
      </c>
      <c r="D275" s="5">
        <v>11514661948</v>
      </c>
      <c r="E275" s="4" t="s">
        <v>1303</v>
      </c>
      <c r="F275" s="4" t="s">
        <v>1304</v>
      </c>
      <c r="G275" s="4"/>
      <c r="H275" s="4" t="s">
        <v>34</v>
      </c>
      <c r="I275" s="4" t="s">
        <v>1305</v>
      </c>
      <c r="J275" s="6" t="s">
        <v>1306</v>
      </c>
      <c r="K275" s="4"/>
      <c r="L275" s="4" t="s">
        <v>777</v>
      </c>
      <c r="M275" s="4" t="s">
        <v>38</v>
      </c>
      <c r="N275" s="4"/>
      <c r="O275" s="4"/>
      <c r="P275" s="4" t="str">
        <f t="shared" si="15"/>
        <v>YES</v>
      </c>
    </row>
    <row r="276" spans="1:16" ht="13" x14ac:dyDescent="0.15">
      <c r="A276" s="4" t="s">
        <v>1307</v>
      </c>
      <c r="B276" s="3" t="str">
        <f t="shared" si="13"/>
        <v>Yes</v>
      </c>
      <c r="C276" s="3">
        <f t="shared" si="14"/>
        <v>446</v>
      </c>
      <c r="D276" s="5">
        <v>1207</v>
      </c>
      <c r="E276" s="4" t="s">
        <v>1217</v>
      </c>
      <c r="F276" s="4" t="s">
        <v>1308</v>
      </c>
      <c r="G276" s="4"/>
      <c r="H276" s="4" t="s">
        <v>34</v>
      </c>
      <c r="I276" s="4" t="s">
        <v>1309</v>
      </c>
      <c r="J276" s="6" t="s">
        <v>1310</v>
      </c>
      <c r="K276" s="4"/>
      <c r="L276" s="4" t="s">
        <v>657</v>
      </c>
      <c r="M276" s="4" t="s">
        <v>30</v>
      </c>
      <c r="N276" s="4"/>
      <c r="O276" s="4"/>
      <c r="P276" s="4" t="str">
        <f t="shared" si="15"/>
        <v>YES</v>
      </c>
    </row>
    <row r="277" spans="1:16" ht="13" x14ac:dyDescent="0.15">
      <c r="A277" s="4" t="s">
        <v>1311</v>
      </c>
      <c r="B277" s="3" t="str">
        <f t="shared" si="13"/>
        <v>Yes</v>
      </c>
      <c r="C277" s="3">
        <f t="shared" si="14"/>
        <v>446</v>
      </c>
      <c r="D277" s="5">
        <v>11512927903</v>
      </c>
      <c r="E277" s="4" t="s">
        <v>1312</v>
      </c>
      <c r="F277" s="4" t="s">
        <v>1313</v>
      </c>
      <c r="G277" s="4"/>
      <c r="H277" s="4" t="s">
        <v>34</v>
      </c>
      <c r="I277" s="4" t="s">
        <v>1314</v>
      </c>
      <c r="J277" s="6" t="s">
        <v>1315</v>
      </c>
      <c r="K277" s="4"/>
      <c r="L277" s="4" t="s">
        <v>840</v>
      </c>
      <c r="M277" s="4" t="s">
        <v>38</v>
      </c>
      <c r="N277" s="4"/>
      <c r="O277" s="4"/>
      <c r="P277" s="4" t="str">
        <f t="shared" si="15"/>
        <v>YES</v>
      </c>
    </row>
    <row r="278" spans="1:16" ht="13" x14ac:dyDescent="0.15">
      <c r="A278" s="4" t="s">
        <v>1316</v>
      </c>
      <c r="B278" s="3" t="str">
        <f t="shared" si="13"/>
        <v>Yes</v>
      </c>
      <c r="C278" s="3">
        <f t="shared" si="14"/>
        <v>446</v>
      </c>
      <c r="D278" s="5">
        <v>1651</v>
      </c>
      <c r="E278" s="4" t="s">
        <v>1317</v>
      </c>
      <c r="F278" s="4" t="s">
        <v>1318</v>
      </c>
      <c r="G278" s="4"/>
      <c r="H278" s="4" t="s">
        <v>34</v>
      </c>
      <c r="I278" s="4" t="s">
        <v>1319</v>
      </c>
      <c r="J278" s="4" t="s">
        <v>1320</v>
      </c>
      <c r="K278" s="4"/>
      <c r="L278" s="4" t="s">
        <v>984</v>
      </c>
      <c r="M278" s="4" t="s">
        <v>38</v>
      </c>
      <c r="N278" s="4"/>
      <c r="O278" s="4"/>
      <c r="P278" s="4" t="str">
        <f t="shared" si="15"/>
        <v>YES</v>
      </c>
    </row>
    <row r="279" spans="1:16" ht="13" x14ac:dyDescent="0.15">
      <c r="A279" s="4" t="s">
        <v>1321</v>
      </c>
      <c r="B279" s="3" t="str">
        <f t="shared" si="13"/>
        <v>Yes</v>
      </c>
      <c r="C279" s="3">
        <f t="shared" si="14"/>
        <v>446</v>
      </c>
      <c r="D279" s="5">
        <v>11511443257</v>
      </c>
      <c r="E279" s="4" t="s">
        <v>1322</v>
      </c>
      <c r="F279" s="4" t="s">
        <v>1323</v>
      </c>
      <c r="G279" s="4"/>
      <c r="H279" s="4" t="s">
        <v>34</v>
      </c>
      <c r="I279" s="4" t="s">
        <v>1324</v>
      </c>
      <c r="J279" s="6" t="s">
        <v>1325</v>
      </c>
      <c r="K279" s="4"/>
      <c r="L279" s="4" t="s">
        <v>1326</v>
      </c>
      <c r="M279" s="4" t="s">
        <v>38</v>
      </c>
      <c r="N279" s="4"/>
      <c r="O279" s="4"/>
      <c r="P279" s="4" t="str">
        <f t="shared" si="15"/>
        <v>YES</v>
      </c>
    </row>
    <row r="280" spans="1:16" ht="13" x14ac:dyDescent="0.15">
      <c r="A280" s="4" t="s">
        <v>1327</v>
      </c>
      <c r="B280" s="3" t="str">
        <f t="shared" si="13"/>
        <v>Yes</v>
      </c>
      <c r="C280" s="3">
        <f t="shared" si="14"/>
        <v>446</v>
      </c>
      <c r="D280" s="5">
        <v>1505</v>
      </c>
      <c r="E280" s="4" t="s">
        <v>1328</v>
      </c>
      <c r="F280" s="4" t="s">
        <v>1329</v>
      </c>
      <c r="G280" s="4"/>
      <c r="H280" s="4" t="s">
        <v>34</v>
      </c>
      <c r="I280" s="4" t="s">
        <v>1330</v>
      </c>
      <c r="J280" s="6" t="s">
        <v>1331</v>
      </c>
      <c r="K280" s="4"/>
      <c r="L280" s="4" t="s">
        <v>1332</v>
      </c>
      <c r="M280" s="4" t="s">
        <v>38</v>
      </c>
      <c r="N280" s="4"/>
      <c r="O280" s="4"/>
      <c r="P280" s="4" t="str">
        <f t="shared" si="15"/>
        <v>YES</v>
      </c>
    </row>
    <row r="281" spans="1:16" ht="15" x14ac:dyDescent="0.2">
      <c r="A281" s="2" t="s">
        <v>1333</v>
      </c>
      <c r="B281" s="3" t="str">
        <f t="shared" si="13"/>
        <v>paul.himle@biomerieux.com</v>
      </c>
      <c r="C281" s="3">
        <f t="shared" si="14"/>
        <v>1</v>
      </c>
      <c r="D281" s="2" t="s">
        <v>1334</v>
      </c>
      <c r="E281" s="2" t="s">
        <v>526</v>
      </c>
      <c r="F281" s="2" t="s">
        <v>1335</v>
      </c>
      <c r="I281" s="2" t="s">
        <v>1336</v>
      </c>
      <c r="L281" s="2" t="s">
        <v>1337</v>
      </c>
      <c r="M281" s="2" t="s">
        <v>45</v>
      </c>
    </row>
    <row r="282" spans="1:16" ht="15" x14ac:dyDescent="0.2">
      <c r="A282" s="2" t="s">
        <v>1338</v>
      </c>
      <c r="B282" s="3" t="str">
        <f t="shared" si="13"/>
        <v>johnny.stewart@bracco.com</v>
      </c>
      <c r="C282" s="3">
        <f t="shared" si="14"/>
        <v>2</v>
      </c>
      <c r="D282" s="2" t="s">
        <v>1339</v>
      </c>
      <c r="E282" s="2" t="s">
        <v>1340</v>
      </c>
      <c r="F282" s="2" t="s">
        <v>1341</v>
      </c>
      <c r="I282" s="2" t="s">
        <v>1342</v>
      </c>
      <c r="L282" s="2" t="s">
        <v>1343</v>
      </c>
      <c r="M282" s="2" t="s">
        <v>463</v>
      </c>
    </row>
    <row r="283" spans="1:16" ht="15" x14ac:dyDescent="0.2">
      <c r="A283" s="2" t="s">
        <v>1338</v>
      </c>
      <c r="B283" s="3" t="str">
        <f t="shared" si="13"/>
        <v>nick.gilbertson@bracco.com</v>
      </c>
      <c r="C283" s="3">
        <f t="shared" si="14"/>
        <v>1</v>
      </c>
      <c r="D283" s="2" t="s">
        <v>1344</v>
      </c>
      <c r="E283" s="2" t="s">
        <v>1345</v>
      </c>
      <c r="F283" s="2" t="s">
        <v>1346</v>
      </c>
      <c r="I283" s="2" t="s">
        <v>1347</v>
      </c>
      <c r="L283" s="2" t="s">
        <v>1348</v>
      </c>
      <c r="M283" s="2" t="s">
        <v>45</v>
      </c>
    </row>
    <row r="284" spans="1:16" ht="15" x14ac:dyDescent="0.2">
      <c r="A284" s="2" t="s">
        <v>1338</v>
      </c>
      <c r="B284" s="3" t="str">
        <f t="shared" si="13"/>
        <v>abdoulkader.dirieh@bracco.com</v>
      </c>
      <c r="C284" s="3">
        <f t="shared" si="14"/>
        <v>1</v>
      </c>
      <c r="D284" s="2" t="s">
        <v>1349</v>
      </c>
      <c r="E284" s="2" t="s">
        <v>1350</v>
      </c>
      <c r="F284" s="2" t="s">
        <v>1351</v>
      </c>
      <c r="I284" s="2" t="s">
        <v>1352</v>
      </c>
      <c r="L284" s="2" t="s">
        <v>1353</v>
      </c>
      <c r="M284" s="2" t="s">
        <v>45</v>
      </c>
    </row>
    <row r="285" spans="1:16" ht="15" x14ac:dyDescent="0.2">
      <c r="A285" s="2" t="s">
        <v>1338</v>
      </c>
      <c r="B285" s="3" t="str">
        <f t="shared" si="13"/>
        <v>inhel.rekik@bracco.com</v>
      </c>
      <c r="C285" s="3">
        <f t="shared" si="14"/>
        <v>2</v>
      </c>
      <c r="D285" s="2" t="s">
        <v>1354</v>
      </c>
      <c r="E285" s="2" t="s">
        <v>1355</v>
      </c>
      <c r="F285" s="2" t="s">
        <v>1356</v>
      </c>
      <c r="I285" s="2" t="s">
        <v>1357</v>
      </c>
      <c r="L285" s="2" t="s">
        <v>1358</v>
      </c>
      <c r="M285" s="2" t="s">
        <v>45</v>
      </c>
    </row>
    <row r="286" spans="1:16" ht="13" x14ac:dyDescent="0.15">
      <c r="A286" s="4" t="s">
        <v>1359</v>
      </c>
      <c r="B286" s="3" t="str">
        <f t="shared" si="13"/>
        <v>inhel.rekik@bracco.com</v>
      </c>
      <c r="C286" s="3">
        <f t="shared" si="14"/>
        <v>2</v>
      </c>
      <c r="D286" s="5">
        <v>25011307181</v>
      </c>
      <c r="E286" s="4" t="s">
        <v>1355</v>
      </c>
      <c r="F286" s="4" t="s">
        <v>1356</v>
      </c>
      <c r="G286" s="4" t="s">
        <v>34</v>
      </c>
      <c r="H286" s="4"/>
      <c r="I286" s="4" t="s">
        <v>1357</v>
      </c>
      <c r="J286" s="6" t="s">
        <v>1360</v>
      </c>
      <c r="K286" s="4"/>
      <c r="L286" s="4" t="s">
        <v>1358</v>
      </c>
      <c r="M286" s="4"/>
      <c r="N286" s="4"/>
      <c r="O286" s="4"/>
      <c r="P286" s="4" t="str">
        <f t="shared" ref="P286:P297" si="16">IF(OR(M286="Customer", M286="Opportunity", H286="Yes", H286=TRUE, G286="Yes", G286=TRUE, O286&gt;0), "YES", "NO")</f>
        <v>YES</v>
      </c>
    </row>
    <row r="287" spans="1:16" ht="13" x14ac:dyDescent="0.15">
      <c r="A287" s="4" t="s">
        <v>1361</v>
      </c>
      <c r="B287" s="3" t="str">
        <f t="shared" si="13"/>
        <v>johnny.stewart@bracco.com</v>
      </c>
      <c r="C287" s="3">
        <f t="shared" si="14"/>
        <v>2</v>
      </c>
      <c r="D287" s="5">
        <v>25006940681</v>
      </c>
      <c r="E287" s="4" t="s">
        <v>1340</v>
      </c>
      <c r="F287" s="4" t="s">
        <v>1341</v>
      </c>
      <c r="G287" s="4" t="s">
        <v>34</v>
      </c>
      <c r="H287" s="4"/>
      <c r="I287" s="4" t="s">
        <v>1342</v>
      </c>
      <c r="J287" s="6" t="s">
        <v>1360</v>
      </c>
      <c r="K287" s="4"/>
      <c r="L287" s="4" t="s">
        <v>912</v>
      </c>
      <c r="M287" s="4"/>
      <c r="N287" s="4"/>
      <c r="O287" s="4"/>
      <c r="P287" s="4" t="str">
        <f t="shared" si="16"/>
        <v>YES</v>
      </c>
    </row>
    <row r="288" spans="1:16" ht="13" x14ac:dyDescent="0.15">
      <c r="A288" s="4" t="s">
        <v>1362</v>
      </c>
      <c r="B288" s="3" t="str">
        <f t="shared" si="13"/>
        <v>Yes</v>
      </c>
      <c r="C288" s="3">
        <f t="shared" si="14"/>
        <v>446</v>
      </c>
      <c r="D288" s="5">
        <v>11515733259</v>
      </c>
      <c r="E288" s="4" t="s">
        <v>1363</v>
      </c>
      <c r="F288" s="4" t="s">
        <v>1364</v>
      </c>
      <c r="G288" s="4"/>
      <c r="H288" s="4" t="s">
        <v>34</v>
      </c>
      <c r="I288" s="4" t="s">
        <v>1365</v>
      </c>
      <c r="J288" s="6" t="s">
        <v>1366</v>
      </c>
      <c r="K288" s="4"/>
      <c r="L288" s="4" t="s">
        <v>1367</v>
      </c>
      <c r="M288" s="4" t="s">
        <v>38</v>
      </c>
      <c r="N288" s="4"/>
      <c r="O288" s="4"/>
      <c r="P288" s="4" t="str">
        <f t="shared" si="16"/>
        <v>YES</v>
      </c>
    </row>
    <row r="289" spans="1:16" ht="13" x14ac:dyDescent="0.15">
      <c r="A289" s="4" t="s">
        <v>1368</v>
      </c>
      <c r="B289" s="3" t="str">
        <f t="shared" si="13"/>
        <v>Yes</v>
      </c>
      <c r="C289" s="3">
        <f t="shared" si="14"/>
        <v>446</v>
      </c>
      <c r="D289" s="5">
        <v>205</v>
      </c>
      <c r="E289" s="4" t="s">
        <v>1369</v>
      </c>
      <c r="F289" s="4" t="s">
        <v>1370</v>
      </c>
      <c r="G289" s="4"/>
      <c r="H289" s="4" t="s">
        <v>34</v>
      </c>
      <c r="I289" s="4" t="s">
        <v>1371</v>
      </c>
      <c r="J289" s="6" t="s">
        <v>1372</v>
      </c>
      <c r="K289" s="4"/>
      <c r="L289" s="4" t="s">
        <v>1373</v>
      </c>
      <c r="M289" s="4" t="s">
        <v>38</v>
      </c>
      <c r="N289" s="4"/>
      <c r="O289" s="4"/>
      <c r="P289" s="4" t="str">
        <f t="shared" si="16"/>
        <v>YES</v>
      </c>
    </row>
    <row r="290" spans="1:16" ht="13" x14ac:dyDescent="0.15">
      <c r="A290" s="4" t="s">
        <v>1374</v>
      </c>
      <c r="B290" s="3" t="str">
        <f t="shared" si="13"/>
        <v>michael.hewitson@bms.com</v>
      </c>
      <c r="C290" s="3">
        <f t="shared" si="14"/>
        <v>1</v>
      </c>
      <c r="D290" s="5">
        <v>25012046660</v>
      </c>
      <c r="E290" s="4" t="s">
        <v>59</v>
      </c>
      <c r="F290" s="4" t="s">
        <v>1375</v>
      </c>
      <c r="G290" s="4" t="s">
        <v>34</v>
      </c>
      <c r="H290" s="4"/>
      <c r="I290" s="4" t="s">
        <v>1376</v>
      </c>
      <c r="J290" s="6" t="s">
        <v>1377</v>
      </c>
      <c r="K290" s="4"/>
      <c r="L290" s="4" t="s">
        <v>1378</v>
      </c>
      <c r="M290" s="4"/>
      <c r="N290" s="4"/>
      <c r="O290" s="4"/>
      <c r="P290" s="4" t="str">
        <f t="shared" si="16"/>
        <v>YES</v>
      </c>
    </row>
    <row r="291" spans="1:16" ht="13" x14ac:dyDescent="0.15">
      <c r="A291" s="4" t="s">
        <v>1374</v>
      </c>
      <c r="B291" s="3" t="str">
        <f t="shared" si="13"/>
        <v>alim.macauley@bms.com</v>
      </c>
      <c r="C291" s="3">
        <f t="shared" si="14"/>
        <v>1</v>
      </c>
      <c r="D291" s="5">
        <v>25010860413</v>
      </c>
      <c r="E291" s="4" t="s">
        <v>1379</v>
      </c>
      <c r="F291" s="4" t="s">
        <v>1380</v>
      </c>
      <c r="G291" s="4" t="s">
        <v>34</v>
      </c>
      <c r="H291" s="4"/>
      <c r="I291" s="4" t="s">
        <v>1381</v>
      </c>
      <c r="J291" s="6" t="s">
        <v>1377</v>
      </c>
      <c r="K291" s="4"/>
      <c r="L291" s="4" t="s">
        <v>1382</v>
      </c>
      <c r="M291" s="4"/>
      <c r="N291" s="4"/>
      <c r="O291" s="4"/>
      <c r="P291" s="4" t="str">
        <f t="shared" si="16"/>
        <v>YES</v>
      </c>
    </row>
    <row r="292" spans="1:16" ht="13" x14ac:dyDescent="0.15">
      <c r="A292" s="4" t="s">
        <v>1383</v>
      </c>
      <c r="B292" s="3" t="str">
        <f t="shared" si="13"/>
        <v>Yes</v>
      </c>
      <c r="C292" s="3">
        <f t="shared" si="14"/>
        <v>446</v>
      </c>
      <c r="D292" s="5">
        <v>11496431275</v>
      </c>
      <c r="E292" s="4" t="s">
        <v>1384</v>
      </c>
      <c r="F292" s="4" t="s">
        <v>1385</v>
      </c>
      <c r="G292" s="4"/>
      <c r="H292" s="4" t="s">
        <v>34</v>
      </c>
      <c r="I292" s="4" t="s">
        <v>1386</v>
      </c>
      <c r="J292" s="4" t="s">
        <v>1387</v>
      </c>
      <c r="K292" s="4"/>
      <c r="L292" s="4" t="s">
        <v>1388</v>
      </c>
      <c r="M292" s="4" t="s">
        <v>38</v>
      </c>
      <c r="N292" s="4"/>
      <c r="O292" s="4"/>
      <c r="P292" s="4" t="str">
        <f t="shared" si="16"/>
        <v>YES</v>
      </c>
    </row>
    <row r="293" spans="1:16" ht="13" x14ac:dyDescent="0.15">
      <c r="A293" s="4" t="s">
        <v>1389</v>
      </c>
      <c r="B293" s="3" t="str">
        <f t="shared" si="13"/>
        <v>Yes</v>
      </c>
      <c r="C293" s="3">
        <f t="shared" si="14"/>
        <v>446</v>
      </c>
      <c r="D293" s="5">
        <v>11512997226</v>
      </c>
      <c r="E293" s="4" t="s">
        <v>1390</v>
      </c>
      <c r="F293" s="4" t="s">
        <v>1391</v>
      </c>
      <c r="G293" s="4"/>
      <c r="H293" s="4" t="s">
        <v>34</v>
      </c>
      <c r="I293" s="4" t="s">
        <v>1392</v>
      </c>
      <c r="J293" s="6" t="s">
        <v>1393</v>
      </c>
      <c r="K293" s="4"/>
      <c r="L293" s="4" t="s">
        <v>1394</v>
      </c>
      <c r="M293" s="4" t="s">
        <v>38</v>
      </c>
      <c r="N293" s="4"/>
      <c r="O293" s="4"/>
      <c r="P293" s="4" t="str">
        <f t="shared" si="16"/>
        <v>YES</v>
      </c>
    </row>
    <row r="294" spans="1:16" ht="13" x14ac:dyDescent="0.15">
      <c r="A294" s="4" t="s">
        <v>1389</v>
      </c>
      <c r="B294" s="3" t="str">
        <f t="shared" si="13"/>
        <v>Yes</v>
      </c>
      <c r="C294" s="3">
        <f t="shared" si="14"/>
        <v>446</v>
      </c>
      <c r="D294" s="5">
        <v>11515173282</v>
      </c>
      <c r="E294" s="4" t="s">
        <v>1395</v>
      </c>
      <c r="F294" s="4" t="s">
        <v>1396</v>
      </c>
      <c r="G294" s="4"/>
      <c r="H294" s="4" t="s">
        <v>34</v>
      </c>
      <c r="I294" s="4" t="s">
        <v>1397</v>
      </c>
      <c r="J294" s="6" t="s">
        <v>1393</v>
      </c>
      <c r="K294" s="4"/>
      <c r="L294" s="4" t="s">
        <v>1398</v>
      </c>
      <c r="M294" s="4" t="s">
        <v>38</v>
      </c>
      <c r="N294" s="4"/>
      <c r="O294" s="4"/>
      <c r="P294" s="4" t="str">
        <f t="shared" si="16"/>
        <v>YES</v>
      </c>
    </row>
    <row r="295" spans="1:16" ht="13" x14ac:dyDescent="0.15">
      <c r="A295" s="4" t="s">
        <v>1389</v>
      </c>
      <c r="B295" s="3" t="str">
        <f t="shared" si="13"/>
        <v>Yes</v>
      </c>
      <c r="C295" s="3">
        <f t="shared" si="14"/>
        <v>446</v>
      </c>
      <c r="D295" s="5">
        <v>5401</v>
      </c>
      <c r="E295" s="4" t="s">
        <v>1399</v>
      </c>
      <c r="F295" s="4" t="s">
        <v>1400</v>
      </c>
      <c r="G295" s="4"/>
      <c r="H295" s="4" t="s">
        <v>34</v>
      </c>
      <c r="I295" s="4" t="s">
        <v>1401</v>
      </c>
      <c r="J295" s="6" t="s">
        <v>1393</v>
      </c>
      <c r="K295" s="4"/>
      <c r="L295" s="4" t="s">
        <v>1402</v>
      </c>
      <c r="M295" s="4" t="s">
        <v>38</v>
      </c>
      <c r="N295" s="4"/>
      <c r="O295" s="4"/>
      <c r="P295" s="4" t="str">
        <f t="shared" si="16"/>
        <v>YES</v>
      </c>
    </row>
    <row r="296" spans="1:16" ht="13" x14ac:dyDescent="0.15">
      <c r="A296" s="4" t="s">
        <v>1403</v>
      </c>
      <c r="B296" s="3" t="str">
        <f t="shared" si="13"/>
        <v>Yes</v>
      </c>
      <c r="C296" s="3">
        <f t="shared" si="14"/>
        <v>446</v>
      </c>
      <c r="D296" s="5">
        <v>11511250013</v>
      </c>
      <c r="E296" s="4" t="s">
        <v>1404</v>
      </c>
      <c r="F296" s="4" t="s">
        <v>1405</v>
      </c>
      <c r="G296" s="4"/>
      <c r="H296" s="4" t="s">
        <v>34</v>
      </c>
      <c r="I296" s="4" t="s">
        <v>1406</v>
      </c>
      <c r="J296" s="6" t="s">
        <v>1393</v>
      </c>
      <c r="K296" s="4"/>
      <c r="L296" s="4" t="s">
        <v>1407</v>
      </c>
      <c r="M296" s="4" t="s">
        <v>38</v>
      </c>
      <c r="N296" s="4"/>
      <c r="O296" s="4"/>
      <c r="P296" s="4" t="str">
        <f t="shared" si="16"/>
        <v>YES</v>
      </c>
    </row>
    <row r="297" spans="1:16" ht="13" x14ac:dyDescent="0.15">
      <c r="A297" s="4" t="s">
        <v>1408</v>
      </c>
      <c r="B297" s="3" t="str">
        <f t="shared" si="13"/>
        <v>Yes</v>
      </c>
      <c r="C297" s="3">
        <f t="shared" si="14"/>
        <v>446</v>
      </c>
      <c r="D297" s="5">
        <v>11510870833</v>
      </c>
      <c r="E297" s="4" t="s">
        <v>1409</v>
      </c>
      <c r="F297" s="4" t="s">
        <v>1410</v>
      </c>
      <c r="G297" s="4"/>
      <c r="H297" s="4" t="s">
        <v>34</v>
      </c>
      <c r="I297" s="4" t="s">
        <v>1411</v>
      </c>
      <c r="J297" s="6" t="s">
        <v>1412</v>
      </c>
      <c r="K297" s="4"/>
      <c r="L297" s="4" t="s">
        <v>1413</v>
      </c>
      <c r="M297" s="4" t="s">
        <v>38</v>
      </c>
      <c r="N297" s="4"/>
      <c r="O297" s="4"/>
      <c r="P297" s="4" t="str">
        <f t="shared" si="16"/>
        <v>YES</v>
      </c>
    </row>
    <row r="298" spans="1:16" ht="15" x14ac:dyDescent="0.2">
      <c r="A298" s="2" t="s">
        <v>1414</v>
      </c>
      <c r="B298" s="3" t="str">
        <f t="shared" si="13"/>
        <v>abenson@cadiahealthcare.com</v>
      </c>
      <c r="C298" s="3">
        <f t="shared" si="14"/>
        <v>1</v>
      </c>
      <c r="D298" s="2" t="s">
        <v>1415</v>
      </c>
      <c r="E298" s="2" t="s">
        <v>1416</v>
      </c>
      <c r="F298" s="2" t="s">
        <v>1417</v>
      </c>
      <c r="I298" s="2" t="s">
        <v>1418</v>
      </c>
      <c r="L298" s="2" t="s">
        <v>132</v>
      </c>
      <c r="M298" s="2" t="s">
        <v>22</v>
      </c>
    </row>
    <row r="299" spans="1:16" ht="13" x14ac:dyDescent="0.15">
      <c r="A299" s="4" t="s">
        <v>1419</v>
      </c>
      <c r="B299" s="3" t="str">
        <f t="shared" si="13"/>
        <v>michael.smith@cambiahealth.com</v>
      </c>
      <c r="C299" s="3">
        <f t="shared" si="14"/>
        <v>1</v>
      </c>
      <c r="D299" s="5">
        <v>25013908515</v>
      </c>
      <c r="E299" s="4" t="s">
        <v>59</v>
      </c>
      <c r="F299" s="4" t="s">
        <v>1420</v>
      </c>
      <c r="G299" s="4" t="s">
        <v>34</v>
      </c>
      <c r="H299" s="4"/>
      <c r="I299" s="4" t="s">
        <v>1421</v>
      </c>
      <c r="J299" s="6" t="s">
        <v>1422</v>
      </c>
      <c r="K299" s="4"/>
      <c r="L299" s="4" t="s">
        <v>1423</v>
      </c>
      <c r="M299" s="4"/>
      <c r="N299" s="4"/>
      <c r="O299" s="4"/>
      <c r="P299" s="4" t="str">
        <f>IF(OR(M299="Customer", M299="Opportunity", H299="Yes", H299=TRUE, G299="Yes", G299=TRUE, O299&gt;0), "YES", "NO")</f>
        <v>YES</v>
      </c>
    </row>
    <row r="300" spans="1:16" ht="13" x14ac:dyDescent="0.15">
      <c r="A300" s="4" t="s">
        <v>1424</v>
      </c>
      <c r="B300" s="3" t="str">
        <f t="shared" si="13"/>
        <v>Yes</v>
      </c>
      <c r="C300" s="3">
        <f t="shared" si="14"/>
        <v>446</v>
      </c>
      <c r="D300" s="5">
        <v>11510924340</v>
      </c>
      <c r="E300" s="4" t="s">
        <v>1425</v>
      </c>
      <c r="F300" s="4" t="s">
        <v>1426</v>
      </c>
      <c r="G300" s="4"/>
      <c r="H300" s="4" t="s">
        <v>34</v>
      </c>
      <c r="I300" s="4" t="s">
        <v>1427</v>
      </c>
      <c r="J300" s="6" t="s">
        <v>1428</v>
      </c>
      <c r="K300" s="4"/>
      <c r="L300" s="4" t="s">
        <v>1429</v>
      </c>
      <c r="M300" s="4" t="s">
        <v>38</v>
      </c>
      <c r="N300" s="4"/>
      <c r="O300" s="4"/>
      <c r="P300" s="4" t="str">
        <f>IF(OR(M300="Customer", M300="Opportunity", H300="Yes", H300=TRUE, G300="Yes", G300=TRUE, O300&gt;0), "YES", "NO")</f>
        <v>YES</v>
      </c>
    </row>
    <row r="301" spans="1:16" ht="13" x14ac:dyDescent="0.15">
      <c r="A301" s="4" t="s">
        <v>1430</v>
      </c>
      <c r="B301" s="3" t="str">
        <f t="shared" si="13"/>
        <v>Yes</v>
      </c>
      <c r="C301" s="3">
        <f t="shared" si="14"/>
        <v>446</v>
      </c>
      <c r="D301" s="5">
        <v>11514018561</v>
      </c>
      <c r="E301" s="4" t="s">
        <v>1431</v>
      </c>
      <c r="F301" s="4" t="s">
        <v>1432</v>
      </c>
      <c r="G301" s="4"/>
      <c r="H301" s="4" t="s">
        <v>34</v>
      </c>
      <c r="I301" s="4" t="s">
        <v>1433</v>
      </c>
      <c r="J301" s="6" t="s">
        <v>1434</v>
      </c>
      <c r="K301" s="4"/>
      <c r="L301" s="4" t="s">
        <v>1435</v>
      </c>
      <c r="M301" s="4" t="s">
        <v>38</v>
      </c>
      <c r="N301" s="4"/>
      <c r="O301" s="4"/>
      <c r="P301" s="4" t="str">
        <f>IF(OR(M301="Customer", M301="Opportunity", H301="Yes", H301=TRUE, G301="Yes", G301=TRUE, O301&gt;0), "YES", "NO")</f>
        <v>YES</v>
      </c>
    </row>
    <row r="302" spans="1:16" ht="13" x14ac:dyDescent="0.15">
      <c r="A302" s="4" t="s">
        <v>1436</v>
      </c>
      <c r="B302" s="3" t="str">
        <f t="shared" si="13"/>
        <v>Yes</v>
      </c>
      <c r="C302" s="3">
        <f t="shared" si="14"/>
        <v>446</v>
      </c>
      <c r="D302" s="5">
        <v>2373</v>
      </c>
      <c r="E302" s="4" t="s">
        <v>1437</v>
      </c>
      <c r="F302" s="4" t="s">
        <v>1438</v>
      </c>
      <c r="G302" s="4"/>
      <c r="H302" s="4" t="s">
        <v>34</v>
      </c>
      <c r="I302" s="4" t="s">
        <v>1439</v>
      </c>
      <c r="J302" s="6" t="s">
        <v>1440</v>
      </c>
      <c r="K302" s="4"/>
      <c r="L302" s="4" t="s">
        <v>1441</v>
      </c>
      <c r="M302" s="4" t="s">
        <v>1442</v>
      </c>
      <c r="N302" s="4"/>
      <c r="O302" s="4"/>
      <c r="P302" s="4" t="str">
        <f>IF(OR(M302="Customer", M302="Opportunity", H302="Yes", H302=TRUE, G302="Yes", G302=TRUE, O302&gt;0), "YES", "NO")</f>
        <v>YES</v>
      </c>
    </row>
    <row r="303" spans="1:16" ht="13" x14ac:dyDescent="0.15">
      <c r="A303" s="4" t="s">
        <v>1443</v>
      </c>
      <c r="B303" s="3" t="str">
        <f t="shared" si="13"/>
        <v>Yes</v>
      </c>
      <c r="C303" s="3">
        <f t="shared" si="14"/>
        <v>446</v>
      </c>
      <c r="D303" s="5">
        <v>11512789673</v>
      </c>
      <c r="E303" s="4" t="s">
        <v>1444</v>
      </c>
      <c r="F303" s="4" t="s">
        <v>1445</v>
      </c>
      <c r="G303" s="4"/>
      <c r="H303" s="4" t="s">
        <v>34</v>
      </c>
      <c r="I303" s="4" t="s">
        <v>1446</v>
      </c>
      <c r="J303" s="6" t="s">
        <v>1447</v>
      </c>
      <c r="K303" s="4"/>
      <c r="L303" s="4" t="s">
        <v>1448</v>
      </c>
      <c r="M303" s="4" t="s">
        <v>38</v>
      </c>
      <c r="N303" s="4"/>
      <c r="O303" s="4"/>
      <c r="P303" s="4" t="str">
        <f>IF(OR(M303="Customer", M303="Opportunity", H303="Yes", H303=TRUE, G303="Yes", G303=TRUE, O303&gt;0), "YES", "NO")</f>
        <v>YES</v>
      </c>
    </row>
    <row r="304" spans="1:16" ht="15" x14ac:dyDescent="0.2">
      <c r="A304" s="2" t="s">
        <v>1449</v>
      </c>
      <c r="B304" s="3" t="str">
        <f t="shared" si="13"/>
        <v>ron.varghese@cardinalhealth.com</v>
      </c>
      <c r="C304" s="3">
        <f t="shared" si="14"/>
        <v>1</v>
      </c>
      <c r="D304" s="2" t="s">
        <v>1450</v>
      </c>
      <c r="E304" s="2" t="s">
        <v>1451</v>
      </c>
      <c r="F304" s="2" t="s">
        <v>1452</v>
      </c>
      <c r="I304" s="2" t="s">
        <v>1453</v>
      </c>
      <c r="L304" s="2" t="s">
        <v>195</v>
      </c>
      <c r="M304" s="2" t="s">
        <v>45</v>
      </c>
    </row>
    <row r="305" spans="1:16" ht="15" x14ac:dyDescent="0.2">
      <c r="A305" s="2" t="s">
        <v>1449</v>
      </c>
      <c r="B305" s="3" t="str">
        <f t="shared" si="13"/>
        <v>juan.lopez@cardinalhealth.com</v>
      </c>
      <c r="C305" s="3">
        <f t="shared" si="14"/>
        <v>1</v>
      </c>
      <c r="D305" s="2" t="s">
        <v>1454</v>
      </c>
      <c r="E305" s="2" t="s">
        <v>1455</v>
      </c>
      <c r="F305" s="2" t="s">
        <v>1456</v>
      </c>
      <c r="I305" s="2" t="s">
        <v>1457</v>
      </c>
      <c r="L305" s="2" t="s">
        <v>1458</v>
      </c>
      <c r="M305" s="2" t="s">
        <v>45</v>
      </c>
    </row>
    <row r="306" spans="1:16" ht="15" x14ac:dyDescent="0.2">
      <c r="A306" s="2" t="s">
        <v>1449</v>
      </c>
      <c r="B306" s="3" t="str">
        <f t="shared" si="13"/>
        <v>zachary.rouse@cardinalhealth.com</v>
      </c>
      <c r="C306" s="3">
        <f t="shared" si="14"/>
        <v>1</v>
      </c>
      <c r="D306" s="2" t="s">
        <v>1459</v>
      </c>
      <c r="E306" s="2" t="s">
        <v>1460</v>
      </c>
      <c r="F306" s="2" t="s">
        <v>1461</v>
      </c>
      <c r="I306" s="2" t="s">
        <v>1462</v>
      </c>
      <c r="L306" s="2" t="s">
        <v>1463</v>
      </c>
      <c r="M306" s="2" t="s">
        <v>45</v>
      </c>
    </row>
    <row r="307" spans="1:16" ht="15" x14ac:dyDescent="0.2">
      <c r="A307" s="2" t="s">
        <v>1449</v>
      </c>
      <c r="B307" s="3" t="str">
        <f t="shared" si="13"/>
        <v>daniel.schmelzer@cardinalhealth.com</v>
      </c>
      <c r="C307" s="3">
        <f t="shared" si="14"/>
        <v>1</v>
      </c>
      <c r="D307" s="2" t="s">
        <v>1464</v>
      </c>
      <c r="E307" s="2" t="s">
        <v>1465</v>
      </c>
      <c r="F307" s="2" t="s">
        <v>1466</v>
      </c>
      <c r="I307" s="2" t="s">
        <v>1467</v>
      </c>
      <c r="L307" s="2" t="s">
        <v>1468</v>
      </c>
      <c r="M307" s="2" t="s">
        <v>45</v>
      </c>
    </row>
    <row r="308" spans="1:16" ht="15" x14ac:dyDescent="0.2">
      <c r="A308" s="2" t="s">
        <v>1449</v>
      </c>
      <c r="B308" s="3" t="str">
        <f t="shared" si="13"/>
        <v>andrea.ravagnani@cardinalhealth.com</v>
      </c>
      <c r="C308" s="3">
        <f t="shared" si="14"/>
        <v>1</v>
      </c>
      <c r="D308" s="2" t="s">
        <v>1469</v>
      </c>
      <c r="E308" s="2" t="s">
        <v>1470</v>
      </c>
      <c r="F308" s="2" t="s">
        <v>1471</v>
      </c>
      <c r="I308" s="2" t="s">
        <v>1472</v>
      </c>
      <c r="L308" s="2" t="s">
        <v>1473</v>
      </c>
      <c r="M308" s="2" t="s">
        <v>45</v>
      </c>
    </row>
    <row r="309" spans="1:16" ht="15" x14ac:dyDescent="0.2">
      <c r="A309" s="2" t="s">
        <v>1449</v>
      </c>
      <c r="B309" s="3" t="str">
        <f t="shared" si="13"/>
        <v>yuanming.tian@cardinalhealth.com</v>
      </c>
      <c r="C309" s="3">
        <f t="shared" si="14"/>
        <v>1</v>
      </c>
      <c r="D309" s="2" t="s">
        <v>1474</v>
      </c>
      <c r="E309" s="2" t="s">
        <v>1475</v>
      </c>
      <c r="F309" s="2" t="s">
        <v>1476</v>
      </c>
      <c r="I309" s="2" t="s">
        <v>1477</v>
      </c>
      <c r="L309" s="2" t="s">
        <v>1478</v>
      </c>
      <c r="M309" s="2" t="s">
        <v>45</v>
      </c>
    </row>
    <row r="310" spans="1:16" ht="15" x14ac:dyDescent="0.2">
      <c r="A310" s="2" t="s">
        <v>1449</v>
      </c>
      <c r="B310" s="3" t="str">
        <f t="shared" si="13"/>
        <v>russell.halsey@cardinalhealth.com</v>
      </c>
      <c r="C310" s="3">
        <f t="shared" si="14"/>
        <v>1</v>
      </c>
      <c r="D310" s="2" t="s">
        <v>1479</v>
      </c>
      <c r="E310" s="2" t="s">
        <v>1480</v>
      </c>
      <c r="F310" s="2" t="s">
        <v>1481</v>
      </c>
      <c r="I310" s="2" t="s">
        <v>1482</v>
      </c>
      <c r="L310" s="2" t="s">
        <v>1483</v>
      </c>
      <c r="M310" s="2" t="s">
        <v>45</v>
      </c>
    </row>
    <row r="311" spans="1:16" ht="15" x14ac:dyDescent="0.2">
      <c r="A311" s="2" t="s">
        <v>1449</v>
      </c>
      <c r="B311" s="3" t="str">
        <f t="shared" si="13"/>
        <v>carla.smith@cardinalhealth.com</v>
      </c>
      <c r="C311" s="3">
        <f t="shared" si="14"/>
        <v>1</v>
      </c>
      <c r="D311" s="2" t="s">
        <v>1484</v>
      </c>
      <c r="E311" s="2" t="s">
        <v>1485</v>
      </c>
      <c r="F311" s="2" t="s">
        <v>1420</v>
      </c>
      <c r="I311" s="2" t="s">
        <v>1486</v>
      </c>
      <c r="L311" s="2" t="s">
        <v>1487</v>
      </c>
      <c r="M311" s="2" t="s">
        <v>45</v>
      </c>
    </row>
    <row r="312" spans="1:16" ht="15" x14ac:dyDescent="0.2">
      <c r="A312" s="2" t="s">
        <v>1449</v>
      </c>
      <c r="B312" s="3" t="str">
        <f t="shared" si="13"/>
        <v>robert.cochrane@cardinalhealth.com</v>
      </c>
      <c r="C312" s="3">
        <f t="shared" si="14"/>
        <v>1</v>
      </c>
      <c r="D312" s="2" t="s">
        <v>1488</v>
      </c>
      <c r="E312" s="2" t="s">
        <v>531</v>
      </c>
      <c r="F312" s="2" t="s">
        <v>1489</v>
      </c>
      <c r="I312" s="2" t="s">
        <v>1490</v>
      </c>
      <c r="L312" s="2" t="s">
        <v>1491</v>
      </c>
      <c r="M312" s="2" t="s">
        <v>45</v>
      </c>
    </row>
    <row r="313" spans="1:16" ht="15" x14ac:dyDescent="0.2">
      <c r="A313" s="2" t="s">
        <v>1449</v>
      </c>
      <c r="B313" s="3" t="str">
        <f t="shared" si="13"/>
        <v>austin.hebert@cardinalhealth.com</v>
      </c>
      <c r="C313" s="3">
        <f t="shared" si="14"/>
        <v>1</v>
      </c>
      <c r="D313" s="2" t="s">
        <v>1492</v>
      </c>
      <c r="E313" s="2" t="s">
        <v>1493</v>
      </c>
      <c r="F313" s="2" t="s">
        <v>1494</v>
      </c>
      <c r="I313" s="2" t="s">
        <v>1495</v>
      </c>
      <c r="L313" s="2" t="s">
        <v>1496</v>
      </c>
      <c r="M313" s="2" t="s">
        <v>45</v>
      </c>
    </row>
    <row r="314" spans="1:16" ht="15" x14ac:dyDescent="0.2">
      <c r="A314" s="2" t="s">
        <v>1449</v>
      </c>
      <c r="B314" s="3" t="str">
        <f t="shared" si="13"/>
        <v>kevin.hurd@cardinalhealth.com</v>
      </c>
      <c r="C314" s="3">
        <f t="shared" si="14"/>
        <v>1</v>
      </c>
      <c r="D314" s="2" t="s">
        <v>1497</v>
      </c>
      <c r="E314" s="2" t="s">
        <v>726</v>
      </c>
      <c r="F314" s="2" t="s">
        <v>1498</v>
      </c>
      <c r="I314" s="2" t="s">
        <v>1499</v>
      </c>
      <c r="L314" s="2" t="s">
        <v>1500</v>
      </c>
      <c r="M314" s="2" t="s">
        <v>22</v>
      </c>
    </row>
    <row r="315" spans="1:16" ht="15" x14ac:dyDescent="0.2">
      <c r="A315" s="2" t="s">
        <v>1449</v>
      </c>
      <c r="B315" s="3" t="str">
        <f t="shared" si="13"/>
        <v>jason.miracle@cardinalhealth.com</v>
      </c>
      <c r="C315" s="3">
        <f t="shared" si="14"/>
        <v>1</v>
      </c>
      <c r="D315" s="2" t="s">
        <v>1501</v>
      </c>
      <c r="E315" s="2" t="s">
        <v>405</v>
      </c>
      <c r="F315" s="2" t="s">
        <v>1502</v>
      </c>
      <c r="I315" s="2" t="s">
        <v>1503</v>
      </c>
      <c r="L315" s="2" t="s">
        <v>1504</v>
      </c>
      <c r="M315" s="2" t="s">
        <v>45</v>
      </c>
    </row>
    <row r="316" spans="1:16" ht="15" x14ac:dyDescent="0.2">
      <c r="A316" s="2" t="s">
        <v>1449</v>
      </c>
      <c r="B316" s="3" t="str">
        <f t="shared" si="13"/>
        <v>masika.kristos@cardinalhealth.com</v>
      </c>
      <c r="C316" s="3">
        <f t="shared" si="14"/>
        <v>1</v>
      </c>
      <c r="D316" s="2" t="s">
        <v>1505</v>
      </c>
      <c r="E316" s="2" t="s">
        <v>1506</v>
      </c>
      <c r="F316" s="2" t="s">
        <v>1507</v>
      </c>
      <c r="I316" s="2" t="s">
        <v>1508</v>
      </c>
      <c r="L316" s="2" t="s">
        <v>1509</v>
      </c>
      <c r="M316" s="2" t="s">
        <v>45</v>
      </c>
    </row>
    <row r="317" spans="1:16" ht="15" x14ac:dyDescent="0.2">
      <c r="A317" s="2" t="s">
        <v>1449</v>
      </c>
      <c r="B317" s="3" t="str">
        <f t="shared" si="13"/>
        <v>lucretia.may@cardinalhealth.com</v>
      </c>
      <c r="C317" s="3">
        <f t="shared" si="14"/>
        <v>1</v>
      </c>
      <c r="D317" s="2" t="s">
        <v>1510</v>
      </c>
      <c r="E317" s="2" t="s">
        <v>1511</v>
      </c>
      <c r="F317" s="2" t="s">
        <v>135</v>
      </c>
      <c r="I317" s="2" t="s">
        <v>1512</v>
      </c>
      <c r="L317" s="2" t="s">
        <v>1513</v>
      </c>
      <c r="M317" s="2" t="s">
        <v>45</v>
      </c>
    </row>
    <row r="318" spans="1:16" ht="13" x14ac:dyDescent="0.15">
      <c r="A318" s="4" t="s">
        <v>1514</v>
      </c>
      <c r="B318" s="3" t="str">
        <f t="shared" si="13"/>
        <v>Yes</v>
      </c>
      <c r="C318" s="3">
        <f t="shared" si="14"/>
        <v>446</v>
      </c>
      <c r="D318" s="5">
        <v>1805</v>
      </c>
      <c r="E318" s="4" t="s">
        <v>264</v>
      </c>
      <c r="F318" s="4" t="s">
        <v>1515</v>
      </c>
      <c r="G318" s="4"/>
      <c r="H318" s="4" t="s">
        <v>34</v>
      </c>
      <c r="I318" s="4" t="s">
        <v>1516</v>
      </c>
      <c r="J318" s="6" t="s">
        <v>1517</v>
      </c>
      <c r="K318" s="4"/>
      <c r="L318" s="4" t="s">
        <v>1518</v>
      </c>
      <c r="M318" s="4" t="s">
        <v>38</v>
      </c>
      <c r="N318" s="4"/>
      <c r="O318" s="4"/>
      <c r="P318" s="4" t="str">
        <f t="shared" ref="P318:P328" si="17">IF(OR(M318="Customer", M318="Opportunity", H318="Yes", H318=TRUE, G318="Yes", G318=TRUE, O318&gt;0), "YES", "NO")</f>
        <v>YES</v>
      </c>
    </row>
    <row r="319" spans="1:16" ht="13" x14ac:dyDescent="0.15">
      <c r="A319" s="4" t="s">
        <v>1519</v>
      </c>
      <c r="B319" s="3" t="str">
        <f t="shared" si="13"/>
        <v>elizabeth.gossell@carefirst.com</v>
      </c>
      <c r="C319" s="3">
        <f t="shared" si="14"/>
        <v>1</v>
      </c>
      <c r="D319" s="5">
        <v>25013809219</v>
      </c>
      <c r="E319" s="4" t="s">
        <v>409</v>
      </c>
      <c r="F319" s="4" t="s">
        <v>1520</v>
      </c>
      <c r="G319" s="4" t="s">
        <v>34</v>
      </c>
      <c r="H319" s="4"/>
      <c r="I319" s="4" t="s">
        <v>1521</v>
      </c>
      <c r="J319" s="6" t="s">
        <v>1522</v>
      </c>
      <c r="K319" s="4"/>
      <c r="L319" s="4" t="s">
        <v>1017</v>
      </c>
      <c r="M319" s="4"/>
      <c r="N319" s="4"/>
      <c r="O319" s="4"/>
      <c r="P319" s="4" t="str">
        <f t="shared" si="17"/>
        <v>YES</v>
      </c>
    </row>
    <row r="320" spans="1:16" ht="13" x14ac:dyDescent="0.15">
      <c r="A320" s="4" t="s">
        <v>1523</v>
      </c>
      <c r="B320" s="3" t="str">
        <f t="shared" si="13"/>
        <v>stomin@cariboumc.org</v>
      </c>
      <c r="C320" s="3">
        <f t="shared" si="14"/>
        <v>1</v>
      </c>
      <c r="D320" s="5">
        <v>25010926211</v>
      </c>
      <c r="E320" s="4" t="s">
        <v>1524</v>
      </c>
      <c r="F320" s="4" t="s">
        <v>1525</v>
      </c>
      <c r="G320" s="4" t="s">
        <v>34</v>
      </c>
      <c r="H320" s="4"/>
      <c r="I320" s="4" t="s">
        <v>1526</v>
      </c>
      <c r="J320" s="6" t="s">
        <v>1527</v>
      </c>
      <c r="K320" s="4"/>
      <c r="L320" s="4" t="s">
        <v>698</v>
      </c>
      <c r="M320" s="4"/>
      <c r="N320" s="4"/>
      <c r="O320" s="4"/>
      <c r="P320" s="4" t="str">
        <f t="shared" si="17"/>
        <v>YES</v>
      </c>
    </row>
    <row r="321" spans="1:16" ht="13" x14ac:dyDescent="0.15">
      <c r="A321" s="4" t="s">
        <v>1528</v>
      </c>
      <c r="B321" s="3" t="str">
        <f t="shared" si="13"/>
        <v>Yes</v>
      </c>
      <c r="C321" s="3">
        <f t="shared" si="14"/>
        <v>446</v>
      </c>
      <c r="D321" s="5">
        <v>11515156633</v>
      </c>
      <c r="E321" s="4" t="s">
        <v>1529</v>
      </c>
      <c r="F321" s="4" t="s">
        <v>1530</v>
      </c>
      <c r="G321" s="4"/>
      <c r="H321" s="4" t="s">
        <v>34</v>
      </c>
      <c r="I321" s="4" t="s">
        <v>1531</v>
      </c>
      <c r="J321" s="4" t="s">
        <v>1532</v>
      </c>
      <c r="K321" s="4"/>
      <c r="L321" s="4" t="s">
        <v>1533</v>
      </c>
      <c r="M321" s="4" t="s">
        <v>38</v>
      </c>
      <c r="N321" s="4"/>
      <c r="O321" s="4"/>
      <c r="P321" s="4" t="str">
        <f t="shared" si="17"/>
        <v>YES</v>
      </c>
    </row>
    <row r="322" spans="1:16" ht="13" x14ac:dyDescent="0.15">
      <c r="A322" s="4" t="s">
        <v>1534</v>
      </c>
      <c r="B322" s="3" t="str">
        <f t="shared" ref="B322:B385" si="18">IF(H322&lt;&gt;"",H322,I322)</f>
        <v>timothy.smith@cedar.com</v>
      </c>
      <c r="C322" s="3">
        <f t="shared" ref="C322:C385" si="19">COUNTIF($B$2:$B$1586,B322)</f>
        <v>1</v>
      </c>
      <c r="D322" s="5">
        <v>25008582257</v>
      </c>
      <c r="E322" s="4" t="s">
        <v>1535</v>
      </c>
      <c r="F322" s="4" t="s">
        <v>1420</v>
      </c>
      <c r="G322" s="4" t="s">
        <v>34</v>
      </c>
      <c r="H322" s="4"/>
      <c r="I322" s="4" t="s">
        <v>1536</v>
      </c>
      <c r="J322" s="6" t="s">
        <v>1537</v>
      </c>
      <c r="K322" s="4"/>
      <c r="L322" s="4" t="s">
        <v>1538</v>
      </c>
      <c r="M322" s="4"/>
      <c r="N322" s="4"/>
      <c r="O322" s="4"/>
      <c r="P322" s="4" t="str">
        <f t="shared" si="17"/>
        <v>YES</v>
      </c>
    </row>
    <row r="323" spans="1:16" ht="13" x14ac:dyDescent="0.15">
      <c r="A323" s="4" t="s">
        <v>1539</v>
      </c>
      <c r="B323" s="3" t="str">
        <f t="shared" si="18"/>
        <v>Yes</v>
      </c>
      <c r="C323" s="3">
        <f t="shared" si="19"/>
        <v>446</v>
      </c>
      <c r="D323" s="5">
        <v>11516590777</v>
      </c>
      <c r="E323" s="4" t="s">
        <v>1540</v>
      </c>
      <c r="F323" s="4" t="s">
        <v>1541</v>
      </c>
      <c r="G323" s="4"/>
      <c r="H323" s="4" t="s">
        <v>34</v>
      </c>
      <c r="I323" s="4" t="s">
        <v>1542</v>
      </c>
      <c r="J323" s="6" t="s">
        <v>1543</v>
      </c>
      <c r="K323" s="4"/>
      <c r="L323" s="4" t="s">
        <v>1544</v>
      </c>
      <c r="M323" s="4" t="s">
        <v>38</v>
      </c>
      <c r="N323" s="4"/>
      <c r="O323" s="4"/>
      <c r="P323" s="4" t="str">
        <f t="shared" si="17"/>
        <v>YES</v>
      </c>
    </row>
    <row r="324" spans="1:16" ht="13" x14ac:dyDescent="0.15">
      <c r="A324" s="4" t="s">
        <v>1545</v>
      </c>
      <c r="B324" s="3" t="str">
        <f t="shared" si="18"/>
        <v>Yes</v>
      </c>
      <c r="C324" s="3">
        <f t="shared" si="19"/>
        <v>446</v>
      </c>
      <c r="D324" s="5">
        <v>11512947718</v>
      </c>
      <c r="E324" s="4" t="s">
        <v>1546</v>
      </c>
      <c r="F324" s="4" t="s">
        <v>1547</v>
      </c>
      <c r="G324" s="4"/>
      <c r="H324" s="4" t="s">
        <v>34</v>
      </c>
      <c r="I324" s="4" t="s">
        <v>1548</v>
      </c>
      <c r="J324" s="6" t="s">
        <v>1549</v>
      </c>
      <c r="K324" s="4"/>
      <c r="L324" s="4" t="s">
        <v>1550</v>
      </c>
      <c r="M324" s="4" t="s">
        <v>38</v>
      </c>
      <c r="N324" s="4"/>
      <c r="O324" s="4"/>
      <c r="P324" s="4" t="str">
        <f t="shared" si="17"/>
        <v>YES</v>
      </c>
    </row>
    <row r="325" spans="1:16" ht="13" x14ac:dyDescent="0.15">
      <c r="A325" s="4" t="s">
        <v>1551</v>
      </c>
      <c r="B325" s="3" t="str">
        <f t="shared" si="18"/>
        <v>Yes</v>
      </c>
      <c r="C325" s="3">
        <f t="shared" si="19"/>
        <v>446</v>
      </c>
      <c r="D325" s="5">
        <v>11513106185</v>
      </c>
      <c r="E325" s="4" t="s">
        <v>405</v>
      </c>
      <c r="F325" s="4" t="s">
        <v>1552</v>
      </c>
      <c r="G325" s="4"/>
      <c r="H325" s="4" t="s">
        <v>34</v>
      </c>
      <c r="I325" s="4" t="s">
        <v>1553</v>
      </c>
      <c r="J325" s="6" t="s">
        <v>1554</v>
      </c>
      <c r="K325" s="4"/>
      <c r="L325" s="4" t="s">
        <v>1555</v>
      </c>
      <c r="M325" s="4" t="s">
        <v>38</v>
      </c>
      <c r="N325" s="4"/>
      <c r="O325" s="4"/>
      <c r="P325" s="4" t="str">
        <f t="shared" si="17"/>
        <v>YES</v>
      </c>
    </row>
    <row r="326" spans="1:16" ht="13" x14ac:dyDescent="0.15">
      <c r="A326" s="4" t="s">
        <v>1551</v>
      </c>
      <c r="B326" s="3" t="str">
        <f t="shared" si="18"/>
        <v>Yes</v>
      </c>
      <c r="C326" s="3">
        <f t="shared" si="19"/>
        <v>446</v>
      </c>
      <c r="D326" s="5">
        <v>11512269188</v>
      </c>
      <c r="E326" s="4" t="s">
        <v>641</v>
      </c>
      <c r="F326" s="4" t="s">
        <v>1556</v>
      </c>
      <c r="G326" s="4"/>
      <c r="H326" s="4" t="s">
        <v>34</v>
      </c>
      <c r="I326" s="4" t="s">
        <v>1557</v>
      </c>
      <c r="J326" s="6" t="s">
        <v>1554</v>
      </c>
      <c r="K326" s="4"/>
      <c r="L326" s="4" t="s">
        <v>1558</v>
      </c>
      <c r="M326" s="4" t="s">
        <v>38</v>
      </c>
      <c r="N326" s="4"/>
      <c r="O326" s="4"/>
      <c r="P326" s="4" t="str">
        <f t="shared" si="17"/>
        <v>YES</v>
      </c>
    </row>
    <row r="327" spans="1:16" ht="13" x14ac:dyDescent="0.15">
      <c r="A327" s="4" t="s">
        <v>1559</v>
      </c>
      <c r="B327" s="3" t="str">
        <f t="shared" si="18"/>
        <v>Yes</v>
      </c>
      <c r="C327" s="3">
        <f t="shared" si="19"/>
        <v>446</v>
      </c>
      <c r="D327" s="5">
        <v>11514176041</v>
      </c>
      <c r="E327" s="4" t="s">
        <v>1075</v>
      </c>
      <c r="F327" s="4" t="s">
        <v>1560</v>
      </c>
      <c r="G327" s="4"/>
      <c r="H327" s="4" t="s">
        <v>34</v>
      </c>
      <c r="I327" s="4" t="s">
        <v>1561</v>
      </c>
      <c r="J327" s="6" t="s">
        <v>1562</v>
      </c>
      <c r="K327" s="4"/>
      <c r="L327" s="4" t="s">
        <v>1563</v>
      </c>
      <c r="M327" s="4" t="s">
        <v>38</v>
      </c>
      <c r="N327" s="4"/>
      <c r="O327" s="4"/>
      <c r="P327" s="4" t="str">
        <f t="shared" si="17"/>
        <v>YES</v>
      </c>
    </row>
    <row r="328" spans="1:16" ht="13" x14ac:dyDescent="0.15">
      <c r="A328" s="4" t="s">
        <v>1564</v>
      </c>
      <c r="B328" s="3" t="str">
        <f t="shared" si="18"/>
        <v>jason.farmer@crl.com</v>
      </c>
      <c r="C328" s="3">
        <f t="shared" si="19"/>
        <v>1</v>
      </c>
      <c r="D328" s="5">
        <v>25006940682</v>
      </c>
      <c r="E328" s="4" t="s">
        <v>405</v>
      </c>
      <c r="F328" s="4" t="s">
        <v>1565</v>
      </c>
      <c r="G328" s="4" t="s">
        <v>34</v>
      </c>
      <c r="H328" s="4"/>
      <c r="I328" s="4" t="s">
        <v>1566</v>
      </c>
      <c r="J328" s="6" t="s">
        <v>1567</v>
      </c>
      <c r="K328" s="4"/>
      <c r="L328" s="4" t="s">
        <v>1568</v>
      </c>
      <c r="M328" s="4"/>
      <c r="N328" s="4"/>
      <c r="O328" s="4"/>
      <c r="P328" s="4" t="str">
        <f t="shared" si="17"/>
        <v>YES</v>
      </c>
    </row>
    <row r="329" spans="1:16" ht="15" x14ac:dyDescent="0.2">
      <c r="A329" s="2" t="s">
        <v>1569</v>
      </c>
      <c r="B329" s="3" t="str">
        <f t="shared" si="18"/>
        <v>sseang@cienahealthcare.com</v>
      </c>
      <c r="C329" s="3">
        <f t="shared" si="19"/>
        <v>1</v>
      </c>
      <c r="D329" s="2" t="s">
        <v>1570</v>
      </c>
      <c r="E329" s="2" t="s">
        <v>1571</v>
      </c>
      <c r="F329" s="2" t="s">
        <v>1572</v>
      </c>
      <c r="I329" s="2" t="s">
        <v>1573</v>
      </c>
      <c r="L329" s="2" t="s">
        <v>1574</v>
      </c>
      <c r="M329" s="2" t="s">
        <v>45</v>
      </c>
    </row>
    <row r="330" spans="1:16" ht="13" x14ac:dyDescent="0.15">
      <c r="A330" s="4" t="s">
        <v>1575</v>
      </c>
      <c r="B330" s="3" t="str">
        <f t="shared" si="18"/>
        <v>Yes</v>
      </c>
      <c r="C330" s="3">
        <f t="shared" si="19"/>
        <v>446</v>
      </c>
      <c r="D330" s="5">
        <v>11513088430</v>
      </c>
      <c r="E330" s="4" t="s">
        <v>1576</v>
      </c>
      <c r="F330" s="4" t="s">
        <v>1577</v>
      </c>
      <c r="G330" s="4"/>
      <c r="H330" s="4" t="s">
        <v>34</v>
      </c>
      <c r="I330" s="4" t="s">
        <v>1578</v>
      </c>
      <c r="J330" s="4" t="s">
        <v>1579</v>
      </c>
      <c r="K330" s="4"/>
      <c r="L330" s="4" t="s">
        <v>1580</v>
      </c>
      <c r="M330" s="4" t="s">
        <v>38</v>
      </c>
      <c r="N330" s="4"/>
      <c r="O330" s="4"/>
      <c r="P330" s="4" t="str">
        <f t="shared" ref="P330:P341" si="20">IF(OR(M330="Customer", M330="Opportunity", H330="Yes", H330=TRUE, G330="Yes", G330=TRUE, O330&gt;0), "YES", "NO")</f>
        <v>YES</v>
      </c>
    </row>
    <row r="331" spans="1:16" ht="13" x14ac:dyDescent="0.15">
      <c r="A331" s="4" t="s">
        <v>1581</v>
      </c>
      <c r="B331" s="3" t="str">
        <f t="shared" si="18"/>
        <v>lisa.hart@cisecurity.org</v>
      </c>
      <c r="C331" s="3">
        <f t="shared" si="19"/>
        <v>1</v>
      </c>
      <c r="D331" s="5">
        <v>25010833163</v>
      </c>
      <c r="E331" s="4" t="s">
        <v>694</v>
      </c>
      <c r="F331" s="4" t="s">
        <v>1582</v>
      </c>
      <c r="G331" s="4" t="s">
        <v>34</v>
      </c>
      <c r="H331" s="4"/>
      <c r="I331" s="4" t="s">
        <v>1583</v>
      </c>
      <c r="J331" s="6" t="s">
        <v>1584</v>
      </c>
      <c r="K331" s="4"/>
      <c r="L331" s="4" t="s">
        <v>657</v>
      </c>
      <c r="M331" s="4"/>
      <c r="N331" s="4"/>
      <c r="O331" s="4"/>
      <c r="P331" s="4" t="str">
        <f t="shared" si="20"/>
        <v>YES</v>
      </c>
    </row>
    <row r="332" spans="1:16" ht="13" x14ac:dyDescent="0.15">
      <c r="A332" s="4" t="s">
        <v>1581</v>
      </c>
      <c r="B332" s="3" t="str">
        <f t="shared" si="18"/>
        <v>matthew.mcgarvey@cisecurity.org</v>
      </c>
      <c r="C332" s="3">
        <f t="shared" si="19"/>
        <v>1</v>
      </c>
      <c r="D332" s="5">
        <v>25006710957</v>
      </c>
      <c r="E332" s="4" t="s">
        <v>785</v>
      </c>
      <c r="F332" s="4" t="s">
        <v>1585</v>
      </c>
      <c r="G332" s="4" t="s">
        <v>34</v>
      </c>
      <c r="H332" s="4"/>
      <c r="I332" s="4" t="s">
        <v>1586</v>
      </c>
      <c r="J332" s="6" t="s">
        <v>1584</v>
      </c>
      <c r="K332" s="4"/>
      <c r="L332" s="4" t="s">
        <v>1587</v>
      </c>
      <c r="M332" s="4"/>
      <c r="N332" s="4"/>
      <c r="O332" s="4"/>
      <c r="P332" s="4" t="str">
        <f t="shared" si="20"/>
        <v>YES</v>
      </c>
    </row>
    <row r="333" spans="1:16" ht="13" x14ac:dyDescent="0.15">
      <c r="A333" s="4" t="s">
        <v>1588</v>
      </c>
      <c r="B333" s="3" t="str">
        <f t="shared" si="18"/>
        <v>Yes</v>
      </c>
      <c r="C333" s="3">
        <f t="shared" si="19"/>
        <v>446</v>
      </c>
      <c r="D333" s="5">
        <v>11492260675</v>
      </c>
      <c r="E333" s="4" t="s">
        <v>1589</v>
      </c>
      <c r="F333" s="4" t="s">
        <v>1590</v>
      </c>
      <c r="G333" s="4"/>
      <c r="H333" s="4" t="s">
        <v>34</v>
      </c>
      <c r="I333" s="4" t="s">
        <v>1591</v>
      </c>
      <c r="J333" s="6" t="s">
        <v>1592</v>
      </c>
      <c r="K333" s="4"/>
      <c r="L333" s="4" t="s">
        <v>1593</v>
      </c>
      <c r="M333" s="4" t="s">
        <v>38</v>
      </c>
      <c r="N333" s="4"/>
      <c r="O333" s="4"/>
      <c r="P333" s="4" t="str">
        <f t="shared" si="20"/>
        <v>YES</v>
      </c>
    </row>
    <row r="334" spans="1:16" ht="13" x14ac:dyDescent="0.15">
      <c r="A334" s="4" t="s">
        <v>1594</v>
      </c>
      <c r="B334" s="3" t="str">
        <f t="shared" si="18"/>
        <v>Yes</v>
      </c>
      <c r="C334" s="3">
        <f t="shared" si="19"/>
        <v>446</v>
      </c>
      <c r="D334" s="5">
        <v>4654</v>
      </c>
      <c r="E334" s="4" t="s">
        <v>1595</v>
      </c>
      <c r="F334" s="4" t="s">
        <v>1596</v>
      </c>
      <c r="G334" s="4"/>
      <c r="H334" s="4" t="s">
        <v>34</v>
      </c>
      <c r="I334" s="4" t="s">
        <v>1597</v>
      </c>
      <c r="J334" s="6" t="s">
        <v>1598</v>
      </c>
      <c r="K334" s="4"/>
      <c r="L334" s="4" t="s">
        <v>1599</v>
      </c>
      <c r="M334" s="4" t="s">
        <v>38</v>
      </c>
      <c r="N334" s="4"/>
      <c r="O334" s="4"/>
      <c r="P334" s="4" t="str">
        <f t="shared" si="20"/>
        <v>YES</v>
      </c>
    </row>
    <row r="335" spans="1:16" ht="13" x14ac:dyDescent="0.15">
      <c r="A335" s="4" t="s">
        <v>1600</v>
      </c>
      <c r="B335" s="3" t="str">
        <f t="shared" si="18"/>
        <v>Yes</v>
      </c>
      <c r="C335" s="3">
        <f t="shared" si="19"/>
        <v>446</v>
      </c>
      <c r="D335" s="5">
        <v>11516590852</v>
      </c>
      <c r="E335" s="4" t="s">
        <v>1601</v>
      </c>
      <c r="F335" s="4" t="s">
        <v>1493</v>
      </c>
      <c r="G335" s="4"/>
      <c r="H335" s="4" t="s">
        <v>34</v>
      </c>
      <c r="I335" s="4" t="s">
        <v>1602</v>
      </c>
      <c r="J335" s="6" t="s">
        <v>1603</v>
      </c>
      <c r="K335" s="4"/>
      <c r="L335" s="4" t="s">
        <v>949</v>
      </c>
      <c r="M335" s="4" t="s">
        <v>38</v>
      </c>
      <c r="N335" s="4"/>
      <c r="O335" s="4"/>
      <c r="P335" s="4" t="str">
        <f t="shared" si="20"/>
        <v>YES</v>
      </c>
    </row>
    <row r="336" spans="1:16" ht="13" x14ac:dyDescent="0.15">
      <c r="A336" s="4" t="s">
        <v>1604</v>
      </c>
      <c r="B336" s="3" t="str">
        <f t="shared" si="18"/>
        <v>mschramm@cloudsecuritysol.com</v>
      </c>
      <c r="C336" s="3">
        <f t="shared" si="19"/>
        <v>1</v>
      </c>
      <c r="D336" s="5">
        <v>25011873687</v>
      </c>
      <c r="E336" s="4" t="s">
        <v>59</v>
      </c>
      <c r="F336" s="4" t="s">
        <v>1605</v>
      </c>
      <c r="G336" s="4" t="s">
        <v>34</v>
      </c>
      <c r="H336" s="4"/>
      <c r="I336" s="4" t="s">
        <v>1606</v>
      </c>
      <c r="J336" s="6" t="s">
        <v>1607</v>
      </c>
      <c r="K336" s="4"/>
      <c r="L336" s="4" t="s">
        <v>1608</v>
      </c>
      <c r="M336" s="4"/>
      <c r="N336" s="4"/>
      <c r="O336" s="4"/>
      <c r="P336" s="4" t="str">
        <f t="shared" si="20"/>
        <v>YES</v>
      </c>
    </row>
    <row r="337" spans="1:16" ht="13" x14ac:dyDescent="0.15">
      <c r="A337" s="4" t="s">
        <v>1609</v>
      </c>
      <c r="B337" s="3" t="str">
        <f t="shared" si="18"/>
        <v>llugo@cmrnaviscan.com</v>
      </c>
      <c r="C337" s="3">
        <f t="shared" si="19"/>
        <v>1</v>
      </c>
      <c r="D337" s="5">
        <v>25013809217</v>
      </c>
      <c r="E337" s="4" t="s">
        <v>1610</v>
      </c>
      <c r="F337" s="4" t="s">
        <v>1611</v>
      </c>
      <c r="G337" s="4" t="s">
        <v>34</v>
      </c>
      <c r="H337" s="4"/>
      <c r="I337" s="4" t="s">
        <v>1612</v>
      </c>
      <c r="J337" s="6" t="s">
        <v>1613</v>
      </c>
      <c r="K337" s="4"/>
      <c r="L337" s="4" t="s">
        <v>1614</v>
      </c>
      <c r="M337" s="4"/>
      <c r="N337" s="4"/>
      <c r="O337" s="4"/>
      <c r="P337" s="4" t="str">
        <f t="shared" si="20"/>
        <v>YES</v>
      </c>
    </row>
    <row r="338" spans="1:16" ht="13" x14ac:dyDescent="0.15">
      <c r="A338" s="4" t="s">
        <v>1615</v>
      </c>
      <c r="B338" s="3" t="str">
        <f t="shared" si="18"/>
        <v>Yes</v>
      </c>
      <c r="C338" s="3">
        <f t="shared" si="19"/>
        <v>446</v>
      </c>
      <c r="D338" s="5">
        <v>11513567153</v>
      </c>
      <c r="E338" s="4" t="s">
        <v>1616</v>
      </c>
      <c r="F338" s="4" t="s">
        <v>1617</v>
      </c>
      <c r="G338" s="4"/>
      <c r="H338" s="4" t="s">
        <v>34</v>
      </c>
      <c r="I338" s="4" t="s">
        <v>1618</v>
      </c>
      <c r="J338" s="6" t="s">
        <v>1619</v>
      </c>
      <c r="K338" s="4"/>
      <c r="L338" s="4" t="s">
        <v>1620</v>
      </c>
      <c r="M338" s="4" t="s">
        <v>38</v>
      </c>
      <c r="N338" s="4"/>
      <c r="O338" s="4"/>
      <c r="P338" s="4" t="str">
        <f t="shared" si="20"/>
        <v>YES</v>
      </c>
    </row>
    <row r="339" spans="1:16" ht="13" x14ac:dyDescent="0.15">
      <c r="A339" s="4" t="s">
        <v>1615</v>
      </c>
      <c r="B339" s="3" t="str">
        <f t="shared" si="18"/>
        <v>Yes</v>
      </c>
      <c r="C339" s="3">
        <f t="shared" si="19"/>
        <v>446</v>
      </c>
      <c r="D339" s="5">
        <v>11514429088</v>
      </c>
      <c r="E339" s="4" t="s">
        <v>1621</v>
      </c>
      <c r="F339" s="4" t="s">
        <v>1622</v>
      </c>
      <c r="G339" s="4"/>
      <c r="H339" s="4" t="s">
        <v>34</v>
      </c>
      <c r="I339" s="4" t="s">
        <v>1623</v>
      </c>
      <c r="J339" s="6" t="s">
        <v>1619</v>
      </c>
      <c r="K339" s="4"/>
      <c r="L339" s="4" t="s">
        <v>1624</v>
      </c>
      <c r="M339" s="4" t="s">
        <v>38</v>
      </c>
      <c r="N339" s="4"/>
      <c r="O339" s="4"/>
      <c r="P339" s="4" t="str">
        <f t="shared" si="20"/>
        <v>YES</v>
      </c>
    </row>
    <row r="340" spans="1:16" ht="13" x14ac:dyDescent="0.15">
      <c r="A340" s="4" t="s">
        <v>1615</v>
      </c>
      <c r="B340" s="3" t="str">
        <f t="shared" si="18"/>
        <v>Yes</v>
      </c>
      <c r="C340" s="3">
        <f t="shared" si="19"/>
        <v>446</v>
      </c>
      <c r="D340" s="5">
        <v>11514486162</v>
      </c>
      <c r="E340" s="4" t="s">
        <v>245</v>
      </c>
      <c r="F340" s="4" t="s">
        <v>1625</v>
      </c>
      <c r="G340" s="4"/>
      <c r="H340" s="4" t="s">
        <v>34</v>
      </c>
      <c r="I340" s="4" t="s">
        <v>1626</v>
      </c>
      <c r="J340" s="6" t="s">
        <v>1619</v>
      </c>
      <c r="K340" s="4"/>
      <c r="L340" s="4" t="s">
        <v>1627</v>
      </c>
      <c r="M340" s="4" t="s">
        <v>38</v>
      </c>
      <c r="N340" s="4"/>
      <c r="O340" s="4"/>
      <c r="P340" s="4" t="str">
        <f t="shared" si="20"/>
        <v>YES</v>
      </c>
    </row>
    <row r="341" spans="1:16" ht="13" x14ac:dyDescent="0.15">
      <c r="A341" s="4" t="s">
        <v>1615</v>
      </c>
      <c r="B341" s="3" t="str">
        <f t="shared" si="18"/>
        <v>Yes</v>
      </c>
      <c r="C341" s="3">
        <f t="shared" si="19"/>
        <v>446</v>
      </c>
      <c r="D341" s="5">
        <v>11511483299</v>
      </c>
      <c r="E341" s="4" t="s">
        <v>1628</v>
      </c>
      <c r="F341" s="4" t="s">
        <v>441</v>
      </c>
      <c r="G341" s="4"/>
      <c r="H341" s="4" t="s">
        <v>34</v>
      </c>
      <c r="I341" s="4" t="s">
        <v>1629</v>
      </c>
      <c r="J341" s="6" t="s">
        <v>1619</v>
      </c>
      <c r="K341" s="4"/>
      <c r="L341" s="4" t="s">
        <v>1195</v>
      </c>
      <c r="M341" s="4" t="s">
        <v>38</v>
      </c>
      <c r="N341" s="4"/>
      <c r="O341" s="4"/>
      <c r="P341" s="4" t="str">
        <f t="shared" si="20"/>
        <v>YES</v>
      </c>
    </row>
    <row r="342" spans="1:16" ht="15" x14ac:dyDescent="0.2">
      <c r="A342" s="2" t="s">
        <v>1630</v>
      </c>
      <c r="B342" s="3" t="str">
        <f t="shared" si="18"/>
        <v>vakkari@cochlear.com</v>
      </c>
      <c r="C342" s="3">
        <f t="shared" si="19"/>
        <v>1</v>
      </c>
      <c r="D342" s="2" t="s">
        <v>1631</v>
      </c>
      <c r="E342" s="2" t="s">
        <v>1632</v>
      </c>
      <c r="F342" s="2" t="s">
        <v>1633</v>
      </c>
      <c r="I342" s="2" t="s">
        <v>1634</v>
      </c>
      <c r="L342" s="2" t="s">
        <v>1635</v>
      </c>
      <c r="M342" s="2" t="s">
        <v>463</v>
      </c>
    </row>
    <row r="343" spans="1:16" ht="13" x14ac:dyDescent="0.15">
      <c r="A343" s="4" t="s">
        <v>1636</v>
      </c>
      <c r="B343" s="3" t="str">
        <f t="shared" si="18"/>
        <v>m.delgado@columbia.edu</v>
      </c>
      <c r="C343" s="3">
        <f t="shared" si="19"/>
        <v>1</v>
      </c>
      <c r="D343" s="5">
        <v>25013250232</v>
      </c>
      <c r="E343" s="4" t="s">
        <v>1637</v>
      </c>
      <c r="F343" s="4" t="s">
        <v>1638</v>
      </c>
      <c r="G343" s="4" t="s">
        <v>34</v>
      </c>
      <c r="H343" s="4"/>
      <c r="I343" s="4" t="s">
        <v>1639</v>
      </c>
      <c r="J343" s="6" t="s">
        <v>1640</v>
      </c>
      <c r="K343" s="4"/>
      <c r="L343" s="4" t="s">
        <v>1641</v>
      </c>
      <c r="M343" s="4"/>
      <c r="N343" s="4"/>
      <c r="O343" s="4"/>
      <c r="P343" s="4" t="str">
        <f>IF(OR(M343="Customer", M343="Opportunity", H343="Yes", H343=TRUE, G343="Yes", G343=TRUE, O343&gt;0), "YES", "NO")</f>
        <v>YES</v>
      </c>
    </row>
    <row r="344" spans="1:16" ht="13" x14ac:dyDescent="0.15">
      <c r="A344" s="4" t="s">
        <v>1642</v>
      </c>
      <c r="B344" s="3" t="str">
        <f t="shared" si="18"/>
        <v>Yes</v>
      </c>
      <c r="C344" s="3">
        <f t="shared" si="19"/>
        <v>446</v>
      </c>
      <c r="D344" s="5">
        <v>11514486163</v>
      </c>
      <c r="E344" s="4" t="s">
        <v>109</v>
      </c>
      <c r="F344" s="4" t="s">
        <v>1643</v>
      </c>
      <c r="G344" s="4"/>
      <c r="H344" s="4" t="s">
        <v>34</v>
      </c>
      <c r="I344" s="4" t="s">
        <v>1644</v>
      </c>
      <c r="J344" s="6" t="s">
        <v>1645</v>
      </c>
      <c r="K344" s="4"/>
      <c r="L344" s="4" t="s">
        <v>1646</v>
      </c>
      <c r="M344" s="4" t="s">
        <v>38</v>
      </c>
      <c r="N344" s="4"/>
      <c r="O344" s="4"/>
      <c r="P344" s="4" t="str">
        <f>IF(OR(M344="Customer", M344="Opportunity", H344="Yes", H344=TRUE, G344="Yes", G344=TRUE, O344&gt;0), "YES", "NO")</f>
        <v>YES</v>
      </c>
    </row>
    <row r="345" spans="1:16" ht="13" x14ac:dyDescent="0.15">
      <c r="A345" s="6" t="s">
        <v>1647</v>
      </c>
      <c r="B345" s="3" t="str">
        <f t="shared" si="18"/>
        <v>Yes</v>
      </c>
      <c r="C345" s="3">
        <f t="shared" si="19"/>
        <v>446</v>
      </c>
      <c r="D345" s="5">
        <v>11513992747</v>
      </c>
      <c r="E345" s="4" t="s">
        <v>1648</v>
      </c>
      <c r="F345" s="4" t="s">
        <v>1649</v>
      </c>
      <c r="G345" s="4"/>
      <c r="H345" s="4" t="s">
        <v>34</v>
      </c>
      <c r="I345" s="4" t="s">
        <v>1650</v>
      </c>
      <c r="J345" s="6" t="s">
        <v>1647</v>
      </c>
      <c r="K345" s="4"/>
      <c r="L345" s="4" t="s">
        <v>990</v>
      </c>
      <c r="M345" s="4" t="s">
        <v>38</v>
      </c>
      <c r="N345" s="4"/>
      <c r="O345" s="4"/>
      <c r="P345" s="4" t="str">
        <f>IF(OR(M345="Customer", M345="Opportunity", H345="Yes", H345=TRUE, G345="Yes", G345=TRUE, O345&gt;0), "YES", "NO")</f>
        <v>YES</v>
      </c>
    </row>
    <row r="346" spans="1:16" ht="13" x14ac:dyDescent="0.15">
      <c r="A346" s="4" t="s">
        <v>1651</v>
      </c>
      <c r="B346" s="3" t="str">
        <f t="shared" si="18"/>
        <v>christopher.castellano@commonspirit.org</v>
      </c>
      <c r="C346" s="3">
        <f t="shared" si="19"/>
        <v>1</v>
      </c>
      <c r="D346" s="5">
        <v>23584008490</v>
      </c>
      <c r="E346" s="4" t="s">
        <v>1652</v>
      </c>
      <c r="F346" s="4" t="s">
        <v>1653</v>
      </c>
      <c r="G346" s="4" t="s">
        <v>34</v>
      </c>
      <c r="H346" s="4"/>
      <c r="I346" s="4" t="s">
        <v>1654</v>
      </c>
      <c r="J346" s="6" t="s">
        <v>1655</v>
      </c>
      <c r="K346" s="4"/>
      <c r="L346" s="4" t="s">
        <v>248</v>
      </c>
      <c r="M346" s="4" t="s">
        <v>1042</v>
      </c>
      <c r="N346" s="4"/>
      <c r="O346" s="4"/>
      <c r="P346" s="4" t="str">
        <f>IF(OR(M346="Customer", M346="Opportunity", H346="Yes", H346=TRUE, G346="Yes", G346=TRUE, O346&gt;0), "YES", "NO")</f>
        <v>YES</v>
      </c>
    </row>
    <row r="347" spans="1:16" ht="15" x14ac:dyDescent="0.2">
      <c r="A347" s="2" t="s">
        <v>1656</v>
      </c>
      <c r="B347" s="3" t="str">
        <f t="shared" si="18"/>
        <v>gmasters@commonspirit.org</v>
      </c>
      <c r="C347" s="3">
        <f t="shared" si="19"/>
        <v>1</v>
      </c>
      <c r="D347" s="2" t="s">
        <v>1657</v>
      </c>
      <c r="E347" s="2" t="s">
        <v>603</v>
      </c>
      <c r="F347" s="2" t="s">
        <v>1658</v>
      </c>
      <c r="I347" s="2" t="s">
        <v>1659</v>
      </c>
      <c r="L347" s="2" t="s">
        <v>1660</v>
      </c>
      <c r="M347" s="2" t="s">
        <v>22</v>
      </c>
    </row>
    <row r="348" spans="1:16" ht="15" x14ac:dyDescent="0.2">
      <c r="A348" s="2" t="s">
        <v>1656</v>
      </c>
      <c r="B348" s="3" t="str">
        <f t="shared" si="18"/>
        <v>phaizlip@commonspirit.org</v>
      </c>
      <c r="C348" s="3">
        <f t="shared" si="19"/>
        <v>1</v>
      </c>
      <c r="D348" s="2" t="s">
        <v>1661</v>
      </c>
      <c r="E348" s="2" t="s">
        <v>583</v>
      </c>
      <c r="F348" s="2" t="s">
        <v>1662</v>
      </c>
      <c r="I348" s="2" t="s">
        <v>1663</v>
      </c>
      <c r="L348" s="2" t="s">
        <v>1664</v>
      </c>
      <c r="M348" s="2" t="s">
        <v>22</v>
      </c>
    </row>
    <row r="349" spans="1:16" ht="15" x14ac:dyDescent="0.2">
      <c r="A349" s="2" t="s">
        <v>1656</v>
      </c>
      <c r="B349" s="3" t="str">
        <f t="shared" si="18"/>
        <v>jpatterson@commonspirit.org</v>
      </c>
      <c r="C349" s="3">
        <f t="shared" si="19"/>
        <v>1</v>
      </c>
      <c r="D349" s="2" t="s">
        <v>1665</v>
      </c>
      <c r="E349" s="2" t="s">
        <v>1666</v>
      </c>
      <c r="F349" s="2" t="s">
        <v>1667</v>
      </c>
      <c r="I349" s="2" t="s">
        <v>1668</v>
      </c>
      <c r="L349" s="2" t="s">
        <v>1669</v>
      </c>
      <c r="M349" s="2" t="s">
        <v>22</v>
      </c>
    </row>
    <row r="350" spans="1:16" ht="15" x14ac:dyDescent="0.2">
      <c r="A350" s="2" t="s">
        <v>1656</v>
      </c>
      <c r="B350" s="3" t="str">
        <f t="shared" si="18"/>
        <v>estein@commonspirit.org</v>
      </c>
      <c r="C350" s="3">
        <f t="shared" si="19"/>
        <v>1</v>
      </c>
      <c r="D350" s="2" t="s">
        <v>1670</v>
      </c>
      <c r="E350" s="2" t="s">
        <v>1671</v>
      </c>
      <c r="F350" s="2" t="s">
        <v>1672</v>
      </c>
      <c r="I350" s="2" t="s">
        <v>1673</v>
      </c>
      <c r="L350" s="2" t="s">
        <v>1674</v>
      </c>
      <c r="M350" s="2" t="s">
        <v>22</v>
      </c>
    </row>
    <row r="351" spans="1:16" ht="15" x14ac:dyDescent="0.2">
      <c r="A351" s="2" t="s">
        <v>1656</v>
      </c>
      <c r="B351" s="3" t="str">
        <f t="shared" si="18"/>
        <v>mlarocque@commonspirit.org</v>
      </c>
      <c r="C351" s="3">
        <f t="shared" si="19"/>
        <v>1</v>
      </c>
      <c r="D351" s="2" t="s">
        <v>1675</v>
      </c>
      <c r="E351" s="2" t="s">
        <v>192</v>
      </c>
      <c r="F351" s="2" t="s">
        <v>1676</v>
      </c>
      <c r="I351" s="2" t="s">
        <v>1677</v>
      </c>
      <c r="L351" s="2" t="s">
        <v>78</v>
      </c>
      <c r="M351" s="2" t="s">
        <v>22</v>
      </c>
    </row>
    <row r="352" spans="1:16" ht="15" x14ac:dyDescent="0.2">
      <c r="A352" s="2" t="s">
        <v>1656</v>
      </c>
      <c r="B352" s="3" t="str">
        <f t="shared" si="18"/>
        <v>nkoukis@commonspirit.org</v>
      </c>
      <c r="C352" s="3">
        <f t="shared" si="19"/>
        <v>1</v>
      </c>
      <c r="D352" s="2" t="s">
        <v>1678</v>
      </c>
      <c r="E352" s="2" t="s">
        <v>1679</v>
      </c>
      <c r="F352" s="2" t="s">
        <v>1680</v>
      </c>
      <c r="I352" s="2" t="s">
        <v>1681</v>
      </c>
      <c r="L352" s="2" t="s">
        <v>1682</v>
      </c>
      <c r="M352" s="2" t="s">
        <v>22</v>
      </c>
    </row>
    <row r="353" spans="1:13" ht="15" x14ac:dyDescent="0.2">
      <c r="A353" s="2" t="s">
        <v>1656</v>
      </c>
      <c r="B353" s="3" t="str">
        <f t="shared" si="18"/>
        <v>jlusco@commonspirit.org</v>
      </c>
      <c r="C353" s="3">
        <f t="shared" si="19"/>
        <v>1</v>
      </c>
      <c r="D353" s="2" t="s">
        <v>1683</v>
      </c>
      <c r="E353" s="2" t="s">
        <v>1075</v>
      </c>
      <c r="F353" s="2" t="s">
        <v>1684</v>
      </c>
      <c r="I353" s="2" t="s">
        <v>1685</v>
      </c>
      <c r="L353" s="2" t="s">
        <v>1686</v>
      </c>
      <c r="M353" s="2" t="s">
        <v>22</v>
      </c>
    </row>
    <row r="354" spans="1:13" ht="15" x14ac:dyDescent="0.2">
      <c r="A354" s="2" t="s">
        <v>1656</v>
      </c>
      <c r="B354" s="3" t="str">
        <f t="shared" si="18"/>
        <v>jbeacham@commonspirit.org</v>
      </c>
      <c r="C354" s="3">
        <f t="shared" si="19"/>
        <v>1</v>
      </c>
      <c r="D354" s="2" t="s">
        <v>1687</v>
      </c>
      <c r="E354" s="2" t="s">
        <v>264</v>
      </c>
      <c r="F354" s="2" t="s">
        <v>1688</v>
      </c>
      <c r="I354" s="2" t="s">
        <v>1689</v>
      </c>
      <c r="L354" s="2" t="s">
        <v>1682</v>
      </c>
      <c r="M354" s="2" t="s">
        <v>22</v>
      </c>
    </row>
    <row r="355" spans="1:13" ht="15" x14ac:dyDescent="0.2">
      <c r="A355" s="2" t="s">
        <v>1656</v>
      </c>
      <c r="B355" s="3" t="str">
        <f t="shared" si="18"/>
        <v>lbrady@commonspirit.org</v>
      </c>
      <c r="C355" s="3">
        <f t="shared" si="19"/>
        <v>1</v>
      </c>
      <c r="D355" s="2" t="s">
        <v>1690</v>
      </c>
      <c r="E355" s="2" t="s">
        <v>1691</v>
      </c>
      <c r="F355" s="2" t="s">
        <v>1692</v>
      </c>
      <c r="I355" s="2" t="s">
        <v>1693</v>
      </c>
      <c r="L355" s="2" t="s">
        <v>1694</v>
      </c>
      <c r="M355" s="2" t="s">
        <v>22</v>
      </c>
    </row>
    <row r="356" spans="1:13" ht="15" x14ac:dyDescent="0.2">
      <c r="A356" s="2" t="s">
        <v>1656</v>
      </c>
      <c r="B356" s="3" t="str">
        <f t="shared" si="18"/>
        <v>alevin@commonspirit.org</v>
      </c>
      <c r="C356" s="3">
        <f t="shared" si="19"/>
        <v>1</v>
      </c>
      <c r="D356" s="2" t="s">
        <v>1695</v>
      </c>
      <c r="E356" s="2" t="s">
        <v>1696</v>
      </c>
      <c r="F356" s="2" t="s">
        <v>1697</v>
      </c>
      <c r="I356" s="2" t="s">
        <v>1698</v>
      </c>
      <c r="L356" s="2" t="s">
        <v>1699</v>
      </c>
      <c r="M356" s="2" t="s">
        <v>22</v>
      </c>
    </row>
    <row r="357" spans="1:13" ht="15" x14ac:dyDescent="0.2">
      <c r="A357" s="2" t="s">
        <v>1656</v>
      </c>
      <c r="B357" s="3" t="str">
        <f t="shared" si="18"/>
        <v>kminer@commonspirit.org</v>
      </c>
      <c r="C357" s="3">
        <f t="shared" si="19"/>
        <v>1</v>
      </c>
      <c r="D357" s="2" t="s">
        <v>1700</v>
      </c>
      <c r="E357" s="2" t="s">
        <v>298</v>
      </c>
      <c r="F357" s="2" t="s">
        <v>1701</v>
      </c>
      <c r="I357" s="2" t="s">
        <v>1702</v>
      </c>
      <c r="L357" s="2" t="s">
        <v>1225</v>
      </c>
      <c r="M357" s="2" t="s">
        <v>22</v>
      </c>
    </row>
    <row r="358" spans="1:13" ht="15" x14ac:dyDescent="0.2">
      <c r="A358" s="2" t="s">
        <v>1656</v>
      </c>
      <c r="B358" s="3" t="str">
        <f t="shared" si="18"/>
        <v>mporter@commonspirit.org</v>
      </c>
      <c r="C358" s="3">
        <f t="shared" si="19"/>
        <v>1</v>
      </c>
      <c r="D358" s="2" t="s">
        <v>1703</v>
      </c>
      <c r="E358" s="2" t="s">
        <v>1704</v>
      </c>
      <c r="F358" s="2" t="s">
        <v>1705</v>
      </c>
      <c r="I358" s="2" t="s">
        <v>1706</v>
      </c>
      <c r="L358" s="2" t="s">
        <v>1707</v>
      </c>
      <c r="M358" s="2" t="s">
        <v>22</v>
      </c>
    </row>
    <row r="359" spans="1:13" ht="15" x14ac:dyDescent="0.2">
      <c r="A359" s="2" t="s">
        <v>1656</v>
      </c>
      <c r="B359" s="3" t="str">
        <f t="shared" si="18"/>
        <v>gdillman@commonspirit.org</v>
      </c>
      <c r="C359" s="3">
        <f t="shared" si="19"/>
        <v>1</v>
      </c>
      <c r="D359" s="2" t="s">
        <v>1708</v>
      </c>
      <c r="E359" s="2" t="s">
        <v>1709</v>
      </c>
      <c r="F359" s="2" t="s">
        <v>1710</v>
      </c>
      <c r="I359" s="2" t="s">
        <v>1711</v>
      </c>
      <c r="L359" s="2" t="s">
        <v>309</v>
      </c>
      <c r="M359" s="2" t="s">
        <v>22</v>
      </c>
    </row>
    <row r="360" spans="1:13" ht="15" x14ac:dyDescent="0.2">
      <c r="A360" s="2" t="s">
        <v>1656</v>
      </c>
      <c r="B360" s="3" t="str">
        <f t="shared" si="18"/>
        <v>mroubini@commonspirit.org</v>
      </c>
      <c r="C360" s="3">
        <f t="shared" si="19"/>
        <v>1</v>
      </c>
      <c r="D360" s="2" t="s">
        <v>1712</v>
      </c>
      <c r="E360" s="2" t="s">
        <v>1713</v>
      </c>
      <c r="F360" s="2" t="s">
        <v>1714</v>
      </c>
      <c r="I360" s="2" t="s">
        <v>1715</v>
      </c>
      <c r="L360" s="2" t="s">
        <v>1716</v>
      </c>
      <c r="M360" s="2" t="s">
        <v>22</v>
      </c>
    </row>
    <row r="361" spans="1:13" ht="15" x14ac:dyDescent="0.2">
      <c r="A361" s="2" t="s">
        <v>1656</v>
      </c>
      <c r="B361" s="3" t="str">
        <f t="shared" si="18"/>
        <v>czvolensky@commonspirit.org</v>
      </c>
      <c r="C361" s="3">
        <f t="shared" si="19"/>
        <v>1</v>
      </c>
      <c r="D361" s="2" t="s">
        <v>1717</v>
      </c>
      <c r="E361" s="2" t="s">
        <v>1652</v>
      </c>
      <c r="F361" s="2" t="s">
        <v>1718</v>
      </c>
      <c r="I361" s="2" t="s">
        <v>1719</v>
      </c>
      <c r="L361" s="2" t="s">
        <v>1720</v>
      </c>
      <c r="M361" s="2" t="s">
        <v>22</v>
      </c>
    </row>
    <row r="362" spans="1:13" ht="15" x14ac:dyDescent="0.2">
      <c r="A362" s="2" t="s">
        <v>1656</v>
      </c>
      <c r="B362" s="3" t="str">
        <f t="shared" si="18"/>
        <v>kmatthews@commonspirit.org</v>
      </c>
      <c r="C362" s="3">
        <f t="shared" si="19"/>
        <v>1</v>
      </c>
      <c r="D362" s="2" t="s">
        <v>1721</v>
      </c>
      <c r="E362" s="2" t="s">
        <v>1722</v>
      </c>
      <c r="F362" s="2" t="s">
        <v>1723</v>
      </c>
      <c r="I362" s="2" t="s">
        <v>1724</v>
      </c>
      <c r="L362" s="2" t="s">
        <v>1725</v>
      </c>
      <c r="M362" s="2" t="s">
        <v>22</v>
      </c>
    </row>
    <row r="363" spans="1:13" ht="15" x14ac:dyDescent="0.2">
      <c r="A363" s="2" t="s">
        <v>1656</v>
      </c>
      <c r="B363" s="3" t="str">
        <f t="shared" si="18"/>
        <v>mtedeschi@commonspirit.org</v>
      </c>
      <c r="C363" s="3">
        <f t="shared" si="19"/>
        <v>1</v>
      </c>
      <c r="D363" s="2" t="s">
        <v>1726</v>
      </c>
      <c r="E363" s="2" t="s">
        <v>1727</v>
      </c>
      <c r="F363" s="2" t="s">
        <v>1728</v>
      </c>
      <c r="I363" s="2" t="s">
        <v>1729</v>
      </c>
      <c r="L363" s="2" t="s">
        <v>1730</v>
      </c>
      <c r="M363" s="2" t="s">
        <v>22</v>
      </c>
    </row>
    <row r="364" spans="1:13" ht="15" x14ac:dyDescent="0.2">
      <c r="A364" s="2" t="s">
        <v>1656</v>
      </c>
      <c r="B364" s="3" t="str">
        <f t="shared" si="18"/>
        <v>hzepeda@commonspirit.org</v>
      </c>
      <c r="C364" s="3">
        <f t="shared" si="19"/>
        <v>1</v>
      </c>
      <c r="D364" s="2" t="s">
        <v>1731</v>
      </c>
      <c r="E364" s="2" t="s">
        <v>1732</v>
      </c>
      <c r="F364" s="2" t="s">
        <v>1733</v>
      </c>
      <c r="I364" s="2" t="s">
        <v>1734</v>
      </c>
      <c r="L364" s="2" t="s">
        <v>1735</v>
      </c>
      <c r="M364" s="2" t="s">
        <v>22</v>
      </c>
    </row>
    <row r="365" spans="1:13" ht="15" x14ac:dyDescent="0.2">
      <c r="A365" s="2" t="s">
        <v>1656</v>
      </c>
      <c r="B365" s="3" t="str">
        <f t="shared" si="18"/>
        <v>kweaver@commonspirit.org</v>
      </c>
      <c r="C365" s="3">
        <f t="shared" si="19"/>
        <v>1</v>
      </c>
      <c r="D365" s="2" t="s">
        <v>1736</v>
      </c>
      <c r="E365" s="2" t="s">
        <v>726</v>
      </c>
      <c r="F365" s="2" t="s">
        <v>1737</v>
      </c>
      <c r="I365" s="2" t="s">
        <v>1738</v>
      </c>
      <c r="L365" s="2" t="s">
        <v>1739</v>
      </c>
      <c r="M365" s="2" t="s">
        <v>22</v>
      </c>
    </row>
    <row r="366" spans="1:13" ht="15" x14ac:dyDescent="0.2">
      <c r="A366" s="2" t="s">
        <v>1656</v>
      </c>
      <c r="B366" s="3" t="str">
        <f t="shared" si="18"/>
        <v>dboard@commonspirit.org</v>
      </c>
      <c r="C366" s="3">
        <f t="shared" si="19"/>
        <v>1</v>
      </c>
      <c r="D366" s="2" t="s">
        <v>1740</v>
      </c>
      <c r="E366" s="2" t="s">
        <v>1741</v>
      </c>
      <c r="F366" s="2" t="s">
        <v>1742</v>
      </c>
      <c r="I366" s="2" t="s">
        <v>1743</v>
      </c>
      <c r="L366" s="2" t="s">
        <v>1744</v>
      </c>
      <c r="M366" s="2" t="s">
        <v>22</v>
      </c>
    </row>
    <row r="367" spans="1:13" ht="15" x14ac:dyDescent="0.2">
      <c r="A367" s="2" t="s">
        <v>1656</v>
      </c>
      <c r="B367" s="3" t="str">
        <f t="shared" si="18"/>
        <v>astewart@commonspirit.org</v>
      </c>
      <c r="C367" s="3">
        <f t="shared" si="19"/>
        <v>1</v>
      </c>
      <c r="D367" s="2" t="s">
        <v>1745</v>
      </c>
      <c r="E367" s="2" t="s">
        <v>928</v>
      </c>
      <c r="F367" s="2" t="s">
        <v>1341</v>
      </c>
      <c r="I367" s="2" t="s">
        <v>1746</v>
      </c>
      <c r="L367" s="2" t="s">
        <v>1747</v>
      </c>
      <c r="M367" s="2" t="s">
        <v>22</v>
      </c>
    </row>
    <row r="368" spans="1:13" ht="15" x14ac:dyDescent="0.2">
      <c r="A368" s="2" t="s">
        <v>1656</v>
      </c>
      <c r="B368" s="3" t="str">
        <f t="shared" si="18"/>
        <v>bstahl@commonspirit.org</v>
      </c>
      <c r="C368" s="3">
        <f t="shared" si="19"/>
        <v>1</v>
      </c>
      <c r="D368" s="2" t="s">
        <v>1748</v>
      </c>
      <c r="E368" s="2" t="s">
        <v>1749</v>
      </c>
      <c r="F368" s="2" t="s">
        <v>1750</v>
      </c>
      <c r="I368" s="2" t="s">
        <v>1751</v>
      </c>
      <c r="L368" s="2" t="s">
        <v>132</v>
      </c>
      <c r="M368" s="2" t="s">
        <v>22</v>
      </c>
    </row>
    <row r="369" spans="1:13" ht="15" x14ac:dyDescent="0.2">
      <c r="A369" s="2" t="s">
        <v>1656</v>
      </c>
      <c r="B369" s="3" t="str">
        <f t="shared" si="18"/>
        <v>egriswold@commonspirit.org</v>
      </c>
      <c r="C369" s="3">
        <f t="shared" si="19"/>
        <v>1</v>
      </c>
      <c r="D369" s="2" t="s">
        <v>1752</v>
      </c>
      <c r="E369" s="2" t="s">
        <v>109</v>
      </c>
      <c r="F369" s="2" t="s">
        <v>1753</v>
      </c>
      <c r="I369" s="2" t="s">
        <v>1754</v>
      </c>
      <c r="L369" s="2" t="s">
        <v>1755</v>
      </c>
      <c r="M369" s="2" t="s">
        <v>22</v>
      </c>
    </row>
    <row r="370" spans="1:13" ht="15" x14ac:dyDescent="0.2">
      <c r="A370" s="2" t="s">
        <v>1656</v>
      </c>
      <c r="B370" s="3" t="str">
        <f t="shared" si="18"/>
        <v>asinghania@commonspirit.org</v>
      </c>
      <c r="C370" s="3">
        <f t="shared" si="19"/>
        <v>1</v>
      </c>
      <c r="D370" s="2" t="s">
        <v>1756</v>
      </c>
      <c r="E370" s="2" t="s">
        <v>1757</v>
      </c>
      <c r="F370" s="2" t="s">
        <v>1758</v>
      </c>
      <c r="I370" s="2" t="s">
        <v>1759</v>
      </c>
      <c r="L370" s="2" t="s">
        <v>1760</v>
      </c>
      <c r="M370" s="2" t="s">
        <v>22</v>
      </c>
    </row>
    <row r="371" spans="1:13" ht="15" x14ac:dyDescent="0.2">
      <c r="A371" s="2" t="s">
        <v>1656</v>
      </c>
      <c r="B371" s="3" t="str">
        <f t="shared" si="18"/>
        <v>cwarland@commonspirit.org</v>
      </c>
      <c r="C371" s="3">
        <f t="shared" si="19"/>
        <v>1</v>
      </c>
      <c r="D371" s="2" t="s">
        <v>1761</v>
      </c>
      <c r="E371" s="2" t="s">
        <v>1762</v>
      </c>
      <c r="F371" s="2" t="s">
        <v>1763</v>
      </c>
      <c r="I371" s="2" t="s">
        <v>1764</v>
      </c>
      <c r="L371" s="2" t="s">
        <v>132</v>
      </c>
      <c r="M371" s="2" t="s">
        <v>22</v>
      </c>
    </row>
    <row r="372" spans="1:13" ht="15" x14ac:dyDescent="0.2">
      <c r="A372" s="2" t="s">
        <v>1656</v>
      </c>
      <c r="B372" s="3" t="str">
        <f t="shared" si="18"/>
        <v>ascorsone@commonspirit.org</v>
      </c>
      <c r="C372" s="3">
        <f t="shared" si="19"/>
        <v>1</v>
      </c>
      <c r="D372" s="2" t="s">
        <v>1765</v>
      </c>
      <c r="E372" s="2" t="s">
        <v>1766</v>
      </c>
      <c r="F372" s="2" t="s">
        <v>1767</v>
      </c>
      <c r="I372" s="2" t="s">
        <v>1768</v>
      </c>
      <c r="L372" s="2" t="s">
        <v>1769</v>
      </c>
      <c r="M372" s="2" t="s">
        <v>22</v>
      </c>
    </row>
    <row r="373" spans="1:13" ht="15" x14ac:dyDescent="0.2">
      <c r="A373" s="2" t="s">
        <v>1656</v>
      </c>
      <c r="B373" s="3" t="str">
        <f t="shared" si="18"/>
        <v>dsanchez@commonspirit.org</v>
      </c>
      <c r="C373" s="3">
        <f t="shared" si="19"/>
        <v>1</v>
      </c>
      <c r="D373" s="2" t="s">
        <v>1770</v>
      </c>
      <c r="E373" s="2" t="s">
        <v>1771</v>
      </c>
      <c r="F373" s="2" t="s">
        <v>1772</v>
      </c>
      <c r="I373" s="2" t="s">
        <v>1773</v>
      </c>
      <c r="L373" s="2" t="s">
        <v>1774</v>
      </c>
      <c r="M373" s="2" t="s">
        <v>22</v>
      </c>
    </row>
    <row r="374" spans="1:13" ht="15" x14ac:dyDescent="0.2">
      <c r="A374" s="2" t="s">
        <v>1656</v>
      </c>
      <c r="B374" s="3" t="str">
        <f t="shared" si="18"/>
        <v>jerickson@commonspirit.org</v>
      </c>
      <c r="C374" s="3">
        <f t="shared" si="19"/>
        <v>1</v>
      </c>
      <c r="D374" s="2" t="s">
        <v>1775</v>
      </c>
      <c r="E374" s="2" t="s">
        <v>94</v>
      </c>
      <c r="F374" s="2" t="s">
        <v>1776</v>
      </c>
      <c r="I374" s="2" t="s">
        <v>1777</v>
      </c>
      <c r="L374" s="2" t="s">
        <v>309</v>
      </c>
      <c r="M374" s="2" t="s">
        <v>22</v>
      </c>
    </row>
    <row r="375" spans="1:13" ht="15" x14ac:dyDescent="0.2">
      <c r="A375" s="2" t="s">
        <v>1656</v>
      </c>
      <c r="B375" s="3" t="str">
        <f t="shared" si="18"/>
        <v>mo@commonspirit.org</v>
      </c>
      <c r="C375" s="3">
        <f t="shared" si="19"/>
        <v>1</v>
      </c>
      <c r="D375" s="2" t="s">
        <v>1778</v>
      </c>
      <c r="E375" s="2" t="s">
        <v>59</v>
      </c>
      <c r="F375" s="2" t="s">
        <v>1779</v>
      </c>
      <c r="I375" s="2" t="s">
        <v>1780</v>
      </c>
      <c r="L375" s="2" t="s">
        <v>1781</v>
      </c>
      <c r="M375" s="2" t="s">
        <v>22</v>
      </c>
    </row>
    <row r="376" spans="1:13" ht="15" x14ac:dyDescent="0.2">
      <c r="A376" s="2" t="s">
        <v>1656</v>
      </c>
      <c r="B376" s="3" t="str">
        <f t="shared" si="18"/>
        <v>aislam@commonspirit.org</v>
      </c>
      <c r="C376" s="3">
        <f t="shared" si="19"/>
        <v>1</v>
      </c>
      <c r="D376" s="2" t="s">
        <v>1782</v>
      </c>
      <c r="E376" s="2" t="s">
        <v>1783</v>
      </c>
      <c r="F376" s="2" t="s">
        <v>1784</v>
      </c>
      <c r="I376" s="2" t="s">
        <v>1785</v>
      </c>
      <c r="L376" s="2" t="s">
        <v>68</v>
      </c>
      <c r="M376" s="2" t="s">
        <v>22</v>
      </c>
    </row>
    <row r="377" spans="1:13" ht="15" x14ac:dyDescent="0.2">
      <c r="A377" s="2" t="s">
        <v>1656</v>
      </c>
      <c r="B377" s="3" t="str">
        <f t="shared" si="18"/>
        <v>nviellenave@commonspirit.org</v>
      </c>
      <c r="C377" s="3">
        <f t="shared" si="19"/>
        <v>1</v>
      </c>
      <c r="D377" s="2" t="s">
        <v>1786</v>
      </c>
      <c r="E377" s="2" t="s">
        <v>1787</v>
      </c>
      <c r="F377" s="2" t="s">
        <v>1788</v>
      </c>
      <c r="I377" s="2" t="s">
        <v>1789</v>
      </c>
      <c r="L377" s="2" t="s">
        <v>1790</v>
      </c>
      <c r="M377" s="2" t="s">
        <v>22</v>
      </c>
    </row>
    <row r="378" spans="1:13" ht="15" x14ac:dyDescent="0.2">
      <c r="A378" s="2" t="s">
        <v>1656</v>
      </c>
      <c r="B378" s="3" t="str">
        <f t="shared" si="18"/>
        <v>ebarnes@commonspirit.org</v>
      </c>
      <c r="C378" s="3">
        <f t="shared" si="19"/>
        <v>1</v>
      </c>
      <c r="D378" s="2" t="s">
        <v>1791</v>
      </c>
      <c r="E378" s="2" t="s">
        <v>409</v>
      </c>
      <c r="F378" s="2" t="s">
        <v>1792</v>
      </c>
      <c r="I378" s="2" t="s">
        <v>1793</v>
      </c>
      <c r="L378" s="2" t="s">
        <v>78</v>
      </c>
      <c r="M378" s="2" t="s">
        <v>22</v>
      </c>
    </row>
    <row r="379" spans="1:13" ht="15" x14ac:dyDescent="0.2">
      <c r="A379" s="2" t="s">
        <v>1656</v>
      </c>
      <c r="B379" s="3" t="str">
        <f t="shared" si="18"/>
        <v>kmusyoki@commonspirit.org</v>
      </c>
      <c r="C379" s="3">
        <f t="shared" si="19"/>
        <v>1</v>
      </c>
      <c r="D379" s="2" t="s">
        <v>1794</v>
      </c>
      <c r="E379" s="2" t="s">
        <v>726</v>
      </c>
      <c r="F379" s="2" t="s">
        <v>1795</v>
      </c>
      <c r="I379" s="2" t="s">
        <v>1796</v>
      </c>
      <c r="L379" s="2" t="s">
        <v>132</v>
      </c>
      <c r="M379" s="2" t="s">
        <v>22</v>
      </c>
    </row>
    <row r="380" spans="1:13" ht="15" x14ac:dyDescent="0.2">
      <c r="A380" s="2" t="s">
        <v>1656</v>
      </c>
      <c r="B380" s="3" t="str">
        <f t="shared" si="18"/>
        <v>jhernandez@commonspirit.org</v>
      </c>
      <c r="C380" s="3">
        <f t="shared" si="19"/>
        <v>1</v>
      </c>
      <c r="D380" s="2" t="s">
        <v>1797</v>
      </c>
      <c r="E380" s="2" t="s">
        <v>139</v>
      </c>
      <c r="F380" s="2" t="s">
        <v>1798</v>
      </c>
      <c r="I380" s="2" t="s">
        <v>1799</v>
      </c>
      <c r="L380" s="2" t="s">
        <v>1800</v>
      </c>
      <c r="M380" s="2" t="s">
        <v>22</v>
      </c>
    </row>
    <row r="381" spans="1:13" ht="15" x14ac:dyDescent="0.2">
      <c r="A381" s="2" t="s">
        <v>1656</v>
      </c>
      <c r="B381" s="3" t="str">
        <f t="shared" si="18"/>
        <v>cparrish@commonspirit.org</v>
      </c>
      <c r="C381" s="3">
        <f t="shared" si="19"/>
        <v>1</v>
      </c>
      <c r="D381" s="2" t="s">
        <v>1801</v>
      </c>
      <c r="E381" s="2" t="s">
        <v>1802</v>
      </c>
      <c r="F381" s="2" t="s">
        <v>1803</v>
      </c>
      <c r="I381" s="2" t="s">
        <v>1804</v>
      </c>
      <c r="L381" s="2" t="s">
        <v>1805</v>
      </c>
      <c r="M381" s="2" t="s">
        <v>22</v>
      </c>
    </row>
    <row r="382" spans="1:13" ht="15" x14ac:dyDescent="0.2">
      <c r="A382" s="2" t="s">
        <v>1656</v>
      </c>
      <c r="B382" s="3" t="str">
        <f t="shared" si="18"/>
        <v>jarzate@commonspirit.org</v>
      </c>
      <c r="C382" s="3">
        <f t="shared" si="19"/>
        <v>1</v>
      </c>
      <c r="D382" s="2" t="s">
        <v>1806</v>
      </c>
      <c r="E382" s="2" t="s">
        <v>187</v>
      </c>
      <c r="F382" s="2" t="s">
        <v>1807</v>
      </c>
      <c r="I382" s="2" t="s">
        <v>1808</v>
      </c>
      <c r="L382" s="2" t="s">
        <v>1809</v>
      </c>
      <c r="M382" s="2" t="s">
        <v>22</v>
      </c>
    </row>
    <row r="383" spans="1:13" ht="15" x14ac:dyDescent="0.2">
      <c r="A383" s="2" t="s">
        <v>1656</v>
      </c>
      <c r="B383" s="3" t="str">
        <f t="shared" si="18"/>
        <v>aleboeuf@commonspirit.org</v>
      </c>
      <c r="C383" s="3">
        <f t="shared" si="19"/>
        <v>1</v>
      </c>
      <c r="D383" s="2" t="s">
        <v>1810</v>
      </c>
      <c r="E383" s="2" t="s">
        <v>293</v>
      </c>
      <c r="F383" s="2" t="s">
        <v>1811</v>
      </c>
      <c r="I383" s="2" t="s">
        <v>1812</v>
      </c>
      <c r="L383" s="2" t="s">
        <v>78</v>
      </c>
      <c r="M383" s="2" t="s">
        <v>22</v>
      </c>
    </row>
    <row r="384" spans="1:13" ht="15" x14ac:dyDescent="0.2">
      <c r="A384" s="2" t="s">
        <v>1656</v>
      </c>
      <c r="B384" s="3" t="str">
        <f t="shared" si="18"/>
        <v>pmerkner@commonspirit.org</v>
      </c>
      <c r="C384" s="3">
        <f t="shared" si="19"/>
        <v>1</v>
      </c>
      <c r="D384" s="2" t="s">
        <v>1813</v>
      </c>
      <c r="E384" s="2" t="s">
        <v>1814</v>
      </c>
      <c r="F384" s="2" t="s">
        <v>1815</v>
      </c>
      <c r="I384" s="2" t="s">
        <v>1816</v>
      </c>
      <c r="L384" s="2" t="s">
        <v>1817</v>
      </c>
      <c r="M384" s="2" t="s">
        <v>22</v>
      </c>
    </row>
    <row r="385" spans="1:13" ht="15" x14ac:dyDescent="0.2">
      <c r="A385" s="2" t="s">
        <v>1656</v>
      </c>
      <c r="B385" s="3" t="str">
        <f t="shared" si="18"/>
        <v>cxiong@commonspirit.org</v>
      </c>
      <c r="C385" s="3">
        <f t="shared" si="19"/>
        <v>1</v>
      </c>
      <c r="D385" s="2" t="s">
        <v>1818</v>
      </c>
      <c r="E385" s="2" t="s">
        <v>143</v>
      </c>
      <c r="F385" s="2" t="s">
        <v>1819</v>
      </c>
      <c r="I385" s="2" t="s">
        <v>1820</v>
      </c>
      <c r="L385" s="2" t="s">
        <v>1821</v>
      </c>
      <c r="M385" s="2" t="s">
        <v>22</v>
      </c>
    </row>
    <row r="386" spans="1:13" ht="15" x14ac:dyDescent="0.2">
      <c r="A386" s="2" t="s">
        <v>1656</v>
      </c>
      <c r="B386" s="3" t="str">
        <f t="shared" ref="B386:B449" si="21">IF(H386&lt;&gt;"",H386,I386)</f>
        <v>lmahoney@commonspirit.org</v>
      </c>
      <c r="C386" s="3">
        <f t="shared" ref="C386:C449" si="22">COUNTIF($B$2:$B$1586,B386)</f>
        <v>1</v>
      </c>
      <c r="D386" s="2" t="s">
        <v>1822</v>
      </c>
      <c r="E386" s="2" t="s">
        <v>1823</v>
      </c>
      <c r="F386" s="2" t="s">
        <v>1824</v>
      </c>
      <c r="I386" s="2" t="s">
        <v>1825</v>
      </c>
      <c r="L386" s="2" t="s">
        <v>1826</v>
      </c>
      <c r="M386" s="2" t="s">
        <v>22</v>
      </c>
    </row>
    <row r="387" spans="1:13" ht="15" x14ac:dyDescent="0.2">
      <c r="A387" s="2" t="s">
        <v>1656</v>
      </c>
      <c r="B387" s="3" t="str">
        <f t="shared" si="21"/>
        <v>aopland@commonspirit.org</v>
      </c>
      <c r="C387" s="3">
        <f t="shared" si="22"/>
        <v>1</v>
      </c>
      <c r="D387" s="2" t="s">
        <v>1827</v>
      </c>
      <c r="E387" s="2" t="s">
        <v>245</v>
      </c>
      <c r="F387" s="2" t="s">
        <v>1828</v>
      </c>
      <c r="I387" s="2" t="s">
        <v>1829</v>
      </c>
      <c r="L387" s="2" t="s">
        <v>1830</v>
      </c>
      <c r="M387" s="2" t="s">
        <v>22</v>
      </c>
    </row>
    <row r="388" spans="1:13" ht="15" x14ac:dyDescent="0.2">
      <c r="A388" s="2" t="s">
        <v>1656</v>
      </c>
      <c r="B388" s="3" t="str">
        <f t="shared" si="21"/>
        <v>puprety@commonspirit.org</v>
      </c>
      <c r="C388" s="3">
        <f t="shared" si="22"/>
        <v>1</v>
      </c>
      <c r="D388" s="2" t="s">
        <v>1831</v>
      </c>
      <c r="E388" s="2" t="s">
        <v>1832</v>
      </c>
      <c r="F388" s="2" t="s">
        <v>1833</v>
      </c>
      <c r="I388" s="2" t="s">
        <v>1834</v>
      </c>
      <c r="L388" s="2" t="s">
        <v>1835</v>
      </c>
      <c r="M388" s="2" t="s">
        <v>22</v>
      </c>
    </row>
    <row r="389" spans="1:13" ht="15" x14ac:dyDescent="0.2">
      <c r="A389" s="2" t="s">
        <v>1656</v>
      </c>
      <c r="B389" s="3" t="str">
        <f t="shared" si="21"/>
        <v>cmiller@commonspirit.org</v>
      </c>
      <c r="C389" s="3">
        <f t="shared" si="22"/>
        <v>1</v>
      </c>
      <c r="D389" s="2" t="s">
        <v>1836</v>
      </c>
      <c r="E389" s="2" t="s">
        <v>1652</v>
      </c>
      <c r="F389" s="2" t="s">
        <v>712</v>
      </c>
      <c r="I389" s="2" t="s">
        <v>1837</v>
      </c>
      <c r="L389" s="2" t="s">
        <v>1838</v>
      </c>
      <c r="M389" s="2" t="s">
        <v>22</v>
      </c>
    </row>
    <row r="390" spans="1:13" ht="15" x14ac:dyDescent="0.2">
      <c r="A390" s="2" t="s">
        <v>1656</v>
      </c>
      <c r="B390" s="3" t="str">
        <f t="shared" si="21"/>
        <v>nsmith@commonspirit.org</v>
      </c>
      <c r="C390" s="3">
        <f t="shared" si="22"/>
        <v>1</v>
      </c>
      <c r="D390" s="2" t="s">
        <v>1839</v>
      </c>
      <c r="E390" s="2" t="s">
        <v>1840</v>
      </c>
      <c r="F390" s="2" t="s">
        <v>1420</v>
      </c>
      <c r="I390" s="2" t="s">
        <v>1841</v>
      </c>
      <c r="L390" s="2" t="s">
        <v>1842</v>
      </c>
      <c r="M390" s="2" t="s">
        <v>22</v>
      </c>
    </row>
    <row r="391" spans="1:13" ht="15" x14ac:dyDescent="0.2">
      <c r="A391" s="2" t="s">
        <v>1656</v>
      </c>
      <c r="B391" s="3" t="str">
        <f t="shared" si="21"/>
        <v>dassuah@commonspirit.org</v>
      </c>
      <c r="C391" s="3">
        <f t="shared" si="22"/>
        <v>1</v>
      </c>
      <c r="D391" s="2" t="s">
        <v>1843</v>
      </c>
      <c r="E391" s="2" t="s">
        <v>1844</v>
      </c>
      <c r="F391" s="2" t="s">
        <v>1845</v>
      </c>
      <c r="I391" s="2" t="s">
        <v>1846</v>
      </c>
      <c r="L391" s="2" t="s">
        <v>1847</v>
      </c>
      <c r="M391" s="2" t="s">
        <v>22</v>
      </c>
    </row>
    <row r="392" spans="1:13" ht="15" x14ac:dyDescent="0.2">
      <c r="A392" s="2" t="s">
        <v>1656</v>
      </c>
      <c r="B392" s="3" t="str">
        <f t="shared" si="21"/>
        <v>bhubbard@commonspirit.org</v>
      </c>
      <c r="C392" s="3">
        <f t="shared" si="22"/>
        <v>1</v>
      </c>
      <c r="D392" s="2" t="s">
        <v>1848</v>
      </c>
      <c r="E392" s="2" t="s">
        <v>1849</v>
      </c>
      <c r="F392" s="2" t="s">
        <v>1850</v>
      </c>
      <c r="I392" s="2" t="s">
        <v>1851</v>
      </c>
      <c r="L392" s="2" t="s">
        <v>1852</v>
      </c>
      <c r="M392" s="2" t="s">
        <v>22</v>
      </c>
    </row>
    <row r="393" spans="1:13" ht="15" x14ac:dyDescent="0.2">
      <c r="A393" s="2" t="s">
        <v>1656</v>
      </c>
      <c r="B393" s="3" t="str">
        <f t="shared" si="21"/>
        <v>jpineda@commonspirit.org</v>
      </c>
      <c r="C393" s="3">
        <f t="shared" si="22"/>
        <v>1</v>
      </c>
      <c r="D393" s="2" t="s">
        <v>1853</v>
      </c>
      <c r="E393" s="2" t="s">
        <v>1384</v>
      </c>
      <c r="F393" s="2" t="s">
        <v>1854</v>
      </c>
      <c r="I393" s="2" t="s">
        <v>1855</v>
      </c>
      <c r="L393" s="2" t="s">
        <v>1856</v>
      </c>
      <c r="M393" s="2" t="s">
        <v>22</v>
      </c>
    </row>
    <row r="394" spans="1:13" ht="15" x14ac:dyDescent="0.2">
      <c r="A394" s="2" t="s">
        <v>1656</v>
      </c>
      <c r="B394" s="3" t="str">
        <f t="shared" si="21"/>
        <v>dkinder@commonspirit.org</v>
      </c>
      <c r="C394" s="3">
        <f t="shared" si="22"/>
        <v>1</v>
      </c>
      <c r="D394" s="2" t="s">
        <v>1857</v>
      </c>
      <c r="E394" s="2" t="s">
        <v>1858</v>
      </c>
      <c r="F394" s="2" t="s">
        <v>1859</v>
      </c>
      <c r="I394" s="2" t="s">
        <v>1860</v>
      </c>
      <c r="L394" s="2" t="s">
        <v>1861</v>
      </c>
      <c r="M394" s="2" t="s">
        <v>22</v>
      </c>
    </row>
    <row r="395" spans="1:13" ht="15" x14ac:dyDescent="0.2">
      <c r="A395" s="2" t="s">
        <v>1656</v>
      </c>
      <c r="B395" s="3" t="str">
        <f t="shared" si="21"/>
        <v>mshevchuk@commonspirit.org</v>
      </c>
      <c r="C395" s="3">
        <f t="shared" si="22"/>
        <v>1</v>
      </c>
      <c r="D395" s="2" t="s">
        <v>1862</v>
      </c>
      <c r="E395" s="2" t="s">
        <v>1863</v>
      </c>
      <c r="F395" s="2" t="s">
        <v>1864</v>
      </c>
      <c r="I395" s="2" t="s">
        <v>1865</v>
      </c>
      <c r="L395" s="2" t="s">
        <v>1866</v>
      </c>
      <c r="M395" s="2" t="s">
        <v>22</v>
      </c>
    </row>
    <row r="396" spans="1:13" ht="15" x14ac:dyDescent="0.2">
      <c r="A396" s="2" t="s">
        <v>1656</v>
      </c>
      <c r="B396" s="3" t="str">
        <f t="shared" si="21"/>
        <v>csuazo@commonspirit.org</v>
      </c>
      <c r="C396" s="3">
        <f t="shared" si="22"/>
        <v>1</v>
      </c>
      <c r="D396" s="2" t="s">
        <v>1867</v>
      </c>
      <c r="E396" s="2" t="s">
        <v>1868</v>
      </c>
      <c r="F396" s="2" t="s">
        <v>1869</v>
      </c>
      <c r="I396" s="2" t="s">
        <v>1870</v>
      </c>
      <c r="L396" s="2" t="s">
        <v>1871</v>
      </c>
      <c r="M396" s="2" t="s">
        <v>22</v>
      </c>
    </row>
    <row r="397" spans="1:13" ht="15" x14ac:dyDescent="0.2">
      <c r="A397" s="2" t="s">
        <v>1656</v>
      </c>
      <c r="B397" s="3" t="str">
        <f t="shared" si="21"/>
        <v>abeebout@commonspirit.org</v>
      </c>
      <c r="C397" s="3">
        <f t="shared" si="22"/>
        <v>1</v>
      </c>
      <c r="D397" s="2" t="s">
        <v>1872</v>
      </c>
      <c r="E397" s="2" t="s">
        <v>358</v>
      </c>
      <c r="F397" s="2" t="s">
        <v>1873</v>
      </c>
      <c r="I397" s="2" t="s">
        <v>1874</v>
      </c>
      <c r="L397" s="2" t="s">
        <v>1875</v>
      </c>
      <c r="M397" s="2" t="s">
        <v>22</v>
      </c>
    </row>
    <row r="398" spans="1:13" ht="15" x14ac:dyDescent="0.2">
      <c r="A398" s="2" t="s">
        <v>1656</v>
      </c>
      <c r="B398" s="3" t="str">
        <f t="shared" si="21"/>
        <v>dlevy@commonspirit.org</v>
      </c>
      <c r="C398" s="3">
        <f t="shared" si="22"/>
        <v>1</v>
      </c>
      <c r="D398" s="2" t="s">
        <v>1876</v>
      </c>
      <c r="E398" s="2" t="s">
        <v>1465</v>
      </c>
      <c r="F398" s="2" t="s">
        <v>1877</v>
      </c>
      <c r="I398" s="2" t="s">
        <v>1878</v>
      </c>
      <c r="L398" s="2" t="s">
        <v>132</v>
      </c>
      <c r="M398" s="2" t="s">
        <v>22</v>
      </c>
    </row>
    <row r="399" spans="1:13" ht="15" x14ac:dyDescent="0.2">
      <c r="A399" s="2" t="s">
        <v>1656</v>
      </c>
      <c r="B399" s="3" t="str">
        <f t="shared" si="21"/>
        <v>jcox@commonspirit.org</v>
      </c>
      <c r="C399" s="3">
        <f t="shared" si="22"/>
        <v>1</v>
      </c>
      <c r="D399" s="2" t="s">
        <v>1879</v>
      </c>
      <c r="E399" s="2" t="s">
        <v>405</v>
      </c>
      <c r="F399" s="2" t="s">
        <v>1880</v>
      </c>
      <c r="I399" s="2" t="s">
        <v>1881</v>
      </c>
      <c r="L399" s="2" t="s">
        <v>1882</v>
      </c>
      <c r="M399" s="2" t="s">
        <v>22</v>
      </c>
    </row>
    <row r="400" spans="1:13" ht="15" x14ac:dyDescent="0.2">
      <c r="A400" s="2" t="s">
        <v>1656</v>
      </c>
      <c r="B400" s="3" t="str">
        <f t="shared" si="21"/>
        <v>jbradley@commonspirit.org</v>
      </c>
      <c r="C400" s="3">
        <f t="shared" si="22"/>
        <v>1</v>
      </c>
      <c r="D400" s="2" t="s">
        <v>1883</v>
      </c>
      <c r="E400" s="2" t="s">
        <v>1884</v>
      </c>
      <c r="F400" s="2" t="s">
        <v>1552</v>
      </c>
      <c r="I400" s="2" t="s">
        <v>1885</v>
      </c>
      <c r="L400" s="2" t="s">
        <v>127</v>
      </c>
      <c r="M400" s="2" t="s">
        <v>22</v>
      </c>
    </row>
    <row r="401" spans="1:13" ht="15" x14ac:dyDescent="0.2">
      <c r="A401" s="2" t="s">
        <v>1656</v>
      </c>
      <c r="B401" s="3" t="str">
        <f t="shared" si="21"/>
        <v>mmarshall@commonspirit.org</v>
      </c>
      <c r="C401" s="3">
        <f t="shared" si="22"/>
        <v>1</v>
      </c>
      <c r="D401" s="2" t="s">
        <v>1886</v>
      </c>
      <c r="E401" s="2" t="s">
        <v>59</v>
      </c>
      <c r="F401" s="2" t="s">
        <v>1887</v>
      </c>
      <c r="I401" s="2" t="s">
        <v>1888</v>
      </c>
      <c r="L401" s="2" t="s">
        <v>132</v>
      </c>
      <c r="M401" s="2" t="s">
        <v>22</v>
      </c>
    </row>
    <row r="402" spans="1:13" ht="15" x14ac:dyDescent="0.2">
      <c r="A402" s="2" t="s">
        <v>1656</v>
      </c>
      <c r="B402" s="3" t="str">
        <f t="shared" si="21"/>
        <v>lhampton@commonspirit.org</v>
      </c>
      <c r="C402" s="3">
        <f t="shared" si="22"/>
        <v>1</v>
      </c>
      <c r="D402" s="2" t="s">
        <v>1889</v>
      </c>
      <c r="E402" s="2" t="s">
        <v>1890</v>
      </c>
      <c r="F402" s="2" t="s">
        <v>1891</v>
      </c>
      <c r="I402" s="2" t="s">
        <v>1892</v>
      </c>
      <c r="L402" s="2" t="s">
        <v>1893</v>
      </c>
      <c r="M402" s="2" t="s">
        <v>22</v>
      </c>
    </row>
    <row r="403" spans="1:13" ht="15" x14ac:dyDescent="0.2">
      <c r="A403" s="2" t="s">
        <v>1656</v>
      </c>
      <c r="B403" s="3" t="str">
        <f t="shared" si="21"/>
        <v>dgallo@commonspirit.org</v>
      </c>
      <c r="C403" s="3">
        <f t="shared" si="22"/>
        <v>1</v>
      </c>
      <c r="D403" s="2" t="s">
        <v>1894</v>
      </c>
      <c r="E403" s="2" t="s">
        <v>240</v>
      </c>
      <c r="F403" s="2" t="s">
        <v>1895</v>
      </c>
      <c r="I403" s="2" t="s">
        <v>1896</v>
      </c>
      <c r="L403" s="2" t="s">
        <v>127</v>
      </c>
      <c r="M403" s="2" t="s">
        <v>22</v>
      </c>
    </row>
    <row r="404" spans="1:13" ht="15" x14ac:dyDescent="0.2">
      <c r="A404" s="2" t="s">
        <v>1656</v>
      </c>
      <c r="B404" s="3" t="str">
        <f t="shared" si="21"/>
        <v>dveik@commonspirit.org</v>
      </c>
      <c r="C404" s="3">
        <f t="shared" si="22"/>
        <v>1</v>
      </c>
      <c r="D404" s="2" t="s">
        <v>1897</v>
      </c>
      <c r="E404" s="2" t="s">
        <v>1898</v>
      </c>
      <c r="F404" s="2" t="s">
        <v>1899</v>
      </c>
      <c r="I404" s="2" t="s">
        <v>1900</v>
      </c>
      <c r="L404" s="2" t="s">
        <v>1901</v>
      </c>
      <c r="M404" s="2" t="s">
        <v>22</v>
      </c>
    </row>
    <row r="405" spans="1:13" ht="15" x14ac:dyDescent="0.2">
      <c r="A405" s="2" t="s">
        <v>1656</v>
      </c>
      <c r="B405" s="3" t="str">
        <f t="shared" si="21"/>
        <v>jelgan@commonspirit.org</v>
      </c>
      <c r="C405" s="3">
        <f t="shared" si="22"/>
        <v>1</v>
      </c>
      <c r="D405" s="2" t="s">
        <v>1902</v>
      </c>
      <c r="E405" s="2" t="s">
        <v>1903</v>
      </c>
      <c r="F405" s="2" t="s">
        <v>1904</v>
      </c>
      <c r="I405" s="2" t="s">
        <v>1905</v>
      </c>
      <c r="L405" s="2" t="s">
        <v>1817</v>
      </c>
      <c r="M405" s="2" t="s">
        <v>22</v>
      </c>
    </row>
    <row r="406" spans="1:13" ht="15" x14ac:dyDescent="0.2">
      <c r="A406" s="2" t="s">
        <v>1656</v>
      </c>
      <c r="B406" s="3" t="str">
        <f t="shared" si="21"/>
        <v>blarsen@commonspirit.org</v>
      </c>
      <c r="C406" s="3">
        <f t="shared" si="22"/>
        <v>1</v>
      </c>
      <c r="D406" s="2" t="s">
        <v>1906</v>
      </c>
      <c r="E406" s="2" t="s">
        <v>1907</v>
      </c>
      <c r="F406" s="2" t="s">
        <v>1908</v>
      </c>
      <c r="I406" s="2" t="s">
        <v>1909</v>
      </c>
      <c r="L406" s="2" t="s">
        <v>1910</v>
      </c>
      <c r="M406" s="2" t="s">
        <v>22</v>
      </c>
    </row>
    <row r="407" spans="1:13" ht="15" x14ac:dyDescent="0.2">
      <c r="A407" s="2" t="s">
        <v>1656</v>
      </c>
      <c r="B407" s="3" t="str">
        <f t="shared" si="21"/>
        <v>aswangler@commonspirit.org</v>
      </c>
      <c r="C407" s="3">
        <f t="shared" si="22"/>
        <v>1</v>
      </c>
      <c r="D407" s="2" t="s">
        <v>1911</v>
      </c>
      <c r="E407" s="2" t="s">
        <v>245</v>
      </c>
      <c r="F407" s="2" t="s">
        <v>1912</v>
      </c>
      <c r="I407" s="2" t="s">
        <v>1913</v>
      </c>
      <c r="L407" s="2" t="s">
        <v>1914</v>
      </c>
      <c r="M407" s="2" t="s">
        <v>22</v>
      </c>
    </row>
    <row r="408" spans="1:13" ht="15" x14ac:dyDescent="0.2">
      <c r="A408" s="2" t="s">
        <v>1656</v>
      </c>
      <c r="B408" s="3" t="str">
        <f t="shared" si="21"/>
        <v>mmethe@commonspirit.org</v>
      </c>
      <c r="C408" s="3">
        <f t="shared" si="22"/>
        <v>1</v>
      </c>
      <c r="D408" s="2" t="s">
        <v>1915</v>
      </c>
      <c r="E408" s="2" t="s">
        <v>1916</v>
      </c>
      <c r="F408" s="2" t="s">
        <v>1917</v>
      </c>
      <c r="I408" s="2" t="s">
        <v>1918</v>
      </c>
      <c r="L408" s="2" t="s">
        <v>1919</v>
      </c>
      <c r="M408" s="2" t="s">
        <v>22</v>
      </c>
    </row>
    <row r="409" spans="1:13" ht="15" x14ac:dyDescent="0.2">
      <c r="A409" s="2" t="s">
        <v>1656</v>
      </c>
      <c r="B409" s="3" t="str">
        <f t="shared" si="21"/>
        <v>egallant@commonspirit.org</v>
      </c>
      <c r="C409" s="3">
        <f t="shared" si="22"/>
        <v>1</v>
      </c>
      <c r="D409" s="2" t="s">
        <v>1920</v>
      </c>
      <c r="E409" s="2" t="s">
        <v>1921</v>
      </c>
      <c r="F409" s="2" t="s">
        <v>1922</v>
      </c>
      <c r="I409" s="2" t="s">
        <v>1923</v>
      </c>
      <c r="L409" s="2" t="s">
        <v>1225</v>
      </c>
      <c r="M409" s="2" t="s">
        <v>22</v>
      </c>
    </row>
    <row r="410" spans="1:13" ht="15" x14ac:dyDescent="0.2">
      <c r="A410" s="2" t="s">
        <v>1656</v>
      </c>
      <c r="B410" s="3" t="str">
        <f t="shared" si="21"/>
        <v>kbernsdorff@commonspirit.org</v>
      </c>
      <c r="C410" s="3">
        <f t="shared" si="22"/>
        <v>1</v>
      </c>
      <c r="D410" s="2" t="s">
        <v>1924</v>
      </c>
      <c r="E410" s="2" t="s">
        <v>726</v>
      </c>
      <c r="F410" s="2" t="s">
        <v>1925</v>
      </c>
      <c r="I410" s="2" t="s">
        <v>1926</v>
      </c>
      <c r="L410" s="2" t="s">
        <v>309</v>
      </c>
      <c r="M410" s="2" t="s">
        <v>22</v>
      </c>
    </row>
    <row r="411" spans="1:13" ht="15" x14ac:dyDescent="0.2">
      <c r="A411" s="2" t="s">
        <v>1656</v>
      </c>
      <c r="B411" s="3" t="str">
        <f t="shared" si="21"/>
        <v>jstrohschein@commonspirit.org</v>
      </c>
      <c r="C411" s="3">
        <f t="shared" si="22"/>
        <v>1</v>
      </c>
      <c r="D411" s="2" t="s">
        <v>1927</v>
      </c>
      <c r="E411" s="2" t="s">
        <v>1175</v>
      </c>
      <c r="F411" s="2" t="s">
        <v>1928</v>
      </c>
      <c r="I411" s="2" t="s">
        <v>1929</v>
      </c>
      <c r="L411" s="2" t="s">
        <v>1930</v>
      </c>
      <c r="M411" s="2" t="s">
        <v>22</v>
      </c>
    </row>
    <row r="412" spans="1:13" ht="15" x14ac:dyDescent="0.2">
      <c r="A412" s="2" t="s">
        <v>1656</v>
      </c>
      <c r="B412" s="3" t="str">
        <f t="shared" si="21"/>
        <v>botteson@commonspirit.org</v>
      </c>
      <c r="C412" s="3">
        <f t="shared" si="22"/>
        <v>1</v>
      </c>
      <c r="D412" s="2" t="s">
        <v>1931</v>
      </c>
      <c r="E412" s="2" t="s">
        <v>99</v>
      </c>
      <c r="F412" s="2" t="s">
        <v>1932</v>
      </c>
      <c r="I412" s="2" t="s">
        <v>1933</v>
      </c>
      <c r="L412" s="2" t="s">
        <v>1934</v>
      </c>
      <c r="M412" s="2" t="s">
        <v>22</v>
      </c>
    </row>
    <row r="413" spans="1:13" ht="15" x14ac:dyDescent="0.2">
      <c r="A413" s="2" t="s">
        <v>1656</v>
      </c>
      <c r="B413" s="3" t="str">
        <f t="shared" si="21"/>
        <v>ckeller@commonspirit.org</v>
      </c>
      <c r="C413" s="3">
        <f t="shared" si="22"/>
        <v>1</v>
      </c>
      <c r="D413" s="2" t="s">
        <v>1935</v>
      </c>
      <c r="E413" s="2" t="s">
        <v>70</v>
      </c>
      <c r="F413" s="2" t="s">
        <v>1936</v>
      </c>
      <c r="I413" s="2" t="s">
        <v>1937</v>
      </c>
      <c r="L413" s="2" t="s">
        <v>1938</v>
      </c>
      <c r="M413" s="2" t="s">
        <v>22</v>
      </c>
    </row>
    <row r="414" spans="1:13" ht="15" x14ac:dyDescent="0.2">
      <c r="A414" s="2" t="s">
        <v>1656</v>
      </c>
      <c r="B414" s="3" t="str">
        <f t="shared" si="21"/>
        <v>brodriguez@commonspirit.org</v>
      </c>
      <c r="C414" s="3">
        <f t="shared" si="22"/>
        <v>1</v>
      </c>
      <c r="D414" s="2" t="s">
        <v>1939</v>
      </c>
      <c r="E414" s="2" t="s">
        <v>1940</v>
      </c>
      <c r="F414" s="2" t="s">
        <v>859</v>
      </c>
      <c r="I414" s="2" t="s">
        <v>1941</v>
      </c>
      <c r="L414" s="2" t="s">
        <v>1942</v>
      </c>
      <c r="M414" s="2" t="s">
        <v>22</v>
      </c>
    </row>
    <row r="415" spans="1:13" ht="15" x14ac:dyDescent="0.2">
      <c r="A415" s="2" t="s">
        <v>1656</v>
      </c>
      <c r="B415" s="3" t="str">
        <f t="shared" si="21"/>
        <v>mhashem@commonspirit.org</v>
      </c>
      <c r="C415" s="3">
        <f t="shared" si="22"/>
        <v>1</v>
      </c>
      <c r="D415" s="2" t="s">
        <v>1943</v>
      </c>
      <c r="E415" s="2" t="s">
        <v>1115</v>
      </c>
      <c r="F415" s="2" t="s">
        <v>1944</v>
      </c>
      <c r="I415" s="2" t="s">
        <v>1945</v>
      </c>
      <c r="L415" s="2" t="s">
        <v>1946</v>
      </c>
      <c r="M415" s="2" t="s">
        <v>22</v>
      </c>
    </row>
    <row r="416" spans="1:13" ht="15" x14ac:dyDescent="0.2">
      <c r="A416" s="2" t="s">
        <v>1656</v>
      </c>
      <c r="B416" s="3" t="str">
        <f t="shared" si="21"/>
        <v>mbrisbin@commonspirit.org</v>
      </c>
      <c r="C416" s="3">
        <f t="shared" si="22"/>
        <v>1</v>
      </c>
      <c r="D416" s="2" t="s">
        <v>1947</v>
      </c>
      <c r="E416" s="2" t="s">
        <v>59</v>
      </c>
      <c r="F416" s="2" t="s">
        <v>1948</v>
      </c>
      <c r="I416" s="2" t="s">
        <v>1949</v>
      </c>
      <c r="L416" s="2" t="s">
        <v>1950</v>
      </c>
      <c r="M416" s="2" t="s">
        <v>22</v>
      </c>
    </row>
    <row r="417" spans="1:13" ht="15" x14ac:dyDescent="0.2">
      <c r="A417" s="2" t="s">
        <v>1656</v>
      </c>
      <c r="B417" s="3" t="str">
        <f t="shared" si="21"/>
        <v>pmeyburg@commonspirit.org</v>
      </c>
      <c r="C417" s="3">
        <f t="shared" si="22"/>
        <v>1</v>
      </c>
      <c r="D417" s="2" t="s">
        <v>1951</v>
      </c>
      <c r="E417" s="2" t="s">
        <v>24</v>
      </c>
      <c r="F417" s="2" t="s">
        <v>1952</v>
      </c>
      <c r="I417" s="2" t="s">
        <v>1953</v>
      </c>
      <c r="L417" s="2" t="s">
        <v>1664</v>
      </c>
      <c r="M417" s="2" t="s">
        <v>22</v>
      </c>
    </row>
    <row r="418" spans="1:13" ht="15" x14ac:dyDescent="0.2">
      <c r="A418" s="2" t="s">
        <v>1656</v>
      </c>
      <c r="B418" s="3" t="str">
        <f t="shared" si="21"/>
        <v>abodipudi@commonspirit.org</v>
      </c>
      <c r="C418" s="3">
        <f t="shared" si="22"/>
        <v>1</v>
      </c>
      <c r="D418" s="2" t="s">
        <v>1954</v>
      </c>
      <c r="E418" s="2" t="s">
        <v>1955</v>
      </c>
      <c r="F418" s="2" t="s">
        <v>1956</v>
      </c>
      <c r="I418" s="2" t="s">
        <v>1957</v>
      </c>
      <c r="L418" s="2" t="s">
        <v>1958</v>
      </c>
      <c r="M418" s="2" t="s">
        <v>22</v>
      </c>
    </row>
    <row r="419" spans="1:13" ht="15" x14ac:dyDescent="0.2">
      <c r="A419" s="2" t="s">
        <v>1656</v>
      </c>
      <c r="B419" s="3" t="str">
        <f t="shared" si="21"/>
        <v>ppatel@commonspirit.org</v>
      </c>
      <c r="C419" s="3">
        <f t="shared" si="22"/>
        <v>1</v>
      </c>
      <c r="D419" s="2" t="s">
        <v>1959</v>
      </c>
      <c r="E419" s="2" t="s">
        <v>1960</v>
      </c>
      <c r="F419" s="2" t="s">
        <v>589</v>
      </c>
      <c r="I419" s="2" t="s">
        <v>1961</v>
      </c>
      <c r="L419" s="2" t="s">
        <v>1962</v>
      </c>
      <c r="M419" s="2" t="s">
        <v>22</v>
      </c>
    </row>
    <row r="420" spans="1:13" ht="15" x14ac:dyDescent="0.2">
      <c r="A420" s="2" t="s">
        <v>1656</v>
      </c>
      <c r="B420" s="3" t="str">
        <f t="shared" si="21"/>
        <v>enicholas@commonspirit.org</v>
      </c>
      <c r="C420" s="3">
        <f t="shared" si="22"/>
        <v>1</v>
      </c>
      <c r="D420" s="2" t="s">
        <v>1963</v>
      </c>
      <c r="E420" s="2" t="s">
        <v>1964</v>
      </c>
      <c r="F420" s="2" t="s">
        <v>1679</v>
      </c>
      <c r="I420" s="2" t="s">
        <v>1965</v>
      </c>
      <c r="L420" s="2" t="s">
        <v>1966</v>
      </c>
      <c r="M420" s="2" t="s">
        <v>22</v>
      </c>
    </row>
    <row r="421" spans="1:13" ht="15" x14ac:dyDescent="0.2">
      <c r="A421" s="2" t="s">
        <v>1656</v>
      </c>
      <c r="B421" s="3" t="str">
        <f t="shared" si="21"/>
        <v>jbarclay@commonspirit.org</v>
      </c>
      <c r="C421" s="3">
        <f t="shared" si="22"/>
        <v>1</v>
      </c>
      <c r="D421" s="2" t="s">
        <v>1967</v>
      </c>
      <c r="E421" s="2" t="s">
        <v>1968</v>
      </c>
      <c r="F421" s="2" t="s">
        <v>1969</v>
      </c>
      <c r="I421" s="2" t="s">
        <v>1970</v>
      </c>
      <c r="L421" s="2" t="s">
        <v>1971</v>
      </c>
      <c r="M421" s="2" t="s">
        <v>22</v>
      </c>
    </row>
    <row r="422" spans="1:13" ht="15" x14ac:dyDescent="0.2">
      <c r="A422" s="2" t="s">
        <v>1656</v>
      </c>
      <c r="B422" s="3" t="str">
        <f t="shared" si="21"/>
        <v>ltamillo@commonspirit.org</v>
      </c>
      <c r="C422" s="3">
        <f t="shared" si="22"/>
        <v>1</v>
      </c>
      <c r="D422" s="2" t="s">
        <v>1972</v>
      </c>
      <c r="E422" s="2" t="s">
        <v>694</v>
      </c>
      <c r="F422" s="2" t="s">
        <v>1973</v>
      </c>
      <c r="I422" s="2" t="s">
        <v>1974</v>
      </c>
      <c r="L422" s="2" t="s">
        <v>1975</v>
      </c>
      <c r="M422" s="2" t="s">
        <v>22</v>
      </c>
    </row>
    <row r="423" spans="1:13" ht="15" x14ac:dyDescent="0.2">
      <c r="A423" s="2" t="s">
        <v>1656</v>
      </c>
      <c r="B423" s="3" t="str">
        <f t="shared" si="21"/>
        <v>bgara@commonspirit.org</v>
      </c>
      <c r="C423" s="3">
        <f t="shared" si="22"/>
        <v>1</v>
      </c>
      <c r="D423" s="2" t="s">
        <v>1976</v>
      </c>
      <c r="E423" s="2" t="s">
        <v>1977</v>
      </c>
      <c r="F423" s="2" t="s">
        <v>1978</v>
      </c>
      <c r="I423" s="2" t="s">
        <v>1979</v>
      </c>
      <c r="L423" s="2" t="s">
        <v>1800</v>
      </c>
      <c r="M423" s="2" t="s">
        <v>22</v>
      </c>
    </row>
    <row r="424" spans="1:13" ht="15" x14ac:dyDescent="0.2">
      <c r="A424" s="2" t="s">
        <v>1656</v>
      </c>
      <c r="B424" s="3" t="str">
        <f t="shared" si="21"/>
        <v>christopher.miller904@commonspirit.org</v>
      </c>
      <c r="C424" s="3">
        <f t="shared" si="22"/>
        <v>1</v>
      </c>
      <c r="D424" s="2" t="s">
        <v>1980</v>
      </c>
      <c r="E424" s="2" t="s">
        <v>70</v>
      </c>
      <c r="F424" s="2" t="s">
        <v>712</v>
      </c>
      <c r="I424" s="2" t="s">
        <v>1981</v>
      </c>
      <c r="L424" s="2" t="s">
        <v>1982</v>
      </c>
      <c r="M424" s="2" t="s">
        <v>45</v>
      </c>
    </row>
    <row r="425" spans="1:13" ht="15" x14ac:dyDescent="0.2">
      <c r="A425" s="2" t="s">
        <v>1656</v>
      </c>
      <c r="B425" s="3" t="str">
        <f t="shared" si="21"/>
        <v>jmckeever@commonspirit.org</v>
      </c>
      <c r="C425" s="3">
        <f t="shared" si="22"/>
        <v>1</v>
      </c>
      <c r="D425" s="2" t="s">
        <v>1983</v>
      </c>
      <c r="E425" s="2" t="s">
        <v>641</v>
      </c>
      <c r="F425" s="2" t="s">
        <v>1984</v>
      </c>
      <c r="I425" s="2" t="s">
        <v>1985</v>
      </c>
      <c r="L425" s="2" t="s">
        <v>1986</v>
      </c>
      <c r="M425" s="2" t="s">
        <v>22</v>
      </c>
    </row>
    <row r="426" spans="1:13" ht="15" x14ac:dyDescent="0.2">
      <c r="A426" s="2" t="s">
        <v>1656</v>
      </c>
      <c r="B426" s="3" t="str">
        <f t="shared" si="21"/>
        <v>mandrews@commonspirit.org</v>
      </c>
      <c r="C426" s="3">
        <f t="shared" si="22"/>
        <v>1</v>
      </c>
      <c r="D426" s="2" t="s">
        <v>1987</v>
      </c>
      <c r="E426" s="2" t="s">
        <v>1704</v>
      </c>
      <c r="F426" s="2" t="s">
        <v>149</v>
      </c>
      <c r="I426" s="2" t="s">
        <v>1988</v>
      </c>
      <c r="L426" s="2" t="s">
        <v>248</v>
      </c>
      <c r="M426" s="2" t="s">
        <v>22</v>
      </c>
    </row>
    <row r="427" spans="1:13" ht="15" x14ac:dyDescent="0.2">
      <c r="A427" s="2" t="s">
        <v>1656</v>
      </c>
      <c r="B427" s="3" t="str">
        <f t="shared" si="21"/>
        <v>eallan@commonspirit.org</v>
      </c>
      <c r="C427" s="3">
        <f t="shared" si="22"/>
        <v>1</v>
      </c>
      <c r="D427" s="2" t="s">
        <v>1989</v>
      </c>
      <c r="E427" s="2" t="s">
        <v>109</v>
      </c>
      <c r="F427" s="2" t="s">
        <v>1990</v>
      </c>
      <c r="I427" s="2" t="s">
        <v>1991</v>
      </c>
      <c r="L427" s="2" t="s">
        <v>1992</v>
      </c>
      <c r="M427" s="2" t="s">
        <v>22</v>
      </c>
    </row>
    <row r="428" spans="1:13" ht="15" x14ac:dyDescent="0.2">
      <c r="A428" s="2" t="s">
        <v>1656</v>
      </c>
      <c r="B428" s="3" t="str">
        <f t="shared" si="21"/>
        <v>nrapp@commonspirit.org</v>
      </c>
      <c r="C428" s="3">
        <f t="shared" si="22"/>
        <v>1</v>
      </c>
      <c r="D428" s="2" t="s">
        <v>1993</v>
      </c>
      <c r="E428" s="2" t="s">
        <v>934</v>
      </c>
      <c r="F428" s="2" t="s">
        <v>1994</v>
      </c>
      <c r="I428" s="2" t="s">
        <v>1995</v>
      </c>
      <c r="L428" s="2" t="s">
        <v>1996</v>
      </c>
      <c r="M428" s="2" t="s">
        <v>22</v>
      </c>
    </row>
    <row r="429" spans="1:13" ht="15" x14ac:dyDescent="0.2">
      <c r="A429" s="2" t="s">
        <v>1656</v>
      </c>
      <c r="B429" s="3" t="str">
        <f t="shared" si="21"/>
        <v>ftanner@commonspirit.org</v>
      </c>
      <c r="C429" s="3">
        <f t="shared" si="22"/>
        <v>1</v>
      </c>
      <c r="D429" s="2" t="s">
        <v>1997</v>
      </c>
      <c r="E429" s="2" t="s">
        <v>1998</v>
      </c>
      <c r="F429" s="2" t="s">
        <v>1999</v>
      </c>
      <c r="I429" s="2" t="s">
        <v>2000</v>
      </c>
      <c r="L429" s="2" t="s">
        <v>2001</v>
      </c>
      <c r="M429" s="2" t="s">
        <v>22</v>
      </c>
    </row>
    <row r="430" spans="1:13" ht="15" x14ac:dyDescent="0.2">
      <c r="A430" s="2" t="s">
        <v>1656</v>
      </c>
      <c r="B430" s="3" t="str">
        <f t="shared" si="21"/>
        <v>lkuzmick@commonspirit.org</v>
      </c>
      <c r="C430" s="3">
        <f t="shared" si="22"/>
        <v>1</v>
      </c>
      <c r="D430" s="2" t="s">
        <v>2002</v>
      </c>
      <c r="E430" s="2" t="s">
        <v>2003</v>
      </c>
      <c r="F430" s="2" t="s">
        <v>2004</v>
      </c>
      <c r="I430" s="2" t="s">
        <v>2005</v>
      </c>
      <c r="L430" s="2" t="s">
        <v>1930</v>
      </c>
      <c r="M430" s="2" t="s">
        <v>22</v>
      </c>
    </row>
    <row r="431" spans="1:13" ht="15" x14ac:dyDescent="0.2">
      <c r="A431" s="2" t="s">
        <v>1656</v>
      </c>
      <c r="B431" s="3" t="str">
        <f t="shared" si="21"/>
        <v>bmiller@commonspirit.org</v>
      </c>
      <c r="C431" s="3">
        <f t="shared" si="22"/>
        <v>1</v>
      </c>
      <c r="D431" s="2" t="s">
        <v>2006</v>
      </c>
      <c r="E431" s="2" t="s">
        <v>541</v>
      </c>
      <c r="F431" s="2" t="s">
        <v>712</v>
      </c>
      <c r="I431" s="2" t="s">
        <v>2007</v>
      </c>
      <c r="L431" s="2" t="s">
        <v>1790</v>
      </c>
      <c r="M431" s="2" t="s">
        <v>22</v>
      </c>
    </row>
    <row r="432" spans="1:13" ht="15" x14ac:dyDescent="0.2">
      <c r="A432" s="2" t="s">
        <v>1656</v>
      </c>
      <c r="B432" s="3" t="str">
        <f t="shared" si="21"/>
        <v>rajat.pani@commonspirit.org</v>
      </c>
      <c r="C432" s="3">
        <f t="shared" si="22"/>
        <v>1</v>
      </c>
      <c r="D432" s="2" t="s">
        <v>2008</v>
      </c>
      <c r="E432" s="2" t="s">
        <v>2009</v>
      </c>
      <c r="F432" s="2" t="s">
        <v>2010</v>
      </c>
      <c r="I432" s="2" t="s">
        <v>2011</v>
      </c>
      <c r="L432" s="2" t="s">
        <v>1448</v>
      </c>
      <c r="M432" s="2" t="s">
        <v>45</v>
      </c>
    </row>
    <row r="433" spans="1:16" ht="15" x14ac:dyDescent="0.2">
      <c r="A433" s="2" t="s">
        <v>1656</v>
      </c>
      <c r="B433" s="3" t="str">
        <f t="shared" si="21"/>
        <v>celinburg@commonspirit.org</v>
      </c>
      <c r="C433" s="3">
        <f t="shared" si="22"/>
        <v>1</v>
      </c>
      <c r="D433" s="2" t="s">
        <v>2012</v>
      </c>
      <c r="E433" s="2" t="s">
        <v>2013</v>
      </c>
      <c r="F433" s="2" t="s">
        <v>2014</v>
      </c>
      <c r="I433" s="2" t="s">
        <v>2015</v>
      </c>
      <c r="L433" s="2" t="s">
        <v>2016</v>
      </c>
      <c r="M433" s="2" t="s">
        <v>22</v>
      </c>
    </row>
    <row r="434" spans="1:16" ht="15" x14ac:dyDescent="0.2">
      <c r="A434" s="2" t="s">
        <v>1656</v>
      </c>
      <c r="B434" s="3" t="str">
        <f t="shared" si="21"/>
        <v>baskildsen@commonspirit.org</v>
      </c>
      <c r="C434" s="3">
        <f t="shared" si="22"/>
        <v>1</v>
      </c>
      <c r="D434" s="2" t="s">
        <v>2017</v>
      </c>
      <c r="E434" s="2" t="s">
        <v>2018</v>
      </c>
      <c r="F434" s="2" t="s">
        <v>2019</v>
      </c>
      <c r="I434" s="2" t="s">
        <v>2020</v>
      </c>
      <c r="L434" s="2" t="s">
        <v>2021</v>
      </c>
      <c r="M434" s="2" t="s">
        <v>22</v>
      </c>
    </row>
    <row r="435" spans="1:16" ht="15" x14ac:dyDescent="0.2">
      <c r="A435" s="2" t="s">
        <v>1656</v>
      </c>
      <c r="B435" s="3" t="str">
        <f t="shared" si="21"/>
        <v>hmackey@commonspirit.org</v>
      </c>
      <c r="C435" s="3">
        <f t="shared" si="22"/>
        <v>1</v>
      </c>
      <c r="D435" s="2" t="s">
        <v>2022</v>
      </c>
      <c r="E435" s="2" t="s">
        <v>2023</v>
      </c>
      <c r="F435" s="2" t="s">
        <v>2024</v>
      </c>
      <c r="I435" s="2" t="s">
        <v>2025</v>
      </c>
      <c r="L435" s="2" t="s">
        <v>2026</v>
      </c>
      <c r="M435" s="2" t="s">
        <v>22</v>
      </c>
    </row>
    <row r="436" spans="1:16" ht="15" x14ac:dyDescent="0.2">
      <c r="A436" s="2" t="s">
        <v>1656</v>
      </c>
      <c r="B436" s="3" t="str">
        <f t="shared" si="21"/>
        <v>jessica.patterson900@commonspirit.org</v>
      </c>
      <c r="C436" s="3">
        <f t="shared" si="22"/>
        <v>1</v>
      </c>
      <c r="D436" s="2" t="s">
        <v>2027</v>
      </c>
      <c r="E436" s="2" t="s">
        <v>1666</v>
      </c>
      <c r="F436" s="2" t="s">
        <v>1667</v>
      </c>
      <c r="I436" s="2" t="s">
        <v>2028</v>
      </c>
      <c r="L436" s="2" t="s">
        <v>2029</v>
      </c>
      <c r="M436" s="2" t="s">
        <v>463</v>
      </c>
    </row>
    <row r="437" spans="1:16" ht="15" x14ac:dyDescent="0.2">
      <c r="A437" s="2" t="s">
        <v>1656</v>
      </c>
      <c r="B437" s="3" t="str">
        <f t="shared" si="21"/>
        <v>scott.christensen@commonspirit.org</v>
      </c>
      <c r="C437" s="3">
        <f t="shared" si="22"/>
        <v>1</v>
      </c>
      <c r="D437" s="2" t="s">
        <v>2030</v>
      </c>
      <c r="E437" s="2" t="s">
        <v>910</v>
      </c>
      <c r="F437" s="2" t="s">
        <v>910</v>
      </c>
      <c r="I437" s="2" t="s">
        <v>2031</v>
      </c>
      <c r="L437" s="2" t="s">
        <v>2032</v>
      </c>
      <c r="M437" s="2" t="s">
        <v>45</v>
      </c>
    </row>
    <row r="438" spans="1:16" ht="15" x14ac:dyDescent="0.2">
      <c r="A438" s="2" t="s">
        <v>1656</v>
      </c>
      <c r="B438" s="3" t="str">
        <f t="shared" si="21"/>
        <v>bill.hubbard@commonspirit.org</v>
      </c>
      <c r="C438" s="3">
        <f t="shared" si="22"/>
        <v>1</v>
      </c>
      <c r="D438" s="2" t="s">
        <v>2033</v>
      </c>
      <c r="E438" s="2" t="s">
        <v>1849</v>
      </c>
      <c r="F438" s="2" t="s">
        <v>1850</v>
      </c>
      <c r="I438" s="2" t="s">
        <v>2034</v>
      </c>
      <c r="L438" s="2" t="s">
        <v>2035</v>
      </c>
      <c r="M438" s="2" t="s">
        <v>45</v>
      </c>
    </row>
    <row r="439" spans="1:16" ht="15" x14ac:dyDescent="0.2">
      <c r="A439" s="2" t="s">
        <v>1656</v>
      </c>
      <c r="B439" s="3" t="str">
        <f t="shared" si="21"/>
        <v>stephen.markling@commonspirit.org</v>
      </c>
      <c r="C439" s="3">
        <f t="shared" si="22"/>
        <v>1</v>
      </c>
      <c r="D439" s="2" t="s">
        <v>2036</v>
      </c>
      <c r="E439" s="2" t="s">
        <v>910</v>
      </c>
      <c r="F439" s="2" t="s">
        <v>910</v>
      </c>
      <c r="I439" s="2" t="s">
        <v>2037</v>
      </c>
      <c r="L439" s="2" t="s">
        <v>2029</v>
      </c>
      <c r="M439" s="2" t="s">
        <v>45</v>
      </c>
    </row>
    <row r="440" spans="1:16" ht="13" x14ac:dyDescent="0.15">
      <c r="A440" s="4" t="s">
        <v>2038</v>
      </c>
      <c r="B440" s="3" t="str">
        <f t="shared" si="21"/>
        <v>michael_pintabona@chs.net</v>
      </c>
      <c r="C440" s="3">
        <f t="shared" si="22"/>
        <v>1</v>
      </c>
      <c r="D440" s="5">
        <v>25013413724</v>
      </c>
      <c r="E440" s="4" t="s">
        <v>59</v>
      </c>
      <c r="F440" s="4" t="s">
        <v>2039</v>
      </c>
      <c r="G440" s="4" t="s">
        <v>34</v>
      </c>
      <c r="H440" s="4"/>
      <c r="I440" s="4" t="s">
        <v>2040</v>
      </c>
      <c r="J440" s="6" t="s">
        <v>2041</v>
      </c>
      <c r="K440" s="4"/>
      <c r="L440" s="4" t="s">
        <v>2042</v>
      </c>
      <c r="M440" s="4"/>
      <c r="N440" s="4"/>
      <c r="O440" s="4"/>
      <c r="P440" s="4" t="str">
        <f t="shared" ref="P440:P449" si="23">IF(OR(M440="Customer", M440="Opportunity", H440="Yes", H440=TRUE, G440="Yes", G440=TRUE, O440&gt;0), "YES", "NO")</f>
        <v>YES</v>
      </c>
    </row>
    <row r="441" spans="1:16" ht="13" x14ac:dyDescent="0.15">
      <c r="A441" s="4" t="s">
        <v>2038</v>
      </c>
      <c r="B441" s="3" t="str">
        <f t="shared" si="21"/>
        <v>aaina@ecommunity.com</v>
      </c>
      <c r="C441" s="3">
        <f t="shared" si="22"/>
        <v>1</v>
      </c>
      <c r="D441" s="5">
        <v>25005334413</v>
      </c>
      <c r="E441" s="4" t="s">
        <v>2043</v>
      </c>
      <c r="F441" s="4" t="s">
        <v>2044</v>
      </c>
      <c r="G441" s="4" t="s">
        <v>34</v>
      </c>
      <c r="H441" s="4"/>
      <c r="I441" s="4" t="s">
        <v>2045</v>
      </c>
      <c r="J441" s="6" t="s">
        <v>2046</v>
      </c>
      <c r="K441" s="4"/>
      <c r="L441" s="4" t="s">
        <v>2047</v>
      </c>
      <c r="M441" s="4"/>
      <c r="N441" s="4"/>
      <c r="O441" s="4"/>
      <c r="P441" s="4" t="str">
        <f t="shared" si="23"/>
        <v>YES</v>
      </c>
    </row>
    <row r="442" spans="1:16" ht="13" x14ac:dyDescent="0.15">
      <c r="A442" s="4" t="s">
        <v>2048</v>
      </c>
      <c r="B442" s="3" t="str">
        <f t="shared" si="21"/>
        <v>jweigle@ecommunity.com</v>
      </c>
      <c r="C442" s="3">
        <f t="shared" si="22"/>
        <v>1</v>
      </c>
      <c r="D442" s="5">
        <v>25010960312</v>
      </c>
      <c r="E442" s="4" t="s">
        <v>177</v>
      </c>
      <c r="F442" s="4" t="s">
        <v>2049</v>
      </c>
      <c r="G442" s="4" t="s">
        <v>34</v>
      </c>
      <c r="H442" s="4"/>
      <c r="I442" s="4" t="s">
        <v>2050</v>
      </c>
      <c r="J442" s="6" t="s">
        <v>2046</v>
      </c>
      <c r="K442" s="4"/>
      <c r="L442" s="4" t="s">
        <v>2051</v>
      </c>
      <c r="M442" s="4"/>
      <c r="N442" s="4"/>
      <c r="O442" s="4"/>
      <c r="P442" s="4" t="str">
        <f t="shared" si="23"/>
        <v>YES</v>
      </c>
    </row>
    <row r="443" spans="1:16" ht="13" x14ac:dyDescent="0.15">
      <c r="A443" s="4" t="s">
        <v>2052</v>
      </c>
      <c r="B443" s="3" t="str">
        <f t="shared" si="21"/>
        <v>Yes</v>
      </c>
      <c r="C443" s="3">
        <f t="shared" si="22"/>
        <v>446</v>
      </c>
      <c r="D443" s="5">
        <v>11512202044</v>
      </c>
      <c r="E443" s="4" t="s">
        <v>2053</v>
      </c>
      <c r="F443" s="4" t="s">
        <v>2054</v>
      </c>
      <c r="G443" s="4"/>
      <c r="H443" s="4" t="s">
        <v>34</v>
      </c>
      <c r="I443" s="4" t="s">
        <v>2055</v>
      </c>
      <c r="J443" s="6" t="s">
        <v>2056</v>
      </c>
      <c r="K443" s="4"/>
      <c r="L443" s="4" t="s">
        <v>2057</v>
      </c>
      <c r="M443" s="4" t="s">
        <v>38</v>
      </c>
      <c r="N443" s="4"/>
      <c r="O443" s="4"/>
      <c r="P443" s="4" t="str">
        <f t="shared" si="23"/>
        <v>YES</v>
      </c>
    </row>
    <row r="444" spans="1:16" ht="13" x14ac:dyDescent="0.15">
      <c r="A444" s="4" t="s">
        <v>2058</v>
      </c>
      <c r="B444" s="3" t="str">
        <f t="shared" si="21"/>
        <v>Yes</v>
      </c>
      <c r="C444" s="3">
        <f t="shared" si="22"/>
        <v>446</v>
      </c>
      <c r="D444" s="5">
        <v>456</v>
      </c>
      <c r="E444" s="4" t="s">
        <v>526</v>
      </c>
      <c r="F444" s="4" t="s">
        <v>2059</v>
      </c>
      <c r="G444" s="4"/>
      <c r="H444" s="4" t="s">
        <v>34</v>
      </c>
      <c r="I444" s="4" t="s">
        <v>2060</v>
      </c>
      <c r="J444" s="6" t="s">
        <v>2056</v>
      </c>
      <c r="K444" s="4"/>
      <c r="L444" s="4" t="s">
        <v>2061</v>
      </c>
      <c r="M444" s="4" t="s">
        <v>38</v>
      </c>
      <c r="N444" s="4"/>
      <c r="O444" s="4"/>
      <c r="P444" s="4" t="str">
        <f t="shared" si="23"/>
        <v>YES</v>
      </c>
    </row>
    <row r="445" spans="1:16" ht="13" x14ac:dyDescent="0.15">
      <c r="A445" s="4" t="s">
        <v>2062</v>
      </c>
      <c r="B445" s="3" t="str">
        <f t="shared" si="21"/>
        <v>Yes</v>
      </c>
      <c r="C445" s="3">
        <f t="shared" si="22"/>
        <v>446</v>
      </c>
      <c r="D445" s="5">
        <v>11515173288</v>
      </c>
      <c r="E445" s="4" t="s">
        <v>2063</v>
      </c>
      <c r="F445" s="4" t="s">
        <v>2064</v>
      </c>
      <c r="G445" s="4"/>
      <c r="H445" s="4" t="s">
        <v>34</v>
      </c>
      <c r="I445" s="4" t="s">
        <v>2065</v>
      </c>
      <c r="J445" s="6" t="s">
        <v>2066</v>
      </c>
      <c r="K445" s="4"/>
      <c r="L445" s="4" t="s">
        <v>2067</v>
      </c>
      <c r="M445" s="4" t="s">
        <v>38</v>
      </c>
      <c r="N445" s="4"/>
      <c r="O445" s="4"/>
      <c r="P445" s="4" t="str">
        <f t="shared" si="23"/>
        <v>YES</v>
      </c>
    </row>
    <row r="446" spans="1:16" ht="13" x14ac:dyDescent="0.15">
      <c r="A446" s="4" t="s">
        <v>2068</v>
      </c>
      <c r="B446" s="3" t="str">
        <f t="shared" si="21"/>
        <v>Yes</v>
      </c>
      <c r="C446" s="3">
        <f t="shared" si="22"/>
        <v>446</v>
      </c>
      <c r="D446" s="5">
        <v>1556</v>
      </c>
      <c r="E446" s="4" t="s">
        <v>2069</v>
      </c>
      <c r="F446" s="4" t="s">
        <v>1039</v>
      </c>
      <c r="G446" s="4"/>
      <c r="H446" s="4" t="s">
        <v>34</v>
      </c>
      <c r="I446" s="4" t="s">
        <v>2070</v>
      </c>
      <c r="J446" s="6" t="s">
        <v>2071</v>
      </c>
      <c r="K446" s="4"/>
      <c r="L446" s="4" t="s">
        <v>1388</v>
      </c>
      <c r="M446" s="4" t="s">
        <v>38</v>
      </c>
      <c r="N446" s="4"/>
      <c r="O446" s="4"/>
      <c r="P446" s="4" t="str">
        <f t="shared" si="23"/>
        <v>YES</v>
      </c>
    </row>
    <row r="447" spans="1:16" ht="13" x14ac:dyDescent="0.15">
      <c r="A447" s="4" t="s">
        <v>2072</v>
      </c>
      <c r="B447" s="3" t="str">
        <f t="shared" si="21"/>
        <v>Yes</v>
      </c>
      <c r="C447" s="3">
        <f t="shared" si="22"/>
        <v>446</v>
      </c>
      <c r="D447" s="5">
        <v>11513126831</v>
      </c>
      <c r="E447" s="4" t="s">
        <v>293</v>
      </c>
      <c r="F447" s="4" t="s">
        <v>153</v>
      </c>
      <c r="G447" s="4"/>
      <c r="H447" s="4" t="s">
        <v>34</v>
      </c>
      <c r="I447" s="4" t="s">
        <v>2073</v>
      </c>
      <c r="J447" s="6" t="s">
        <v>2074</v>
      </c>
      <c r="K447" s="4"/>
      <c r="L447" s="4" t="s">
        <v>897</v>
      </c>
      <c r="M447" s="4" t="s">
        <v>38</v>
      </c>
      <c r="N447" s="4"/>
      <c r="O447" s="4"/>
      <c r="P447" s="4" t="str">
        <f t="shared" si="23"/>
        <v>YES</v>
      </c>
    </row>
    <row r="448" spans="1:16" ht="13" x14ac:dyDescent="0.15">
      <c r="A448" s="4" t="s">
        <v>1388</v>
      </c>
      <c r="B448" s="3" t="str">
        <f t="shared" si="21"/>
        <v>jasontugman@gmail.com</v>
      </c>
      <c r="C448" s="3">
        <f t="shared" si="22"/>
        <v>1</v>
      </c>
      <c r="D448" s="5">
        <v>118047792742</v>
      </c>
      <c r="E448" s="4" t="s">
        <v>405</v>
      </c>
      <c r="F448" s="4" t="s">
        <v>2075</v>
      </c>
      <c r="G448" s="4" t="s">
        <v>34</v>
      </c>
      <c r="H448" s="4"/>
      <c r="I448" s="4" t="s">
        <v>2076</v>
      </c>
      <c r="J448" s="6" t="s">
        <v>2077</v>
      </c>
      <c r="K448" s="4"/>
      <c r="L448" s="4" t="s">
        <v>1388</v>
      </c>
      <c r="M448" s="4" t="s">
        <v>30</v>
      </c>
      <c r="N448" s="4"/>
      <c r="O448" s="4"/>
      <c r="P448" s="4" t="str">
        <f t="shared" si="23"/>
        <v>YES</v>
      </c>
    </row>
    <row r="449" spans="1:16" ht="13" x14ac:dyDescent="0.15">
      <c r="A449" s="4" t="s">
        <v>2078</v>
      </c>
      <c r="B449" s="3" t="str">
        <f t="shared" si="21"/>
        <v>fabian.sybille@cookchildrens.org</v>
      </c>
      <c r="C449" s="3">
        <f t="shared" si="22"/>
        <v>1</v>
      </c>
      <c r="D449" s="5">
        <v>25010960313</v>
      </c>
      <c r="E449" s="4" t="s">
        <v>2079</v>
      </c>
      <c r="F449" s="4" t="s">
        <v>2080</v>
      </c>
      <c r="G449" s="4" t="s">
        <v>34</v>
      </c>
      <c r="H449" s="4"/>
      <c r="I449" s="4" t="s">
        <v>2081</v>
      </c>
      <c r="J449" s="6" t="s">
        <v>2082</v>
      </c>
      <c r="K449" s="4"/>
      <c r="L449" s="4" t="s">
        <v>2083</v>
      </c>
      <c r="M449" s="4"/>
      <c r="N449" s="4"/>
      <c r="O449" s="4"/>
      <c r="P449" s="4" t="str">
        <f t="shared" si="23"/>
        <v>YES</v>
      </c>
    </row>
    <row r="450" spans="1:16" ht="15" x14ac:dyDescent="0.2">
      <c r="A450" s="2" t="s">
        <v>2084</v>
      </c>
      <c r="B450" s="3" t="str">
        <f t="shared" ref="B450:B513" si="24">IF(H450&lt;&gt;"",H450,I450)</f>
        <v>melinda.vanderbok@cookmedical.com</v>
      </c>
      <c r="C450" s="3">
        <f t="shared" ref="C450:C513" si="25">COUNTIF($B$2:$B$1586,B450)</f>
        <v>1</v>
      </c>
      <c r="D450" s="2" t="s">
        <v>2085</v>
      </c>
      <c r="E450" s="2" t="s">
        <v>2086</v>
      </c>
      <c r="F450" s="2" t="s">
        <v>2087</v>
      </c>
      <c r="I450" s="2" t="s">
        <v>2088</v>
      </c>
      <c r="L450" s="2" t="s">
        <v>2089</v>
      </c>
      <c r="M450" s="2" t="s">
        <v>45</v>
      </c>
    </row>
    <row r="451" spans="1:16" ht="15" x14ac:dyDescent="0.2">
      <c r="A451" s="2" t="s">
        <v>2084</v>
      </c>
      <c r="B451" s="3" t="str">
        <f t="shared" si="24"/>
        <v>jared.wolf@cookmedical.com</v>
      </c>
      <c r="C451" s="3">
        <f t="shared" si="25"/>
        <v>1</v>
      </c>
      <c r="D451" s="2" t="s">
        <v>2090</v>
      </c>
      <c r="E451" s="2" t="s">
        <v>516</v>
      </c>
      <c r="F451" s="2" t="s">
        <v>1230</v>
      </c>
      <c r="I451" s="2" t="s">
        <v>2091</v>
      </c>
      <c r="L451" s="2" t="s">
        <v>1225</v>
      </c>
      <c r="M451" s="2" t="s">
        <v>45</v>
      </c>
    </row>
    <row r="452" spans="1:16" ht="13" x14ac:dyDescent="0.15">
      <c r="A452" s="4" t="s">
        <v>2092</v>
      </c>
      <c r="B452" s="3" t="str">
        <f t="shared" si="24"/>
        <v>Yes</v>
      </c>
      <c r="C452" s="3">
        <f t="shared" si="25"/>
        <v>446</v>
      </c>
      <c r="D452" s="5">
        <v>11514965905</v>
      </c>
      <c r="E452" s="4" t="s">
        <v>2093</v>
      </c>
      <c r="F452" s="4" t="s">
        <v>2094</v>
      </c>
      <c r="G452" s="4"/>
      <c r="H452" s="4" t="s">
        <v>34</v>
      </c>
      <c r="I452" s="4" t="s">
        <v>2095</v>
      </c>
      <c r="J452" s="6" t="s">
        <v>2096</v>
      </c>
      <c r="K452" s="4"/>
      <c r="L452" s="4" t="s">
        <v>2097</v>
      </c>
      <c r="M452" s="4" t="s">
        <v>38</v>
      </c>
      <c r="N452" s="4"/>
      <c r="O452" s="4"/>
      <c r="P452" s="4" t="str">
        <f>IF(OR(M452="Customer", M452="Opportunity", H452="Yes", H452=TRUE, G452="Yes", G452=TRUE, O452&gt;0), "YES", "NO")</f>
        <v>YES</v>
      </c>
    </row>
    <row r="453" spans="1:16" ht="15" x14ac:dyDescent="0.2">
      <c r="A453" s="2" t="s">
        <v>2098</v>
      </c>
      <c r="B453" s="3" t="str">
        <f t="shared" si="24"/>
        <v>richard.stewart@coopersurgical.com</v>
      </c>
      <c r="C453" s="3">
        <f t="shared" si="25"/>
        <v>1</v>
      </c>
      <c r="D453" s="2" t="s">
        <v>2099</v>
      </c>
      <c r="E453" s="2" t="s">
        <v>2100</v>
      </c>
      <c r="F453" s="2" t="s">
        <v>1341</v>
      </c>
      <c r="I453" s="2" t="s">
        <v>2101</v>
      </c>
      <c r="L453" s="2" t="s">
        <v>2102</v>
      </c>
      <c r="M453" s="2" t="s">
        <v>22</v>
      </c>
    </row>
    <row r="454" spans="1:16" ht="13" x14ac:dyDescent="0.15">
      <c r="A454" s="6" t="s">
        <v>2103</v>
      </c>
      <c r="B454" s="3" t="str">
        <f t="shared" si="24"/>
        <v>Yes</v>
      </c>
      <c r="C454" s="3">
        <f t="shared" si="25"/>
        <v>446</v>
      </c>
      <c r="D454" s="5">
        <v>11513088424</v>
      </c>
      <c r="E454" s="4" t="s">
        <v>207</v>
      </c>
      <c r="F454" s="4" t="s">
        <v>1076</v>
      </c>
      <c r="G454" s="4"/>
      <c r="H454" s="4" t="s">
        <v>34</v>
      </c>
      <c r="I454" s="4" t="s">
        <v>2104</v>
      </c>
      <c r="J454" s="6" t="s">
        <v>2103</v>
      </c>
      <c r="K454" s="4"/>
      <c r="L454" s="4" t="s">
        <v>2105</v>
      </c>
      <c r="M454" s="4" t="s">
        <v>38</v>
      </c>
      <c r="N454" s="4"/>
      <c r="O454" s="4"/>
      <c r="P454" s="4" t="str">
        <f>IF(OR(M454="Customer", M454="Opportunity", H454="Yes", H454=TRUE, G454="Yes", G454=TRUE, O454&gt;0), "YES", "NO")</f>
        <v>YES</v>
      </c>
    </row>
    <row r="455" spans="1:16" ht="13" x14ac:dyDescent="0.15">
      <c r="A455" s="4" t="s">
        <v>2106</v>
      </c>
      <c r="B455" s="3" t="str">
        <f t="shared" si="24"/>
        <v>Yes</v>
      </c>
      <c r="C455" s="3">
        <f t="shared" si="25"/>
        <v>446</v>
      </c>
      <c r="D455" s="5">
        <v>714</v>
      </c>
      <c r="E455" s="4" t="s">
        <v>694</v>
      </c>
      <c r="F455" s="4" t="s">
        <v>135</v>
      </c>
      <c r="G455" s="4"/>
      <c r="H455" s="4" t="s">
        <v>34</v>
      </c>
      <c r="I455" s="4" t="s">
        <v>2107</v>
      </c>
      <c r="J455" s="6" t="s">
        <v>2108</v>
      </c>
      <c r="K455" s="4"/>
      <c r="L455" s="4" t="s">
        <v>1006</v>
      </c>
      <c r="M455" s="4" t="s">
        <v>38</v>
      </c>
      <c r="N455" s="4"/>
      <c r="O455" s="4"/>
      <c r="P455" s="4" t="str">
        <f>IF(OR(M455="Customer", M455="Opportunity", H455="Yes", H455=TRUE, G455="Yes", G455=TRUE, O455&gt;0), "YES", "NO")</f>
        <v>YES</v>
      </c>
    </row>
    <row r="456" spans="1:16" ht="13" x14ac:dyDescent="0.15">
      <c r="A456" s="4" t="s">
        <v>2109</v>
      </c>
      <c r="B456" s="3" t="str">
        <f t="shared" si="24"/>
        <v>twhitney@cumulysinc.com</v>
      </c>
      <c r="C456" s="3">
        <f t="shared" si="25"/>
        <v>1</v>
      </c>
      <c r="D456" s="5">
        <v>58618078278</v>
      </c>
      <c r="E456" s="4" t="s">
        <v>2110</v>
      </c>
      <c r="F456" s="4" t="s">
        <v>2111</v>
      </c>
      <c r="G456" s="4"/>
      <c r="H456" s="4"/>
      <c r="I456" s="4" t="s">
        <v>2112</v>
      </c>
      <c r="J456" s="6" t="s">
        <v>2113</v>
      </c>
      <c r="K456" s="7">
        <v>45594.370138888888</v>
      </c>
      <c r="L456" s="4"/>
      <c r="M456" s="4" t="s">
        <v>1033</v>
      </c>
      <c r="N456" s="4"/>
      <c r="O456" s="5">
        <v>1</v>
      </c>
      <c r="P456" s="4" t="str">
        <f>IF(OR(M456="Customer", M456="Opportunity", H456="Yes", H456=TRUE, G456="Yes", G456=TRUE, O456&gt;0), "YES", "NO")</f>
        <v>YES</v>
      </c>
    </row>
    <row r="457" spans="1:16" ht="15" x14ac:dyDescent="0.2">
      <c r="A457" s="2" t="s">
        <v>2114</v>
      </c>
      <c r="B457" s="3" t="str">
        <f t="shared" si="24"/>
        <v>cwaugh@cutera.com</v>
      </c>
      <c r="C457" s="3">
        <f t="shared" si="25"/>
        <v>1</v>
      </c>
      <c r="D457" s="2" t="s">
        <v>2115</v>
      </c>
      <c r="E457" s="2" t="s">
        <v>2116</v>
      </c>
      <c r="F457" s="2" t="s">
        <v>2117</v>
      </c>
      <c r="I457" s="2" t="s">
        <v>2118</v>
      </c>
      <c r="L457" s="2" t="s">
        <v>185</v>
      </c>
      <c r="M457" s="2" t="s">
        <v>45</v>
      </c>
    </row>
    <row r="458" spans="1:16" ht="13" x14ac:dyDescent="0.15">
      <c r="A458" s="4" t="s">
        <v>2119</v>
      </c>
      <c r="B458" s="3" t="str">
        <f t="shared" si="24"/>
        <v>procopeg@aetna.com</v>
      </c>
      <c r="C458" s="3">
        <f t="shared" si="25"/>
        <v>1</v>
      </c>
      <c r="D458" s="5">
        <v>25013413725</v>
      </c>
      <c r="E458" s="4" t="s">
        <v>2120</v>
      </c>
      <c r="F458" s="4" t="s">
        <v>2121</v>
      </c>
      <c r="G458" s="4" t="s">
        <v>34</v>
      </c>
      <c r="H458" s="4"/>
      <c r="I458" s="4" t="s">
        <v>2122</v>
      </c>
      <c r="J458" s="6" t="s">
        <v>2123</v>
      </c>
      <c r="K458" s="4"/>
      <c r="L458" s="4" t="s">
        <v>1423</v>
      </c>
      <c r="M458" s="4"/>
      <c r="N458" s="4"/>
      <c r="O458" s="4"/>
      <c r="P458" s="4" t="str">
        <f>IF(OR(M458="Customer", M458="Opportunity", H458="Yes", H458=TRUE, G458="Yes", G458=TRUE, O458&gt;0), "YES", "NO")</f>
        <v>YES</v>
      </c>
    </row>
    <row r="459" spans="1:16" ht="13" x14ac:dyDescent="0.15">
      <c r="A459" s="4" t="s">
        <v>2119</v>
      </c>
      <c r="B459" s="3" t="str">
        <f t="shared" si="24"/>
        <v>dhimanv@aetna.com</v>
      </c>
      <c r="C459" s="3">
        <f t="shared" si="25"/>
        <v>1</v>
      </c>
      <c r="D459" s="5">
        <v>25013221004</v>
      </c>
      <c r="E459" s="4" t="s">
        <v>2124</v>
      </c>
      <c r="F459" s="4" t="s">
        <v>2125</v>
      </c>
      <c r="G459" s="4" t="s">
        <v>34</v>
      </c>
      <c r="H459" s="4"/>
      <c r="I459" s="4" t="s">
        <v>2126</v>
      </c>
      <c r="J459" s="6" t="s">
        <v>2123</v>
      </c>
      <c r="K459" s="4"/>
      <c r="L459" s="4" t="s">
        <v>2127</v>
      </c>
      <c r="M459" s="4"/>
      <c r="N459" s="4"/>
      <c r="O459" s="4"/>
      <c r="P459" s="4" t="str">
        <f>IF(OR(M459="Customer", M459="Opportunity", H459="Yes", H459=TRUE, G459="Yes", G459=TRUE, O459&gt;0), "YES", "NO")</f>
        <v>YES</v>
      </c>
    </row>
    <row r="460" spans="1:16" ht="15" x14ac:dyDescent="0.2">
      <c r="A460" s="2" t="s">
        <v>2119</v>
      </c>
      <c r="B460" s="3" t="str">
        <f t="shared" si="24"/>
        <v>manuela.birner@cvshealth.com</v>
      </c>
      <c r="C460" s="3">
        <f t="shared" si="25"/>
        <v>1</v>
      </c>
      <c r="D460" s="2" t="s">
        <v>2128</v>
      </c>
      <c r="E460" s="2" t="s">
        <v>2129</v>
      </c>
      <c r="F460" s="2" t="s">
        <v>2130</v>
      </c>
      <c r="I460" s="2" t="s">
        <v>2131</v>
      </c>
      <c r="L460" s="2" t="s">
        <v>2132</v>
      </c>
      <c r="M460" s="2" t="s">
        <v>45</v>
      </c>
    </row>
    <row r="461" spans="1:16" ht="15" x14ac:dyDescent="0.2">
      <c r="A461" s="2" t="s">
        <v>2119</v>
      </c>
      <c r="B461" s="3" t="str">
        <f t="shared" si="24"/>
        <v>ryan.greene@cvshealth.com</v>
      </c>
      <c r="C461" s="3">
        <f t="shared" si="25"/>
        <v>1</v>
      </c>
      <c r="D461" s="2" t="s">
        <v>2133</v>
      </c>
      <c r="E461" s="2" t="s">
        <v>2134</v>
      </c>
      <c r="F461" s="2" t="s">
        <v>2135</v>
      </c>
      <c r="I461" s="2" t="s">
        <v>2136</v>
      </c>
      <c r="L461" s="2" t="s">
        <v>2137</v>
      </c>
      <c r="M461" s="2" t="s">
        <v>45</v>
      </c>
    </row>
    <row r="462" spans="1:16" ht="15" x14ac:dyDescent="0.2">
      <c r="A462" s="2" t="s">
        <v>2119</v>
      </c>
      <c r="B462" s="3" t="str">
        <f t="shared" si="24"/>
        <v>sonia.arista@cvshealth.com</v>
      </c>
      <c r="C462" s="3">
        <f t="shared" si="25"/>
        <v>1</v>
      </c>
      <c r="D462" s="2" t="s">
        <v>2138</v>
      </c>
      <c r="E462" s="2" t="s">
        <v>2139</v>
      </c>
      <c r="F462" s="2" t="s">
        <v>2140</v>
      </c>
      <c r="I462" s="2" t="s">
        <v>2141</v>
      </c>
      <c r="L462" s="2" t="s">
        <v>2142</v>
      </c>
      <c r="M462" s="2" t="s">
        <v>45</v>
      </c>
    </row>
    <row r="463" spans="1:16" ht="15" x14ac:dyDescent="0.2">
      <c r="A463" s="2" t="s">
        <v>2119</v>
      </c>
      <c r="B463" s="3" t="str">
        <f t="shared" si="24"/>
        <v>rosie.thomas@cvshealth.com</v>
      </c>
      <c r="C463" s="3">
        <f t="shared" si="25"/>
        <v>1</v>
      </c>
      <c r="D463" s="2" t="s">
        <v>2143</v>
      </c>
      <c r="E463" s="2" t="s">
        <v>2144</v>
      </c>
      <c r="F463" s="2" t="s">
        <v>1126</v>
      </c>
      <c r="I463" s="2" t="s">
        <v>2145</v>
      </c>
      <c r="L463" s="2" t="s">
        <v>68</v>
      </c>
      <c r="M463" s="2" t="s">
        <v>22</v>
      </c>
    </row>
    <row r="464" spans="1:16" ht="15" x14ac:dyDescent="0.2">
      <c r="A464" s="2" t="s">
        <v>2119</v>
      </c>
      <c r="B464" s="3" t="str">
        <f t="shared" si="24"/>
        <v>zain.siddiqui@cvshealth.com</v>
      </c>
      <c r="C464" s="3">
        <f t="shared" si="25"/>
        <v>1</v>
      </c>
      <c r="D464" s="2" t="s">
        <v>2146</v>
      </c>
      <c r="E464" s="2" t="s">
        <v>2147</v>
      </c>
      <c r="F464" s="2" t="s">
        <v>2148</v>
      </c>
      <c r="I464" s="2" t="s">
        <v>2149</v>
      </c>
      <c r="L464" s="2" t="s">
        <v>2150</v>
      </c>
      <c r="M464" s="2" t="s">
        <v>22</v>
      </c>
    </row>
    <row r="465" spans="1:13" ht="15" x14ac:dyDescent="0.2">
      <c r="A465" s="2" t="s">
        <v>2119</v>
      </c>
      <c r="B465" s="3" t="str">
        <f t="shared" si="24"/>
        <v>vinith@cvshealth.com</v>
      </c>
      <c r="C465" s="3">
        <f t="shared" si="25"/>
        <v>1</v>
      </c>
      <c r="D465" s="2" t="s">
        <v>2151</v>
      </c>
      <c r="E465" s="2" t="s">
        <v>2152</v>
      </c>
      <c r="F465" s="2" t="s">
        <v>2153</v>
      </c>
      <c r="I465" s="2" t="s">
        <v>2154</v>
      </c>
      <c r="L465" s="2" t="s">
        <v>2155</v>
      </c>
      <c r="M465" s="2" t="s">
        <v>22</v>
      </c>
    </row>
    <row r="466" spans="1:13" ht="15" x14ac:dyDescent="0.2">
      <c r="A466" s="2" t="s">
        <v>2119</v>
      </c>
      <c r="B466" s="3" t="str">
        <f t="shared" si="24"/>
        <v>tyler.mott@cvshealth.com</v>
      </c>
      <c r="C466" s="3">
        <f t="shared" si="25"/>
        <v>1</v>
      </c>
      <c r="D466" s="2" t="s">
        <v>2156</v>
      </c>
      <c r="E466" s="2" t="s">
        <v>1161</v>
      </c>
      <c r="F466" s="2" t="s">
        <v>2157</v>
      </c>
      <c r="I466" s="2" t="s">
        <v>2158</v>
      </c>
      <c r="L466" s="2" t="s">
        <v>2159</v>
      </c>
      <c r="M466" s="2" t="s">
        <v>22</v>
      </c>
    </row>
    <row r="467" spans="1:13" ht="15" x14ac:dyDescent="0.2">
      <c r="A467" s="2" t="s">
        <v>2119</v>
      </c>
      <c r="B467" s="3" t="str">
        <f t="shared" si="24"/>
        <v>christine.motta@cvshealth.com</v>
      </c>
      <c r="C467" s="3">
        <f t="shared" si="25"/>
        <v>1</v>
      </c>
      <c r="D467" s="2" t="s">
        <v>2160</v>
      </c>
      <c r="E467" s="2" t="s">
        <v>1053</v>
      </c>
      <c r="F467" s="2" t="s">
        <v>2161</v>
      </c>
      <c r="I467" s="2" t="s">
        <v>2162</v>
      </c>
      <c r="L467" s="2" t="s">
        <v>1225</v>
      </c>
      <c r="M467" s="2" t="s">
        <v>45</v>
      </c>
    </row>
    <row r="468" spans="1:13" ht="15" x14ac:dyDescent="0.2">
      <c r="A468" s="2" t="s">
        <v>2119</v>
      </c>
      <c r="B468" s="3" t="str">
        <f t="shared" si="24"/>
        <v>frank.kapica@cvshealth.com</v>
      </c>
      <c r="C468" s="3">
        <f t="shared" si="25"/>
        <v>1</v>
      </c>
      <c r="D468" s="2" t="s">
        <v>2163</v>
      </c>
      <c r="E468" s="2" t="s">
        <v>1998</v>
      </c>
      <c r="F468" s="2" t="s">
        <v>2164</v>
      </c>
      <c r="I468" s="2" t="s">
        <v>2165</v>
      </c>
      <c r="L468" s="2" t="s">
        <v>2166</v>
      </c>
      <c r="M468" s="2" t="s">
        <v>45</v>
      </c>
    </row>
    <row r="469" spans="1:13" ht="15" x14ac:dyDescent="0.2">
      <c r="A469" s="2" t="s">
        <v>2119</v>
      </c>
      <c r="B469" s="3" t="str">
        <f t="shared" si="24"/>
        <v>milpesh.anjan@cvshealth.com</v>
      </c>
      <c r="C469" s="3">
        <f t="shared" si="25"/>
        <v>1</v>
      </c>
      <c r="D469" s="2" t="s">
        <v>2167</v>
      </c>
      <c r="E469" s="2" t="s">
        <v>2168</v>
      </c>
      <c r="F469" s="2" t="s">
        <v>2169</v>
      </c>
      <c r="I469" s="2" t="s">
        <v>2170</v>
      </c>
      <c r="L469" s="2" t="s">
        <v>2171</v>
      </c>
      <c r="M469" s="2" t="s">
        <v>22</v>
      </c>
    </row>
    <row r="470" spans="1:13" ht="15" x14ac:dyDescent="0.2">
      <c r="A470" s="2" t="s">
        <v>2119</v>
      </c>
      <c r="B470" s="3" t="str">
        <f t="shared" si="24"/>
        <v>stephanie.sheaffer@cvshealth.com</v>
      </c>
      <c r="C470" s="3">
        <f t="shared" si="25"/>
        <v>1</v>
      </c>
      <c r="D470" s="2" t="s">
        <v>2172</v>
      </c>
      <c r="E470" s="2" t="s">
        <v>2173</v>
      </c>
      <c r="F470" s="2" t="s">
        <v>2174</v>
      </c>
      <c r="I470" s="2" t="s">
        <v>2175</v>
      </c>
      <c r="L470" s="2" t="s">
        <v>2176</v>
      </c>
      <c r="M470" s="2" t="s">
        <v>45</v>
      </c>
    </row>
    <row r="471" spans="1:13" ht="15" x14ac:dyDescent="0.2">
      <c r="A471" s="2" t="s">
        <v>2119</v>
      </c>
      <c r="B471" s="3" t="str">
        <f t="shared" si="24"/>
        <v>gary.gray@cvshealth.com</v>
      </c>
      <c r="C471" s="3">
        <f t="shared" si="25"/>
        <v>1</v>
      </c>
      <c r="D471" s="2" t="s">
        <v>2177</v>
      </c>
      <c r="E471" s="2" t="s">
        <v>603</v>
      </c>
      <c r="F471" s="2" t="s">
        <v>2178</v>
      </c>
      <c r="I471" s="2" t="s">
        <v>2179</v>
      </c>
      <c r="L471" s="2" t="s">
        <v>2180</v>
      </c>
      <c r="M471" s="2" t="s">
        <v>22</v>
      </c>
    </row>
    <row r="472" spans="1:13" ht="15" x14ac:dyDescent="0.2">
      <c r="A472" s="2" t="s">
        <v>2119</v>
      </c>
      <c r="B472" s="3" t="str">
        <f t="shared" si="24"/>
        <v>fennie.lam@cvshealth.com</v>
      </c>
      <c r="C472" s="3">
        <f t="shared" si="25"/>
        <v>1</v>
      </c>
      <c r="D472" s="2" t="s">
        <v>2181</v>
      </c>
      <c r="E472" s="2" t="s">
        <v>2182</v>
      </c>
      <c r="F472" s="2" t="s">
        <v>2183</v>
      </c>
      <c r="I472" s="2" t="s">
        <v>2184</v>
      </c>
      <c r="L472" s="2" t="s">
        <v>2185</v>
      </c>
      <c r="M472" s="2" t="s">
        <v>45</v>
      </c>
    </row>
    <row r="473" spans="1:13" ht="15" x14ac:dyDescent="0.2">
      <c r="A473" s="2" t="s">
        <v>2119</v>
      </c>
      <c r="B473" s="3" t="str">
        <f t="shared" si="24"/>
        <v>ahmad.el-asmar@cvshealth.com</v>
      </c>
      <c r="C473" s="3">
        <f t="shared" si="25"/>
        <v>1</v>
      </c>
      <c r="D473" s="2" t="s">
        <v>2186</v>
      </c>
      <c r="E473" s="2" t="s">
        <v>2187</v>
      </c>
      <c r="F473" s="2" t="s">
        <v>2188</v>
      </c>
      <c r="I473" s="2" t="s">
        <v>2189</v>
      </c>
      <c r="L473" s="2" t="s">
        <v>2190</v>
      </c>
      <c r="M473" s="2" t="s">
        <v>45</v>
      </c>
    </row>
    <row r="474" spans="1:13" ht="15" x14ac:dyDescent="0.2">
      <c r="A474" s="2" t="s">
        <v>2119</v>
      </c>
      <c r="B474" s="3" t="str">
        <f t="shared" si="24"/>
        <v>virender.dhiman@cvshealth.com</v>
      </c>
      <c r="C474" s="3">
        <f t="shared" si="25"/>
        <v>1</v>
      </c>
      <c r="D474" s="2" t="s">
        <v>2191</v>
      </c>
      <c r="E474" s="2" t="s">
        <v>2124</v>
      </c>
      <c r="F474" s="2" t="s">
        <v>2125</v>
      </c>
      <c r="I474" s="2" t="s">
        <v>2192</v>
      </c>
      <c r="L474" s="2" t="s">
        <v>2193</v>
      </c>
      <c r="M474" s="2" t="s">
        <v>45</v>
      </c>
    </row>
    <row r="475" spans="1:13" ht="15" x14ac:dyDescent="0.2">
      <c r="A475" s="2" t="s">
        <v>2119</v>
      </c>
      <c r="B475" s="3" t="str">
        <f t="shared" si="24"/>
        <v>tina.turner@cvshealth.com</v>
      </c>
      <c r="C475" s="3">
        <f t="shared" si="25"/>
        <v>1</v>
      </c>
      <c r="D475" s="2" t="s">
        <v>2194</v>
      </c>
      <c r="E475" s="2" t="s">
        <v>2195</v>
      </c>
      <c r="F475" s="2" t="s">
        <v>2196</v>
      </c>
      <c r="I475" s="2" t="s">
        <v>2197</v>
      </c>
      <c r="L475" s="2" t="s">
        <v>424</v>
      </c>
      <c r="M475" s="2" t="s">
        <v>45</v>
      </c>
    </row>
    <row r="476" spans="1:13" ht="15" x14ac:dyDescent="0.2">
      <c r="A476" s="2" t="s">
        <v>2119</v>
      </c>
      <c r="B476" s="3" t="str">
        <f t="shared" si="24"/>
        <v>tom.joseph@cvshealth.com</v>
      </c>
      <c r="C476" s="3">
        <f t="shared" si="25"/>
        <v>1</v>
      </c>
      <c r="D476" s="2" t="s">
        <v>2198</v>
      </c>
      <c r="E476" s="2" t="s">
        <v>945</v>
      </c>
      <c r="F476" s="2" t="s">
        <v>153</v>
      </c>
      <c r="I476" s="2" t="s">
        <v>2199</v>
      </c>
      <c r="L476" s="2" t="s">
        <v>2200</v>
      </c>
      <c r="M476" s="2" t="s">
        <v>22</v>
      </c>
    </row>
    <row r="477" spans="1:13" ht="15" x14ac:dyDescent="0.2">
      <c r="A477" s="2" t="s">
        <v>2119</v>
      </c>
      <c r="B477" s="3" t="str">
        <f t="shared" si="24"/>
        <v>oliver.ambu@cvshealth.com</v>
      </c>
      <c r="C477" s="3">
        <f t="shared" si="25"/>
        <v>1</v>
      </c>
      <c r="D477" s="2" t="s">
        <v>2201</v>
      </c>
      <c r="E477" s="2" t="s">
        <v>2202</v>
      </c>
      <c r="F477" s="2" t="s">
        <v>2203</v>
      </c>
      <c r="I477" s="2" t="s">
        <v>2204</v>
      </c>
      <c r="L477" s="2" t="s">
        <v>2205</v>
      </c>
      <c r="M477" s="2" t="s">
        <v>22</v>
      </c>
    </row>
    <row r="478" spans="1:13" ht="15" x14ac:dyDescent="0.2">
      <c r="A478" s="2" t="s">
        <v>2119</v>
      </c>
      <c r="B478" s="3" t="str">
        <f t="shared" si="24"/>
        <v>jason.abrahamson@cvshealth.com</v>
      </c>
      <c r="C478" s="3">
        <f t="shared" si="25"/>
        <v>1</v>
      </c>
      <c r="D478" s="2" t="s">
        <v>2206</v>
      </c>
      <c r="E478" s="2" t="s">
        <v>405</v>
      </c>
      <c r="F478" s="2" t="s">
        <v>2207</v>
      </c>
      <c r="I478" s="2" t="s">
        <v>2208</v>
      </c>
      <c r="L478" s="2" t="s">
        <v>2209</v>
      </c>
      <c r="M478" s="2" t="s">
        <v>45</v>
      </c>
    </row>
    <row r="479" spans="1:13" ht="15" x14ac:dyDescent="0.2">
      <c r="A479" s="2" t="s">
        <v>2119</v>
      </c>
      <c r="B479" s="3" t="str">
        <f t="shared" si="24"/>
        <v>michael.young@cvshealth.com</v>
      </c>
      <c r="C479" s="3">
        <f t="shared" si="25"/>
        <v>1</v>
      </c>
      <c r="D479" s="2" t="s">
        <v>2210</v>
      </c>
      <c r="E479" s="2" t="s">
        <v>59</v>
      </c>
      <c r="F479" s="2" t="s">
        <v>2211</v>
      </c>
      <c r="I479" s="2" t="s">
        <v>2212</v>
      </c>
      <c r="L479" s="2" t="s">
        <v>132</v>
      </c>
      <c r="M479" s="2" t="s">
        <v>45</v>
      </c>
    </row>
    <row r="480" spans="1:13" ht="15" x14ac:dyDescent="0.2">
      <c r="A480" s="2" t="s">
        <v>2119</v>
      </c>
      <c r="B480" s="3" t="str">
        <f t="shared" si="24"/>
        <v>jonathan.cote@cvshealth.com</v>
      </c>
      <c r="C480" s="3">
        <f t="shared" si="25"/>
        <v>1</v>
      </c>
      <c r="D480" s="2" t="s">
        <v>2213</v>
      </c>
      <c r="E480" s="2" t="s">
        <v>1384</v>
      </c>
      <c r="F480" s="2" t="s">
        <v>2214</v>
      </c>
      <c r="I480" s="2" t="s">
        <v>2215</v>
      </c>
      <c r="L480" s="2" t="s">
        <v>2216</v>
      </c>
      <c r="M480" s="2" t="s">
        <v>22</v>
      </c>
    </row>
    <row r="481" spans="1:13" ht="15" x14ac:dyDescent="0.2">
      <c r="A481" s="2" t="s">
        <v>2119</v>
      </c>
      <c r="B481" s="3" t="str">
        <f t="shared" si="24"/>
        <v>uzair.khan@cvshealth.com</v>
      </c>
      <c r="C481" s="3">
        <f t="shared" si="25"/>
        <v>1</v>
      </c>
      <c r="D481" s="2" t="s">
        <v>2217</v>
      </c>
      <c r="E481" s="2" t="s">
        <v>2218</v>
      </c>
      <c r="F481" s="2" t="s">
        <v>1090</v>
      </c>
      <c r="I481" s="2" t="s">
        <v>2219</v>
      </c>
      <c r="L481" s="2" t="s">
        <v>2220</v>
      </c>
      <c r="M481" s="2" t="s">
        <v>22</v>
      </c>
    </row>
    <row r="482" spans="1:13" ht="15" x14ac:dyDescent="0.2">
      <c r="A482" s="2" t="s">
        <v>2119</v>
      </c>
      <c r="B482" s="3" t="str">
        <f t="shared" si="24"/>
        <v>gary.francis@cvshealth.com</v>
      </c>
      <c r="C482" s="3">
        <f t="shared" si="25"/>
        <v>1</v>
      </c>
      <c r="D482" s="2" t="s">
        <v>2221</v>
      </c>
      <c r="E482" s="2" t="s">
        <v>603</v>
      </c>
      <c r="F482" s="2" t="s">
        <v>1071</v>
      </c>
      <c r="I482" s="2" t="s">
        <v>2222</v>
      </c>
      <c r="L482" s="2" t="s">
        <v>2223</v>
      </c>
      <c r="M482" s="2" t="s">
        <v>45</v>
      </c>
    </row>
    <row r="483" spans="1:13" ht="15" x14ac:dyDescent="0.2">
      <c r="A483" s="2" t="s">
        <v>2119</v>
      </c>
      <c r="B483" s="3" t="str">
        <f t="shared" si="24"/>
        <v>colleen.cournoyer@cvshealth.com</v>
      </c>
      <c r="C483" s="3">
        <f t="shared" si="25"/>
        <v>1</v>
      </c>
      <c r="D483" s="2" t="s">
        <v>2224</v>
      </c>
      <c r="E483" s="2" t="s">
        <v>2225</v>
      </c>
      <c r="F483" s="2" t="s">
        <v>2226</v>
      </c>
      <c r="I483" s="2" t="s">
        <v>2227</v>
      </c>
      <c r="L483" s="2" t="s">
        <v>2228</v>
      </c>
      <c r="M483" s="2" t="s">
        <v>45</v>
      </c>
    </row>
    <row r="484" spans="1:13" ht="15" x14ac:dyDescent="0.2">
      <c r="A484" s="2" t="s">
        <v>2119</v>
      </c>
      <c r="B484" s="3" t="str">
        <f t="shared" si="24"/>
        <v>edward.gauvin@cvshealth.com</v>
      </c>
      <c r="C484" s="3">
        <f t="shared" si="25"/>
        <v>1</v>
      </c>
      <c r="D484" s="2" t="s">
        <v>2229</v>
      </c>
      <c r="E484" s="2" t="s">
        <v>2230</v>
      </c>
      <c r="F484" s="2" t="s">
        <v>2231</v>
      </c>
      <c r="I484" s="2" t="s">
        <v>2232</v>
      </c>
      <c r="L484" s="2" t="s">
        <v>2233</v>
      </c>
      <c r="M484" s="2" t="s">
        <v>45</v>
      </c>
    </row>
    <row r="485" spans="1:13" ht="15" x14ac:dyDescent="0.2">
      <c r="A485" s="2" t="s">
        <v>2119</v>
      </c>
      <c r="B485" s="3" t="str">
        <f t="shared" si="24"/>
        <v>alen.peco@cvshealth.com</v>
      </c>
      <c r="C485" s="3">
        <f t="shared" si="25"/>
        <v>1</v>
      </c>
      <c r="D485" s="2" t="s">
        <v>2234</v>
      </c>
      <c r="E485" s="2" t="s">
        <v>2235</v>
      </c>
      <c r="F485" s="2" t="s">
        <v>2236</v>
      </c>
      <c r="I485" s="2" t="s">
        <v>2237</v>
      </c>
      <c r="L485" s="2" t="s">
        <v>2238</v>
      </c>
      <c r="M485" s="2" t="s">
        <v>45</v>
      </c>
    </row>
    <row r="486" spans="1:13" ht="15" x14ac:dyDescent="0.2">
      <c r="A486" s="2" t="s">
        <v>2119</v>
      </c>
      <c r="B486" s="3" t="str">
        <f t="shared" si="24"/>
        <v>donnie.dugger@cvshealth.com</v>
      </c>
      <c r="C486" s="3">
        <f t="shared" si="25"/>
        <v>1</v>
      </c>
      <c r="D486" s="2" t="s">
        <v>2239</v>
      </c>
      <c r="E486" s="2" t="s">
        <v>2240</v>
      </c>
      <c r="F486" s="2" t="s">
        <v>2241</v>
      </c>
      <c r="I486" s="2" t="s">
        <v>2242</v>
      </c>
      <c r="L486" s="2" t="s">
        <v>2243</v>
      </c>
      <c r="M486" s="2" t="s">
        <v>45</v>
      </c>
    </row>
    <row r="487" spans="1:13" ht="15" x14ac:dyDescent="0.2">
      <c r="A487" s="2" t="s">
        <v>2119</v>
      </c>
      <c r="B487" s="3" t="str">
        <f t="shared" si="24"/>
        <v>ryan.le@cvshealth.com</v>
      </c>
      <c r="C487" s="3">
        <f t="shared" si="25"/>
        <v>1</v>
      </c>
      <c r="D487" s="2" t="s">
        <v>2244</v>
      </c>
      <c r="E487" s="2" t="s">
        <v>2134</v>
      </c>
      <c r="F487" s="2" t="s">
        <v>2064</v>
      </c>
      <c r="I487" s="2" t="s">
        <v>2245</v>
      </c>
      <c r="L487" s="2" t="s">
        <v>2246</v>
      </c>
      <c r="M487" s="2" t="s">
        <v>22</v>
      </c>
    </row>
    <row r="488" spans="1:13" ht="15" x14ac:dyDescent="0.2">
      <c r="A488" s="2" t="s">
        <v>2119</v>
      </c>
      <c r="B488" s="3" t="str">
        <f t="shared" si="24"/>
        <v>michael.spanier@cvshealth.com</v>
      </c>
      <c r="C488" s="3">
        <f t="shared" si="25"/>
        <v>1</v>
      </c>
      <c r="D488" s="2" t="s">
        <v>2247</v>
      </c>
      <c r="E488" s="2" t="s">
        <v>59</v>
      </c>
      <c r="F488" s="2" t="s">
        <v>2248</v>
      </c>
      <c r="I488" s="2" t="s">
        <v>2249</v>
      </c>
      <c r="L488" s="2" t="s">
        <v>2250</v>
      </c>
      <c r="M488" s="2" t="s">
        <v>45</v>
      </c>
    </row>
    <row r="489" spans="1:13" ht="15" x14ac:dyDescent="0.2">
      <c r="A489" s="2" t="s">
        <v>2119</v>
      </c>
      <c r="B489" s="3" t="str">
        <f t="shared" si="24"/>
        <v>kimberly.fraser@cvshealth.com</v>
      </c>
      <c r="C489" s="3">
        <f t="shared" si="25"/>
        <v>1</v>
      </c>
      <c r="D489" s="2" t="s">
        <v>2251</v>
      </c>
      <c r="E489" s="2" t="s">
        <v>2252</v>
      </c>
      <c r="F489" s="2" t="s">
        <v>2253</v>
      </c>
      <c r="I489" s="2" t="s">
        <v>2254</v>
      </c>
      <c r="L489" s="2" t="s">
        <v>2255</v>
      </c>
      <c r="M489" s="2" t="s">
        <v>45</v>
      </c>
    </row>
    <row r="490" spans="1:13" ht="15" x14ac:dyDescent="0.2">
      <c r="A490" s="2" t="s">
        <v>2119</v>
      </c>
      <c r="B490" s="3" t="str">
        <f t="shared" si="24"/>
        <v>hari.shanmugam@cvshealth.com</v>
      </c>
      <c r="C490" s="3">
        <f t="shared" si="25"/>
        <v>1</v>
      </c>
      <c r="D490" s="2" t="s">
        <v>2256</v>
      </c>
      <c r="E490" s="2" t="s">
        <v>2257</v>
      </c>
      <c r="F490" s="2" t="s">
        <v>2258</v>
      </c>
      <c r="I490" s="2" t="s">
        <v>2259</v>
      </c>
      <c r="L490" s="2" t="s">
        <v>2260</v>
      </c>
      <c r="M490" s="2" t="s">
        <v>45</v>
      </c>
    </row>
    <row r="491" spans="1:13" ht="15" x14ac:dyDescent="0.2">
      <c r="A491" s="2" t="s">
        <v>2119</v>
      </c>
      <c r="B491" s="3" t="str">
        <f t="shared" si="24"/>
        <v>jordan.lemite@cvshealth.com</v>
      </c>
      <c r="C491" s="3">
        <f t="shared" si="25"/>
        <v>1</v>
      </c>
      <c r="D491" s="2" t="s">
        <v>2261</v>
      </c>
      <c r="E491" s="2" t="s">
        <v>2262</v>
      </c>
      <c r="F491" s="2" t="s">
        <v>2263</v>
      </c>
      <c r="I491" s="2" t="s">
        <v>2264</v>
      </c>
      <c r="L491" s="2" t="s">
        <v>132</v>
      </c>
      <c r="M491" s="2" t="s">
        <v>22</v>
      </c>
    </row>
    <row r="492" spans="1:13" ht="15" x14ac:dyDescent="0.2">
      <c r="A492" s="2" t="s">
        <v>2119</v>
      </c>
      <c r="B492" s="3" t="str">
        <f t="shared" si="24"/>
        <v>genevieve.boateng@cvshealth.com</v>
      </c>
      <c r="C492" s="3">
        <f t="shared" si="25"/>
        <v>1</v>
      </c>
      <c r="D492" s="2" t="s">
        <v>2265</v>
      </c>
      <c r="E492" s="2" t="s">
        <v>2266</v>
      </c>
      <c r="F492" s="2" t="s">
        <v>2267</v>
      </c>
      <c r="I492" s="2" t="s">
        <v>2268</v>
      </c>
      <c r="L492" s="2" t="s">
        <v>132</v>
      </c>
      <c r="M492" s="2" t="s">
        <v>45</v>
      </c>
    </row>
    <row r="493" spans="1:13" ht="15" x14ac:dyDescent="0.2">
      <c r="A493" s="2" t="s">
        <v>2119</v>
      </c>
      <c r="B493" s="3" t="str">
        <f t="shared" si="24"/>
        <v>emmanuel.reynoso@cvshealth.com</v>
      </c>
      <c r="C493" s="3">
        <f t="shared" si="25"/>
        <v>1</v>
      </c>
      <c r="D493" s="2" t="s">
        <v>2269</v>
      </c>
      <c r="E493" s="2" t="s">
        <v>2270</v>
      </c>
      <c r="F493" s="2" t="s">
        <v>2271</v>
      </c>
      <c r="I493" s="2" t="s">
        <v>2272</v>
      </c>
      <c r="L493" s="2" t="s">
        <v>562</v>
      </c>
      <c r="M493" s="2" t="s">
        <v>45</v>
      </c>
    </row>
    <row r="494" spans="1:13" ht="15" x14ac:dyDescent="0.2">
      <c r="A494" s="2" t="s">
        <v>2119</v>
      </c>
      <c r="B494" s="3" t="str">
        <f t="shared" si="24"/>
        <v>jasmeet.pandher@cvshealth.com</v>
      </c>
      <c r="C494" s="3">
        <f t="shared" si="25"/>
        <v>1</v>
      </c>
      <c r="D494" s="2" t="s">
        <v>2273</v>
      </c>
      <c r="E494" s="2" t="s">
        <v>2274</v>
      </c>
      <c r="F494" s="2" t="s">
        <v>2275</v>
      </c>
      <c r="I494" s="2" t="s">
        <v>2276</v>
      </c>
      <c r="L494" s="2" t="s">
        <v>2277</v>
      </c>
      <c r="M494" s="2" t="s">
        <v>45</v>
      </c>
    </row>
    <row r="495" spans="1:13" ht="15" x14ac:dyDescent="0.2">
      <c r="A495" s="2" t="s">
        <v>2119</v>
      </c>
      <c r="B495" s="3" t="str">
        <f t="shared" si="24"/>
        <v>david.lee@cvshealth.com</v>
      </c>
      <c r="C495" s="3">
        <f t="shared" si="25"/>
        <v>1</v>
      </c>
      <c r="D495" s="2" t="s">
        <v>2278</v>
      </c>
      <c r="E495" s="2" t="s">
        <v>119</v>
      </c>
      <c r="F495" s="2" t="s">
        <v>774</v>
      </c>
      <c r="I495" s="2" t="s">
        <v>2279</v>
      </c>
      <c r="L495" s="2" t="s">
        <v>2280</v>
      </c>
      <c r="M495" s="2" t="s">
        <v>45</v>
      </c>
    </row>
    <row r="496" spans="1:13" ht="15" x14ac:dyDescent="0.2">
      <c r="A496" s="2" t="s">
        <v>2119</v>
      </c>
      <c r="B496" s="3" t="str">
        <f t="shared" si="24"/>
        <v>jason.beck@cvshealth.com</v>
      </c>
      <c r="C496" s="3">
        <f t="shared" si="25"/>
        <v>1</v>
      </c>
      <c r="D496" s="2" t="s">
        <v>2281</v>
      </c>
      <c r="E496" s="2" t="s">
        <v>405</v>
      </c>
      <c r="F496" s="2" t="s">
        <v>2282</v>
      </c>
      <c r="I496" s="2" t="s">
        <v>2283</v>
      </c>
      <c r="L496" s="2" t="s">
        <v>2284</v>
      </c>
      <c r="M496" s="2" t="s">
        <v>45</v>
      </c>
    </row>
    <row r="497" spans="1:16" ht="15" x14ac:dyDescent="0.2">
      <c r="A497" s="2" t="s">
        <v>2119</v>
      </c>
      <c r="B497" s="3" t="str">
        <f t="shared" si="24"/>
        <v>travis@cvshealth.com</v>
      </c>
      <c r="C497" s="3">
        <f t="shared" si="25"/>
        <v>1</v>
      </c>
      <c r="D497" s="2" t="s">
        <v>2285</v>
      </c>
      <c r="E497" s="2" t="s">
        <v>2286</v>
      </c>
      <c r="F497" s="2" t="s">
        <v>2064</v>
      </c>
      <c r="I497" s="2" t="s">
        <v>2287</v>
      </c>
      <c r="L497" s="2" t="s">
        <v>2288</v>
      </c>
      <c r="M497" s="2" t="s">
        <v>22</v>
      </c>
    </row>
    <row r="498" spans="1:16" ht="15" x14ac:dyDescent="0.2">
      <c r="A498" s="2" t="s">
        <v>2119</v>
      </c>
      <c r="B498" s="3" t="str">
        <f t="shared" si="24"/>
        <v>frank.clark@cvshealth.com</v>
      </c>
      <c r="C498" s="3">
        <f t="shared" si="25"/>
        <v>1</v>
      </c>
      <c r="D498" s="2" t="s">
        <v>2289</v>
      </c>
      <c r="E498" s="2" t="s">
        <v>1998</v>
      </c>
      <c r="F498" s="2" t="s">
        <v>2290</v>
      </c>
      <c r="I498" s="2" t="s">
        <v>2291</v>
      </c>
      <c r="L498" s="2" t="s">
        <v>2292</v>
      </c>
      <c r="M498" s="2" t="s">
        <v>45</v>
      </c>
    </row>
    <row r="499" spans="1:16" ht="15" x14ac:dyDescent="0.2">
      <c r="A499" s="2" t="s">
        <v>2119</v>
      </c>
      <c r="B499" s="3" t="str">
        <f t="shared" si="24"/>
        <v>emeka.izegbu@cvshealth.com</v>
      </c>
      <c r="C499" s="3">
        <f t="shared" si="25"/>
        <v>1</v>
      </c>
      <c r="D499" s="2" t="s">
        <v>2293</v>
      </c>
      <c r="E499" s="2" t="s">
        <v>2294</v>
      </c>
      <c r="F499" s="2" t="s">
        <v>2295</v>
      </c>
      <c r="I499" s="2" t="s">
        <v>2296</v>
      </c>
      <c r="L499" s="2" t="s">
        <v>132</v>
      </c>
      <c r="M499" s="2" t="s">
        <v>45</v>
      </c>
    </row>
    <row r="500" spans="1:16" ht="15" x14ac:dyDescent="0.2">
      <c r="A500" s="2" t="s">
        <v>2119</v>
      </c>
      <c r="B500" s="3" t="str">
        <f t="shared" si="24"/>
        <v>susan.degregory@cvshealth.com</v>
      </c>
      <c r="C500" s="3">
        <f t="shared" si="25"/>
        <v>1</v>
      </c>
      <c r="D500" s="2" t="s">
        <v>2297</v>
      </c>
      <c r="E500" s="2" t="s">
        <v>1648</v>
      </c>
      <c r="F500" s="2" t="s">
        <v>2298</v>
      </c>
      <c r="I500" s="2" t="s">
        <v>2299</v>
      </c>
      <c r="L500" s="2" t="s">
        <v>2300</v>
      </c>
      <c r="M500" s="2" t="s">
        <v>22</v>
      </c>
    </row>
    <row r="501" spans="1:16" ht="15" x14ac:dyDescent="0.2">
      <c r="A501" s="2" t="s">
        <v>2119</v>
      </c>
      <c r="B501" s="3" t="str">
        <f t="shared" si="24"/>
        <v>joseph.gallagher@cvshealth.com</v>
      </c>
      <c r="C501" s="3">
        <f t="shared" si="25"/>
        <v>1</v>
      </c>
      <c r="D501" s="2" t="s">
        <v>2301</v>
      </c>
      <c r="E501" s="2" t="s">
        <v>153</v>
      </c>
      <c r="F501" s="2" t="s">
        <v>2302</v>
      </c>
      <c r="I501" s="2" t="s">
        <v>2303</v>
      </c>
      <c r="L501" s="2" t="s">
        <v>2304</v>
      </c>
      <c r="M501" s="2" t="s">
        <v>45</v>
      </c>
    </row>
    <row r="502" spans="1:16" ht="15" x14ac:dyDescent="0.2">
      <c r="A502" s="2" t="s">
        <v>2119</v>
      </c>
      <c r="B502" s="3" t="str">
        <f t="shared" si="24"/>
        <v>mark.lojo@cvshealth.com</v>
      </c>
      <c r="C502" s="3">
        <f t="shared" si="25"/>
        <v>1</v>
      </c>
      <c r="D502" s="2" t="s">
        <v>2305</v>
      </c>
      <c r="E502" s="2" t="s">
        <v>192</v>
      </c>
      <c r="F502" s="2" t="s">
        <v>2306</v>
      </c>
      <c r="I502" s="2" t="s">
        <v>2307</v>
      </c>
      <c r="L502" s="2" t="s">
        <v>2308</v>
      </c>
      <c r="M502" s="2" t="s">
        <v>22</v>
      </c>
    </row>
    <row r="503" spans="1:16" ht="15" x14ac:dyDescent="0.2">
      <c r="A503" s="2" t="s">
        <v>2119</v>
      </c>
      <c r="B503" s="3" t="str">
        <f t="shared" si="24"/>
        <v>brian.tam@cvshealth.com</v>
      </c>
      <c r="C503" s="3">
        <f t="shared" si="25"/>
        <v>1</v>
      </c>
      <c r="D503" s="2" t="s">
        <v>2309</v>
      </c>
      <c r="E503" s="2" t="s">
        <v>541</v>
      </c>
      <c r="F503" s="2" t="s">
        <v>2310</v>
      </c>
      <c r="I503" s="2" t="s">
        <v>2311</v>
      </c>
      <c r="L503" s="2" t="s">
        <v>2312</v>
      </c>
      <c r="M503" s="2" t="s">
        <v>45</v>
      </c>
    </row>
    <row r="504" spans="1:16" ht="15" x14ac:dyDescent="0.2">
      <c r="A504" s="2" t="s">
        <v>2119</v>
      </c>
      <c r="B504" s="3" t="str">
        <f t="shared" si="24"/>
        <v>dani.thornton@cvshealth.com</v>
      </c>
      <c r="C504" s="3">
        <f t="shared" si="25"/>
        <v>1</v>
      </c>
      <c r="D504" s="2" t="s">
        <v>2313</v>
      </c>
      <c r="E504" s="2" t="s">
        <v>2314</v>
      </c>
      <c r="F504" s="2" t="s">
        <v>2315</v>
      </c>
      <c r="I504" s="2" t="s">
        <v>2316</v>
      </c>
      <c r="L504" s="2" t="s">
        <v>630</v>
      </c>
      <c r="M504" s="2" t="s">
        <v>22</v>
      </c>
    </row>
    <row r="505" spans="1:16" ht="15" x14ac:dyDescent="0.2">
      <c r="A505" s="2" t="s">
        <v>2119</v>
      </c>
      <c r="B505" s="3" t="str">
        <f t="shared" si="24"/>
        <v>sean.ohara@cvshealth.com</v>
      </c>
      <c r="C505" s="3">
        <f t="shared" si="25"/>
        <v>1</v>
      </c>
      <c r="D505" s="2" t="s">
        <v>2317</v>
      </c>
      <c r="E505" s="2" t="s">
        <v>2318</v>
      </c>
      <c r="F505" s="2" t="s">
        <v>2319</v>
      </c>
      <c r="I505" s="2" t="s">
        <v>2320</v>
      </c>
      <c r="L505" s="2" t="s">
        <v>2321</v>
      </c>
      <c r="M505" s="2" t="s">
        <v>45</v>
      </c>
    </row>
    <row r="506" spans="1:16" ht="15" x14ac:dyDescent="0.2">
      <c r="A506" s="2" t="s">
        <v>2119</v>
      </c>
      <c r="B506" s="3" t="str">
        <f t="shared" si="24"/>
        <v>matthew.weise@cvshealth.com</v>
      </c>
      <c r="C506" s="3">
        <f t="shared" si="25"/>
        <v>1</v>
      </c>
      <c r="D506" s="2" t="s">
        <v>2322</v>
      </c>
      <c r="E506" s="2" t="s">
        <v>207</v>
      </c>
      <c r="F506" s="2" t="s">
        <v>2323</v>
      </c>
      <c r="I506" s="2" t="s">
        <v>2324</v>
      </c>
      <c r="L506" s="2" t="s">
        <v>2325</v>
      </c>
      <c r="M506" s="2" t="s">
        <v>22</v>
      </c>
    </row>
    <row r="507" spans="1:16" ht="15" x14ac:dyDescent="0.2">
      <c r="A507" s="2" t="s">
        <v>2119</v>
      </c>
      <c r="B507" s="3" t="str">
        <f t="shared" si="24"/>
        <v>damon.depaolo@cvshealth.com</v>
      </c>
      <c r="C507" s="3">
        <f t="shared" si="25"/>
        <v>1</v>
      </c>
      <c r="D507" s="2" t="s">
        <v>2326</v>
      </c>
      <c r="E507" s="2" t="s">
        <v>2327</v>
      </c>
      <c r="F507" s="2" t="s">
        <v>2328</v>
      </c>
      <c r="I507" s="2" t="s">
        <v>2329</v>
      </c>
      <c r="L507" s="2" t="s">
        <v>2330</v>
      </c>
      <c r="M507" s="2" t="s">
        <v>463</v>
      </c>
    </row>
    <row r="508" spans="1:16" ht="15" x14ac:dyDescent="0.2">
      <c r="A508" s="2" t="s">
        <v>2119</v>
      </c>
      <c r="B508" s="3" t="str">
        <f t="shared" si="24"/>
        <v>kwanc1@cvshealth.com</v>
      </c>
      <c r="C508" s="3">
        <f t="shared" si="25"/>
        <v>1</v>
      </c>
      <c r="D508" s="2" t="s">
        <v>2331</v>
      </c>
      <c r="E508" s="2" t="s">
        <v>910</v>
      </c>
      <c r="F508" s="2" t="s">
        <v>910</v>
      </c>
      <c r="I508" s="2" t="s">
        <v>2332</v>
      </c>
      <c r="L508" s="2" t="s">
        <v>2333</v>
      </c>
      <c r="M508" s="2" t="s">
        <v>45</v>
      </c>
    </row>
    <row r="509" spans="1:16" ht="15" x14ac:dyDescent="0.2">
      <c r="A509" s="2" t="s">
        <v>2119</v>
      </c>
      <c r="B509" s="3" t="str">
        <f t="shared" si="24"/>
        <v>snowa@cvshealth.com</v>
      </c>
      <c r="C509" s="3">
        <f t="shared" si="25"/>
        <v>1</v>
      </c>
      <c r="D509" s="2" t="s">
        <v>2334</v>
      </c>
      <c r="E509" s="2" t="s">
        <v>910</v>
      </c>
      <c r="F509" s="2" t="s">
        <v>910</v>
      </c>
      <c r="I509" s="2" t="s">
        <v>2335</v>
      </c>
      <c r="L509" s="2" t="s">
        <v>2336</v>
      </c>
      <c r="M509" s="2" t="s">
        <v>45</v>
      </c>
    </row>
    <row r="510" spans="1:16" ht="13" x14ac:dyDescent="0.15">
      <c r="A510" s="4" t="s">
        <v>2337</v>
      </c>
      <c r="B510" s="3" t="str">
        <f t="shared" si="24"/>
        <v>Yes</v>
      </c>
      <c r="C510" s="3">
        <f t="shared" si="25"/>
        <v>446</v>
      </c>
      <c r="D510" s="5">
        <v>11510888791</v>
      </c>
      <c r="E510" s="4" t="s">
        <v>2338</v>
      </c>
      <c r="F510" s="4" t="s">
        <v>2339</v>
      </c>
      <c r="G510" s="4"/>
      <c r="H510" s="4" t="s">
        <v>34</v>
      </c>
      <c r="I510" s="4" t="s">
        <v>2340</v>
      </c>
      <c r="J510" s="6" t="s">
        <v>2341</v>
      </c>
      <c r="K510" s="4"/>
      <c r="L510" s="4" t="s">
        <v>2342</v>
      </c>
      <c r="M510" s="4" t="s">
        <v>38</v>
      </c>
      <c r="N510" s="4"/>
      <c r="O510" s="4"/>
      <c r="P510" s="4" t="str">
        <f>IF(OR(M510="Customer", M510="Opportunity", H510="Yes", H510=TRUE, G510="Yes", G510=TRUE, O510&gt;0), "YES", "NO")</f>
        <v>YES</v>
      </c>
    </row>
    <row r="511" spans="1:16" ht="13" x14ac:dyDescent="0.15">
      <c r="A511" s="4" t="s">
        <v>2343</v>
      </c>
      <c r="B511" s="3" t="str">
        <f t="shared" si="24"/>
        <v>robert.herrmann@cytiva.com</v>
      </c>
      <c r="C511" s="3">
        <f t="shared" si="25"/>
        <v>1</v>
      </c>
      <c r="D511" s="5">
        <v>25012074665</v>
      </c>
      <c r="E511" s="4" t="s">
        <v>531</v>
      </c>
      <c r="F511" s="4" t="s">
        <v>2344</v>
      </c>
      <c r="G511" s="4" t="s">
        <v>34</v>
      </c>
      <c r="H511" s="4"/>
      <c r="I511" s="4" t="s">
        <v>2345</v>
      </c>
      <c r="J511" s="6" t="s">
        <v>2346</v>
      </c>
      <c r="K511" s="4"/>
      <c r="L511" s="4" t="s">
        <v>2347</v>
      </c>
      <c r="M511" s="4"/>
      <c r="N511" s="4"/>
      <c r="O511" s="4"/>
      <c r="P511" s="4" t="str">
        <f>IF(OR(M511="Customer", M511="Opportunity", H511="Yes", H511=TRUE, G511="Yes", G511=TRUE, O511&gt;0), "YES", "NO")</f>
        <v>YES</v>
      </c>
    </row>
    <row r="512" spans="1:16" ht="13" x14ac:dyDescent="0.15">
      <c r="A512" s="4" t="s">
        <v>2348</v>
      </c>
      <c r="B512" s="3" t="str">
        <f t="shared" si="24"/>
        <v>scott.vaneps@danaher.com</v>
      </c>
      <c r="C512" s="3">
        <f t="shared" si="25"/>
        <v>1</v>
      </c>
      <c r="D512" s="5">
        <v>25013400138</v>
      </c>
      <c r="E512" s="4" t="s">
        <v>794</v>
      </c>
      <c r="F512" s="4" t="s">
        <v>2349</v>
      </c>
      <c r="G512" s="4" t="s">
        <v>34</v>
      </c>
      <c r="H512" s="4"/>
      <c r="I512" s="4" t="s">
        <v>2350</v>
      </c>
      <c r="J512" s="6" t="s">
        <v>2351</v>
      </c>
      <c r="K512" s="4"/>
      <c r="L512" s="4" t="s">
        <v>2352</v>
      </c>
      <c r="M512" s="4"/>
      <c r="N512" s="4"/>
      <c r="O512" s="4"/>
      <c r="P512" s="4" t="str">
        <f>IF(OR(M512="Customer", M512="Opportunity", H512="Yes", H512=TRUE, G512="Yes", G512=TRUE, O512&gt;0), "YES", "NO")</f>
        <v>YES</v>
      </c>
    </row>
    <row r="513" spans="1:16" ht="13" x14ac:dyDescent="0.15">
      <c r="A513" s="4" t="s">
        <v>2353</v>
      </c>
      <c r="B513" s="3" t="str">
        <f t="shared" si="24"/>
        <v>Yes</v>
      </c>
      <c r="C513" s="3">
        <f t="shared" si="25"/>
        <v>446</v>
      </c>
      <c r="D513" s="5">
        <v>11512789666</v>
      </c>
      <c r="E513" s="4" t="s">
        <v>1451</v>
      </c>
      <c r="F513" s="4" t="s">
        <v>2354</v>
      </c>
      <c r="G513" s="4"/>
      <c r="H513" s="4" t="s">
        <v>34</v>
      </c>
      <c r="I513" s="4" t="s">
        <v>2355</v>
      </c>
      <c r="J513" s="6" t="s">
        <v>2356</v>
      </c>
      <c r="K513" s="7">
        <v>45688.649305555555</v>
      </c>
      <c r="L513" s="4" t="s">
        <v>2357</v>
      </c>
      <c r="M513" s="4" t="s">
        <v>716</v>
      </c>
      <c r="N513" s="4"/>
      <c r="O513" s="5">
        <v>1</v>
      </c>
      <c r="P513" s="4" t="str">
        <f>IF(OR(M513="Customer", M513="Opportunity", H513="Yes", H513=TRUE, G513="Yes", G513=TRUE, O513&gt;0), "YES", "NO")</f>
        <v>YES</v>
      </c>
    </row>
    <row r="514" spans="1:16" ht="15" x14ac:dyDescent="0.2">
      <c r="A514" s="2" t="s">
        <v>2358</v>
      </c>
      <c r="B514" s="3" t="str">
        <f t="shared" ref="B514:B577" si="26">IF(H514&lt;&gt;"",H514,I514)</f>
        <v>gnorwicke@davita.com</v>
      </c>
      <c r="C514" s="3">
        <f t="shared" ref="C514:C577" si="27">COUNTIF($B$2:$B$1586,B514)</f>
        <v>1</v>
      </c>
      <c r="D514" s="2" t="s">
        <v>2359</v>
      </c>
      <c r="E514" s="2" t="s">
        <v>2360</v>
      </c>
      <c r="F514" s="2" t="s">
        <v>2361</v>
      </c>
      <c r="I514" s="2" t="s">
        <v>2362</v>
      </c>
      <c r="L514" s="2" t="s">
        <v>2363</v>
      </c>
      <c r="M514" s="2" t="s">
        <v>45</v>
      </c>
    </row>
    <row r="515" spans="1:16" ht="15" x14ac:dyDescent="0.2">
      <c r="A515" s="2" t="s">
        <v>2358</v>
      </c>
      <c r="B515" s="3" t="str">
        <f t="shared" si="26"/>
        <v>sewert@davita.com</v>
      </c>
      <c r="C515" s="3">
        <f t="shared" si="27"/>
        <v>1</v>
      </c>
      <c r="D515" s="2" t="s">
        <v>2364</v>
      </c>
      <c r="E515" s="2" t="s">
        <v>2365</v>
      </c>
      <c r="F515" s="2" t="s">
        <v>2366</v>
      </c>
      <c r="I515" s="2" t="s">
        <v>2367</v>
      </c>
      <c r="L515" s="2" t="s">
        <v>2368</v>
      </c>
      <c r="M515" s="2" t="s">
        <v>22</v>
      </c>
    </row>
    <row r="516" spans="1:16" ht="15" x14ac:dyDescent="0.2">
      <c r="A516" s="2" t="s">
        <v>2358</v>
      </c>
      <c r="B516" s="3" t="str">
        <f t="shared" si="26"/>
        <v>bpellerito@davita.com</v>
      </c>
      <c r="C516" s="3">
        <f t="shared" si="27"/>
        <v>1</v>
      </c>
      <c r="D516" s="2" t="s">
        <v>2369</v>
      </c>
      <c r="E516" s="2" t="s">
        <v>2370</v>
      </c>
      <c r="F516" s="2" t="s">
        <v>2371</v>
      </c>
      <c r="I516" s="2" t="s">
        <v>2372</v>
      </c>
      <c r="L516" s="2" t="s">
        <v>2373</v>
      </c>
      <c r="M516" s="2" t="s">
        <v>22</v>
      </c>
    </row>
    <row r="517" spans="1:16" ht="15" x14ac:dyDescent="0.2">
      <c r="A517" s="2" t="s">
        <v>2358</v>
      </c>
      <c r="B517" s="3" t="str">
        <f t="shared" si="26"/>
        <v>mgeiger@davita.com</v>
      </c>
      <c r="C517" s="3">
        <f t="shared" si="27"/>
        <v>1</v>
      </c>
      <c r="D517" s="2" t="s">
        <v>2374</v>
      </c>
      <c r="E517" s="2" t="s">
        <v>59</v>
      </c>
      <c r="F517" s="2" t="s">
        <v>2375</v>
      </c>
      <c r="I517" s="2" t="s">
        <v>2376</v>
      </c>
      <c r="L517" s="2" t="s">
        <v>2377</v>
      </c>
      <c r="M517" s="2" t="s">
        <v>45</v>
      </c>
    </row>
    <row r="518" spans="1:16" ht="15" x14ac:dyDescent="0.2">
      <c r="A518" s="2" t="s">
        <v>2358</v>
      </c>
      <c r="B518" s="3" t="str">
        <f t="shared" si="26"/>
        <v>arunyon@davita.com</v>
      </c>
      <c r="C518" s="3">
        <f t="shared" si="27"/>
        <v>1</v>
      </c>
      <c r="D518" s="2" t="s">
        <v>2378</v>
      </c>
      <c r="E518" s="2" t="s">
        <v>928</v>
      </c>
      <c r="F518" s="2" t="s">
        <v>2379</v>
      </c>
      <c r="I518" s="2" t="s">
        <v>2380</v>
      </c>
      <c r="L518" s="2" t="s">
        <v>1574</v>
      </c>
      <c r="M518" s="2" t="s">
        <v>22</v>
      </c>
    </row>
    <row r="519" spans="1:16" ht="15" x14ac:dyDescent="0.2">
      <c r="A519" s="2" t="s">
        <v>2358</v>
      </c>
      <c r="B519" s="3" t="str">
        <f t="shared" si="26"/>
        <v>mlujan@davita.com</v>
      </c>
      <c r="C519" s="3">
        <f t="shared" si="27"/>
        <v>1</v>
      </c>
      <c r="D519" s="2" t="s">
        <v>2381</v>
      </c>
      <c r="E519" s="2" t="s">
        <v>59</v>
      </c>
      <c r="F519" s="2" t="s">
        <v>2382</v>
      </c>
      <c r="I519" s="2" t="s">
        <v>2383</v>
      </c>
      <c r="L519" s="2" t="s">
        <v>2384</v>
      </c>
      <c r="M519" s="2" t="s">
        <v>45</v>
      </c>
    </row>
    <row r="520" spans="1:16" ht="15" x14ac:dyDescent="0.2">
      <c r="A520" s="2" t="s">
        <v>2358</v>
      </c>
      <c r="B520" s="3" t="str">
        <f t="shared" si="26"/>
        <v>rhelmick@davita.com</v>
      </c>
      <c r="C520" s="3">
        <f t="shared" si="27"/>
        <v>1</v>
      </c>
      <c r="D520" s="2" t="s">
        <v>2385</v>
      </c>
      <c r="E520" s="2" t="s">
        <v>531</v>
      </c>
      <c r="F520" s="2" t="s">
        <v>2386</v>
      </c>
      <c r="I520" s="2" t="s">
        <v>2387</v>
      </c>
      <c r="L520" s="2" t="s">
        <v>2388</v>
      </c>
      <c r="M520" s="2" t="s">
        <v>22</v>
      </c>
    </row>
    <row r="521" spans="1:16" ht="15" x14ac:dyDescent="0.2">
      <c r="A521" s="2" t="s">
        <v>2358</v>
      </c>
      <c r="B521" s="3" t="str">
        <f t="shared" si="26"/>
        <v>broche@davita.com</v>
      </c>
      <c r="C521" s="3">
        <f t="shared" si="27"/>
        <v>1</v>
      </c>
      <c r="D521" s="2" t="s">
        <v>2389</v>
      </c>
      <c r="E521" s="2" t="s">
        <v>2390</v>
      </c>
      <c r="F521" s="2" t="s">
        <v>2391</v>
      </c>
      <c r="I521" s="2" t="s">
        <v>2392</v>
      </c>
      <c r="L521" s="2" t="s">
        <v>2388</v>
      </c>
      <c r="M521" s="2" t="s">
        <v>22</v>
      </c>
    </row>
    <row r="522" spans="1:16" ht="15" x14ac:dyDescent="0.2">
      <c r="A522" s="2" t="s">
        <v>2358</v>
      </c>
      <c r="B522" s="3" t="str">
        <f t="shared" si="26"/>
        <v>bgilling@davita.com</v>
      </c>
      <c r="C522" s="3">
        <f t="shared" si="27"/>
        <v>1</v>
      </c>
      <c r="D522" s="2" t="s">
        <v>2393</v>
      </c>
      <c r="E522" s="2" t="s">
        <v>1601</v>
      </c>
      <c r="F522" s="2" t="s">
        <v>2394</v>
      </c>
      <c r="I522" s="2" t="s">
        <v>2395</v>
      </c>
      <c r="L522" s="2" t="s">
        <v>2396</v>
      </c>
      <c r="M522" s="2" t="s">
        <v>45</v>
      </c>
    </row>
    <row r="523" spans="1:16" ht="15" x14ac:dyDescent="0.2">
      <c r="A523" s="2" t="s">
        <v>2358</v>
      </c>
      <c r="B523" s="3" t="str">
        <f t="shared" si="26"/>
        <v>aschmidt@davita.com</v>
      </c>
      <c r="C523" s="3">
        <f t="shared" si="27"/>
        <v>1</v>
      </c>
      <c r="D523" s="2" t="s">
        <v>2397</v>
      </c>
      <c r="E523" s="2" t="s">
        <v>293</v>
      </c>
      <c r="F523" s="2" t="s">
        <v>2398</v>
      </c>
      <c r="I523" s="2" t="s">
        <v>2399</v>
      </c>
      <c r="L523" s="2" t="s">
        <v>2400</v>
      </c>
      <c r="M523" s="2" t="s">
        <v>45</v>
      </c>
    </row>
    <row r="524" spans="1:16" ht="15" x14ac:dyDescent="0.2">
      <c r="A524" s="2" t="s">
        <v>2358</v>
      </c>
      <c r="B524" s="3" t="str">
        <f t="shared" si="26"/>
        <v>ahoward@davita.com</v>
      </c>
      <c r="C524" s="3">
        <f t="shared" si="27"/>
        <v>1</v>
      </c>
      <c r="D524" s="2" t="s">
        <v>2401</v>
      </c>
      <c r="E524" s="2" t="s">
        <v>245</v>
      </c>
      <c r="F524" s="2" t="s">
        <v>349</v>
      </c>
      <c r="I524" s="2" t="s">
        <v>2402</v>
      </c>
      <c r="L524" s="2" t="s">
        <v>2403</v>
      </c>
      <c r="M524" s="2" t="s">
        <v>22</v>
      </c>
    </row>
    <row r="525" spans="1:16" ht="15" x14ac:dyDescent="0.2">
      <c r="A525" s="2" t="s">
        <v>2358</v>
      </c>
      <c r="B525" s="3" t="str">
        <f t="shared" si="26"/>
        <v>jgartland@davita.com</v>
      </c>
      <c r="C525" s="3">
        <f t="shared" si="27"/>
        <v>1</v>
      </c>
      <c r="D525" s="2" t="s">
        <v>2404</v>
      </c>
      <c r="E525" s="2" t="s">
        <v>2262</v>
      </c>
      <c r="F525" s="2" t="s">
        <v>2405</v>
      </c>
      <c r="I525" s="2" t="s">
        <v>2406</v>
      </c>
      <c r="L525" s="2" t="s">
        <v>2407</v>
      </c>
      <c r="M525" s="2" t="s">
        <v>22</v>
      </c>
    </row>
    <row r="526" spans="1:16" ht="15" x14ac:dyDescent="0.2">
      <c r="A526" s="2" t="s">
        <v>2358</v>
      </c>
      <c r="B526" s="3" t="str">
        <f t="shared" si="26"/>
        <v>jason.morton@davita.com</v>
      </c>
      <c r="C526" s="3">
        <f t="shared" si="27"/>
        <v>1</v>
      </c>
      <c r="D526" s="2" t="s">
        <v>2408</v>
      </c>
      <c r="E526" s="2" t="s">
        <v>405</v>
      </c>
      <c r="F526" s="2" t="s">
        <v>2409</v>
      </c>
      <c r="I526" s="2" t="s">
        <v>2410</v>
      </c>
      <c r="L526" s="2" t="s">
        <v>2411</v>
      </c>
      <c r="M526" s="2" t="s">
        <v>463</v>
      </c>
    </row>
    <row r="527" spans="1:16" ht="15" x14ac:dyDescent="0.2">
      <c r="A527" s="2" t="s">
        <v>2358</v>
      </c>
      <c r="B527" s="3" t="str">
        <f t="shared" si="26"/>
        <v>stan.ewert@davita.com</v>
      </c>
      <c r="C527" s="3">
        <f t="shared" si="27"/>
        <v>1</v>
      </c>
      <c r="D527" s="2" t="s">
        <v>2412</v>
      </c>
      <c r="E527" s="2" t="s">
        <v>2365</v>
      </c>
      <c r="F527" s="2" t="s">
        <v>2366</v>
      </c>
      <c r="I527" s="2" t="s">
        <v>2413</v>
      </c>
      <c r="L527" s="2" t="s">
        <v>2414</v>
      </c>
      <c r="M527" s="2" t="s">
        <v>463</v>
      </c>
    </row>
    <row r="528" spans="1:16" ht="13" x14ac:dyDescent="0.15">
      <c r="A528" s="4" t="s">
        <v>2415</v>
      </c>
      <c r="B528" s="3" t="str">
        <f t="shared" si="26"/>
        <v>Yes</v>
      </c>
      <c r="C528" s="3">
        <f t="shared" si="27"/>
        <v>446</v>
      </c>
      <c r="D528" s="5">
        <v>11514404898</v>
      </c>
      <c r="E528" s="4" t="s">
        <v>2416</v>
      </c>
      <c r="F528" s="4" t="s">
        <v>2417</v>
      </c>
      <c r="G528" s="4"/>
      <c r="H528" s="4" t="s">
        <v>34</v>
      </c>
      <c r="I528" s="4" t="s">
        <v>2418</v>
      </c>
      <c r="J528" s="6" t="s">
        <v>2419</v>
      </c>
      <c r="K528" s="4"/>
      <c r="L528" s="4" t="s">
        <v>2067</v>
      </c>
      <c r="M528" s="4" t="s">
        <v>38</v>
      </c>
      <c r="N528" s="4"/>
      <c r="O528" s="4"/>
      <c r="P528" s="4" t="str">
        <f t="shared" ref="P528:P535" si="28">IF(OR(M528="Customer", M528="Opportunity", H528="Yes", H528=TRUE, G528="Yes", G528=TRUE, O528&gt;0), "YES", "NO")</f>
        <v>YES</v>
      </c>
    </row>
    <row r="529" spans="1:16" ht="13" x14ac:dyDescent="0.15">
      <c r="A529" s="4" t="s">
        <v>2420</v>
      </c>
      <c r="B529" s="3" t="str">
        <f t="shared" si="26"/>
        <v>Yes</v>
      </c>
      <c r="C529" s="3">
        <f t="shared" si="27"/>
        <v>446</v>
      </c>
      <c r="D529" s="5">
        <v>11513992755</v>
      </c>
      <c r="E529" s="4" t="s">
        <v>2421</v>
      </c>
      <c r="F529" s="4" t="s">
        <v>2422</v>
      </c>
      <c r="G529" s="4"/>
      <c r="H529" s="4" t="s">
        <v>34</v>
      </c>
      <c r="I529" s="4" t="s">
        <v>2423</v>
      </c>
      <c r="J529" s="6" t="s">
        <v>2424</v>
      </c>
      <c r="K529" s="4"/>
      <c r="L529" s="4" t="s">
        <v>2425</v>
      </c>
      <c r="M529" s="4" t="s">
        <v>38</v>
      </c>
      <c r="N529" s="4"/>
      <c r="O529" s="4"/>
      <c r="P529" s="4" t="str">
        <f t="shared" si="28"/>
        <v>YES</v>
      </c>
    </row>
    <row r="530" spans="1:16" ht="13" x14ac:dyDescent="0.15">
      <c r="A530" s="4" t="s">
        <v>2420</v>
      </c>
      <c r="B530" s="3" t="str">
        <f t="shared" si="26"/>
        <v>Yes</v>
      </c>
      <c r="C530" s="3">
        <f t="shared" si="27"/>
        <v>446</v>
      </c>
      <c r="D530" s="5">
        <v>11510870828</v>
      </c>
      <c r="E530" s="4" t="s">
        <v>264</v>
      </c>
      <c r="F530" s="4" t="s">
        <v>2426</v>
      </c>
      <c r="G530" s="4"/>
      <c r="H530" s="4" t="s">
        <v>34</v>
      </c>
      <c r="I530" s="4" t="s">
        <v>2427</v>
      </c>
      <c r="J530" s="6" t="s">
        <v>2424</v>
      </c>
      <c r="K530" s="4"/>
      <c r="L530" s="4" t="s">
        <v>2428</v>
      </c>
      <c r="M530" s="4" t="s">
        <v>38</v>
      </c>
      <c r="N530" s="4"/>
      <c r="O530" s="4"/>
      <c r="P530" s="4" t="str">
        <f t="shared" si="28"/>
        <v>YES</v>
      </c>
    </row>
    <row r="531" spans="1:16" ht="13" x14ac:dyDescent="0.15">
      <c r="A531" s="4" t="s">
        <v>2420</v>
      </c>
      <c r="B531" s="3" t="str">
        <f t="shared" si="26"/>
        <v>Yes</v>
      </c>
      <c r="C531" s="3">
        <f t="shared" si="27"/>
        <v>446</v>
      </c>
      <c r="D531" s="5">
        <v>11512908923</v>
      </c>
      <c r="E531" s="4" t="s">
        <v>945</v>
      </c>
      <c r="F531" s="4" t="s">
        <v>2429</v>
      </c>
      <c r="G531" s="4"/>
      <c r="H531" s="4" t="s">
        <v>34</v>
      </c>
      <c r="I531" s="4" t="s">
        <v>2430</v>
      </c>
      <c r="J531" s="6" t="s">
        <v>2424</v>
      </c>
      <c r="K531" s="4"/>
      <c r="L531" s="4" t="s">
        <v>1407</v>
      </c>
      <c r="M531" s="4" t="s">
        <v>38</v>
      </c>
      <c r="N531" s="4"/>
      <c r="O531" s="4"/>
      <c r="P531" s="4" t="str">
        <f t="shared" si="28"/>
        <v>YES</v>
      </c>
    </row>
    <row r="532" spans="1:16" ht="13" x14ac:dyDescent="0.15">
      <c r="A532" s="4" t="s">
        <v>2420</v>
      </c>
      <c r="B532" s="3" t="str">
        <f t="shared" si="26"/>
        <v>Yes</v>
      </c>
      <c r="C532" s="3">
        <f t="shared" si="27"/>
        <v>446</v>
      </c>
      <c r="D532" s="5">
        <v>11512927899</v>
      </c>
      <c r="E532" s="4" t="s">
        <v>18</v>
      </c>
      <c r="F532" s="4" t="s">
        <v>2431</v>
      </c>
      <c r="G532" s="4"/>
      <c r="H532" s="4" t="s">
        <v>34</v>
      </c>
      <c r="I532" s="4" t="s">
        <v>2432</v>
      </c>
      <c r="J532" s="6" t="s">
        <v>2424</v>
      </c>
      <c r="K532" s="4"/>
      <c r="L532" s="4" t="s">
        <v>2433</v>
      </c>
      <c r="M532" s="4" t="s">
        <v>38</v>
      </c>
      <c r="N532" s="4"/>
      <c r="O532" s="4"/>
      <c r="P532" s="4" t="str">
        <f t="shared" si="28"/>
        <v>YES</v>
      </c>
    </row>
    <row r="533" spans="1:16" ht="13" x14ac:dyDescent="0.15">
      <c r="A533" s="4" t="s">
        <v>2420</v>
      </c>
      <c r="B533" s="3" t="str">
        <f t="shared" si="26"/>
        <v>Yes</v>
      </c>
      <c r="C533" s="3">
        <f t="shared" si="27"/>
        <v>446</v>
      </c>
      <c r="D533" s="5">
        <v>968</v>
      </c>
      <c r="E533" s="4" t="s">
        <v>24</v>
      </c>
      <c r="F533" s="4" t="s">
        <v>2434</v>
      </c>
      <c r="G533" s="4"/>
      <c r="H533" s="4" t="s">
        <v>34</v>
      </c>
      <c r="I533" s="4" t="s">
        <v>2435</v>
      </c>
      <c r="J533" s="6" t="s">
        <v>2424</v>
      </c>
      <c r="K533" s="4"/>
      <c r="L533" s="4" t="s">
        <v>2436</v>
      </c>
      <c r="M533" s="4" t="s">
        <v>38</v>
      </c>
      <c r="N533" s="4"/>
      <c r="O533" s="4"/>
      <c r="P533" s="4" t="str">
        <f t="shared" si="28"/>
        <v>YES</v>
      </c>
    </row>
    <row r="534" spans="1:16" ht="13" x14ac:dyDescent="0.15">
      <c r="A534" s="4" t="s">
        <v>2437</v>
      </c>
      <c r="B534" s="3" t="str">
        <f t="shared" si="26"/>
        <v>Yes</v>
      </c>
      <c r="C534" s="3">
        <f t="shared" si="27"/>
        <v>446</v>
      </c>
      <c r="D534" s="5">
        <v>11510888782</v>
      </c>
      <c r="E534" s="4" t="s">
        <v>2438</v>
      </c>
      <c r="F534" s="4" t="s">
        <v>2439</v>
      </c>
      <c r="G534" s="4"/>
      <c r="H534" s="4" t="s">
        <v>34</v>
      </c>
      <c r="I534" s="4" t="s">
        <v>2440</v>
      </c>
      <c r="J534" s="4" t="s">
        <v>2441</v>
      </c>
      <c r="K534" s="4"/>
      <c r="L534" s="4" t="s">
        <v>2442</v>
      </c>
      <c r="M534" s="4" t="s">
        <v>38</v>
      </c>
      <c r="N534" s="4"/>
      <c r="O534" s="4"/>
      <c r="P534" s="4" t="str">
        <f t="shared" si="28"/>
        <v>YES</v>
      </c>
    </row>
    <row r="535" spans="1:16" ht="13" x14ac:dyDescent="0.15">
      <c r="A535" s="4" t="s">
        <v>2443</v>
      </c>
      <c r="B535" s="3" t="str">
        <f t="shared" si="26"/>
        <v>Yes</v>
      </c>
      <c r="C535" s="3">
        <f t="shared" si="27"/>
        <v>446</v>
      </c>
      <c r="D535" s="5">
        <v>910</v>
      </c>
      <c r="E535" s="4" t="s">
        <v>2444</v>
      </c>
      <c r="F535" s="4" t="s">
        <v>2445</v>
      </c>
      <c r="G535" s="4"/>
      <c r="H535" s="4" t="s">
        <v>34</v>
      </c>
      <c r="I535" s="4" t="s">
        <v>2446</v>
      </c>
      <c r="J535" s="6" t="s">
        <v>2447</v>
      </c>
      <c r="K535" s="4"/>
      <c r="L535" s="4" t="s">
        <v>2448</v>
      </c>
      <c r="M535" s="4" t="s">
        <v>38</v>
      </c>
      <c r="N535" s="4" t="s">
        <v>2449</v>
      </c>
      <c r="O535" s="4"/>
      <c r="P535" s="4" t="str">
        <f t="shared" si="28"/>
        <v>YES</v>
      </c>
    </row>
    <row r="536" spans="1:16" ht="15" x14ac:dyDescent="0.2">
      <c r="A536" s="2" t="s">
        <v>2450</v>
      </c>
      <c r="B536" s="3" t="str">
        <f t="shared" si="26"/>
        <v>matt.parr@dentsplysirona.com</v>
      </c>
      <c r="C536" s="3">
        <f t="shared" si="27"/>
        <v>1</v>
      </c>
      <c r="D536" s="2" t="s">
        <v>2451</v>
      </c>
      <c r="E536" s="2" t="s">
        <v>785</v>
      </c>
      <c r="F536" s="2" t="s">
        <v>2452</v>
      </c>
      <c r="I536" s="2" t="s">
        <v>2453</v>
      </c>
      <c r="L536" s="2" t="s">
        <v>2454</v>
      </c>
      <c r="M536" s="2" t="s">
        <v>45</v>
      </c>
    </row>
    <row r="537" spans="1:16" ht="15" x14ac:dyDescent="0.2">
      <c r="A537" s="2" t="s">
        <v>2450</v>
      </c>
      <c r="B537" s="3" t="str">
        <f t="shared" si="26"/>
        <v>franz.schmid@dentsplysirona.com</v>
      </c>
      <c r="C537" s="3">
        <f t="shared" si="27"/>
        <v>1</v>
      </c>
      <c r="D537" s="2" t="s">
        <v>2455</v>
      </c>
      <c r="E537" s="2" t="s">
        <v>2456</v>
      </c>
      <c r="F537" s="2" t="s">
        <v>2457</v>
      </c>
      <c r="I537" s="2" t="s">
        <v>2458</v>
      </c>
      <c r="L537" s="2" t="s">
        <v>2459</v>
      </c>
      <c r="M537" s="2" t="s">
        <v>45</v>
      </c>
    </row>
    <row r="538" spans="1:16" ht="13" x14ac:dyDescent="0.15">
      <c r="A538" s="4" t="s">
        <v>2460</v>
      </c>
      <c r="B538" s="3" t="str">
        <f t="shared" si="26"/>
        <v>Yes</v>
      </c>
      <c r="C538" s="3">
        <f t="shared" si="27"/>
        <v>446</v>
      </c>
      <c r="D538" s="5">
        <v>11512908924</v>
      </c>
      <c r="E538" s="4" t="s">
        <v>207</v>
      </c>
      <c r="F538" s="4" t="s">
        <v>2461</v>
      </c>
      <c r="G538" s="4"/>
      <c r="H538" s="4" t="s">
        <v>34</v>
      </c>
      <c r="I538" s="4" t="s">
        <v>2462</v>
      </c>
      <c r="J538" s="6" t="s">
        <v>2463</v>
      </c>
      <c r="K538" s="4"/>
      <c r="L538" s="4" t="s">
        <v>2464</v>
      </c>
      <c r="M538" s="4" t="s">
        <v>38</v>
      </c>
      <c r="N538" s="4"/>
      <c r="O538" s="4"/>
      <c r="P538" s="4" t="str">
        <f t="shared" ref="P538:P548" si="29">IF(OR(M538="Customer", M538="Opportunity", H538="Yes", H538=TRUE, G538="Yes", G538=TRUE, O538&gt;0), "YES", "NO")</f>
        <v>YES</v>
      </c>
    </row>
    <row r="539" spans="1:16" ht="13" x14ac:dyDescent="0.15">
      <c r="A539" s="4" t="s">
        <v>2460</v>
      </c>
      <c r="B539" s="3" t="str">
        <f t="shared" si="26"/>
        <v>Yes</v>
      </c>
      <c r="C539" s="3">
        <f t="shared" si="27"/>
        <v>446</v>
      </c>
      <c r="D539" s="5">
        <v>11512789668</v>
      </c>
      <c r="E539" s="4" t="s">
        <v>1666</v>
      </c>
      <c r="F539" s="4" t="s">
        <v>2465</v>
      </c>
      <c r="G539" s="4"/>
      <c r="H539" s="4" t="s">
        <v>34</v>
      </c>
      <c r="I539" s="4" t="s">
        <v>2466</v>
      </c>
      <c r="J539" s="6" t="s">
        <v>2463</v>
      </c>
      <c r="K539" s="4"/>
      <c r="L539" s="4" t="s">
        <v>2467</v>
      </c>
      <c r="M539" s="4" t="s">
        <v>38</v>
      </c>
      <c r="N539" s="4"/>
      <c r="O539" s="4"/>
      <c r="P539" s="4" t="str">
        <f t="shared" si="29"/>
        <v>YES</v>
      </c>
    </row>
    <row r="540" spans="1:16" ht="13" x14ac:dyDescent="0.15">
      <c r="A540" s="4" t="s">
        <v>2468</v>
      </c>
      <c r="B540" s="3" t="str">
        <f t="shared" si="26"/>
        <v>Yes</v>
      </c>
      <c r="C540" s="3">
        <f t="shared" si="27"/>
        <v>446</v>
      </c>
      <c r="D540" s="5">
        <v>11512458405</v>
      </c>
      <c r="E540" s="4" t="s">
        <v>526</v>
      </c>
      <c r="F540" s="4" t="s">
        <v>2469</v>
      </c>
      <c r="G540" s="4"/>
      <c r="H540" s="4" t="s">
        <v>34</v>
      </c>
      <c r="I540" s="4" t="s">
        <v>2470</v>
      </c>
      <c r="J540" s="6" t="s">
        <v>2471</v>
      </c>
      <c r="K540" s="4"/>
      <c r="L540" s="4" t="s">
        <v>1627</v>
      </c>
      <c r="M540" s="4" t="s">
        <v>38</v>
      </c>
      <c r="N540" s="4"/>
      <c r="O540" s="4"/>
      <c r="P540" s="4" t="str">
        <f t="shared" si="29"/>
        <v>YES</v>
      </c>
    </row>
    <row r="541" spans="1:16" ht="13" x14ac:dyDescent="0.15">
      <c r="A541" s="4" t="s">
        <v>2468</v>
      </c>
      <c r="B541" s="3" t="str">
        <f t="shared" si="26"/>
        <v>Yes</v>
      </c>
      <c r="C541" s="3">
        <f t="shared" si="27"/>
        <v>446</v>
      </c>
      <c r="D541" s="5">
        <v>4206</v>
      </c>
      <c r="E541" s="4" t="s">
        <v>2472</v>
      </c>
      <c r="F541" s="4" t="s">
        <v>2473</v>
      </c>
      <c r="G541" s="4"/>
      <c r="H541" s="4" t="s">
        <v>34</v>
      </c>
      <c r="I541" s="4" t="s">
        <v>2474</v>
      </c>
      <c r="J541" s="6" t="s">
        <v>2471</v>
      </c>
      <c r="K541" s="4"/>
      <c r="L541" s="4" t="s">
        <v>2475</v>
      </c>
      <c r="M541" s="4" t="s">
        <v>38</v>
      </c>
      <c r="N541" s="4"/>
      <c r="O541" s="4"/>
      <c r="P541" s="4" t="str">
        <f t="shared" si="29"/>
        <v>YES</v>
      </c>
    </row>
    <row r="542" spans="1:16" ht="13" x14ac:dyDescent="0.15">
      <c r="A542" s="4" t="s">
        <v>2476</v>
      </c>
      <c r="B542" s="3" t="str">
        <f t="shared" si="26"/>
        <v>Yes</v>
      </c>
      <c r="C542" s="3">
        <f t="shared" si="27"/>
        <v>446</v>
      </c>
      <c r="D542" s="5">
        <v>1953</v>
      </c>
      <c r="E542" s="4" t="s">
        <v>2477</v>
      </c>
      <c r="F542" s="4" t="s">
        <v>2478</v>
      </c>
      <c r="G542" s="4"/>
      <c r="H542" s="4" t="s">
        <v>34</v>
      </c>
      <c r="I542" s="4" t="s">
        <v>2479</v>
      </c>
      <c r="J542" s="6" t="s">
        <v>2480</v>
      </c>
      <c r="K542" s="4"/>
      <c r="L542" s="4" t="s">
        <v>2481</v>
      </c>
      <c r="M542" s="4" t="s">
        <v>38</v>
      </c>
      <c r="N542" s="4"/>
      <c r="O542" s="4"/>
      <c r="P542" s="4" t="str">
        <f t="shared" si="29"/>
        <v>YES</v>
      </c>
    </row>
    <row r="543" spans="1:16" ht="13" x14ac:dyDescent="0.15">
      <c r="A543" s="4" t="s">
        <v>2482</v>
      </c>
      <c r="B543" s="3" t="str">
        <f t="shared" si="26"/>
        <v>Yes</v>
      </c>
      <c r="C543" s="3">
        <f t="shared" si="27"/>
        <v>446</v>
      </c>
      <c r="D543" s="5">
        <v>11515568400</v>
      </c>
      <c r="E543" s="4" t="s">
        <v>2483</v>
      </c>
      <c r="F543" s="4" t="s">
        <v>2484</v>
      </c>
      <c r="G543" s="4"/>
      <c r="H543" s="4" t="s">
        <v>34</v>
      </c>
      <c r="I543" s="4" t="s">
        <v>2485</v>
      </c>
      <c r="J543" s="6" t="s">
        <v>2486</v>
      </c>
      <c r="K543" s="4"/>
      <c r="L543" s="4" t="s">
        <v>2487</v>
      </c>
      <c r="M543" s="4" t="s">
        <v>38</v>
      </c>
      <c r="N543" s="4"/>
      <c r="O543" s="4"/>
      <c r="P543" s="4" t="str">
        <f t="shared" si="29"/>
        <v>YES</v>
      </c>
    </row>
    <row r="544" spans="1:16" ht="13" x14ac:dyDescent="0.15">
      <c r="A544" s="4" t="s">
        <v>2488</v>
      </c>
      <c r="B544" s="3" t="str">
        <f t="shared" si="26"/>
        <v>Yes</v>
      </c>
      <c r="C544" s="3">
        <f t="shared" si="27"/>
        <v>446</v>
      </c>
      <c r="D544" s="5">
        <v>11511367840</v>
      </c>
      <c r="E544" s="4" t="s">
        <v>2489</v>
      </c>
      <c r="F544" s="4" t="s">
        <v>2490</v>
      </c>
      <c r="G544" s="4"/>
      <c r="H544" s="4" t="s">
        <v>34</v>
      </c>
      <c r="I544" s="4" t="s">
        <v>2491</v>
      </c>
      <c r="J544" s="6" t="s">
        <v>2492</v>
      </c>
      <c r="K544" s="4"/>
      <c r="L544" s="4" t="s">
        <v>777</v>
      </c>
      <c r="M544" s="4" t="s">
        <v>38</v>
      </c>
      <c r="N544" s="4"/>
      <c r="O544" s="4"/>
      <c r="P544" s="4" t="str">
        <f t="shared" si="29"/>
        <v>YES</v>
      </c>
    </row>
    <row r="545" spans="1:16" ht="13" x14ac:dyDescent="0.15">
      <c r="A545" s="4" t="s">
        <v>2493</v>
      </c>
      <c r="B545" s="3" t="str">
        <f t="shared" si="26"/>
        <v>Yes</v>
      </c>
      <c r="C545" s="3">
        <f t="shared" si="27"/>
        <v>446</v>
      </c>
      <c r="D545" s="5">
        <v>11514486164</v>
      </c>
      <c r="E545" s="4" t="s">
        <v>2494</v>
      </c>
      <c r="F545" s="4" t="s">
        <v>2495</v>
      </c>
      <c r="G545" s="4"/>
      <c r="H545" s="4" t="s">
        <v>34</v>
      </c>
      <c r="I545" s="4" t="s">
        <v>2496</v>
      </c>
      <c r="J545" s="6" t="s">
        <v>2497</v>
      </c>
      <c r="K545" s="4"/>
      <c r="L545" s="4" t="s">
        <v>2498</v>
      </c>
      <c r="M545" s="4" t="s">
        <v>38</v>
      </c>
      <c r="N545" s="4"/>
      <c r="O545" s="4"/>
      <c r="P545" s="4" t="str">
        <f t="shared" si="29"/>
        <v>YES</v>
      </c>
    </row>
    <row r="546" spans="1:16" ht="13" x14ac:dyDescent="0.15">
      <c r="A546" s="4" t="s">
        <v>2493</v>
      </c>
      <c r="B546" s="3" t="str">
        <f t="shared" si="26"/>
        <v>Yes</v>
      </c>
      <c r="C546" s="3">
        <f t="shared" si="27"/>
        <v>446</v>
      </c>
      <c r="D546" s="5">
        <v>6501</v>
      </c>
      <c r="E546" s="4" t="s">
        <v>2499</v>
      </c>
      <c r="F546" s="4" t="s">
        <v>2500</v>
      </c>
      <c r="G546" s="4"/>
      <c r="H546" s="4" t="s">
        <v>34</v>
      </c>
      <c r="I546" s="4" t="s">
        <v>2501</v>
      </c>
      <c r="J546" s="6" t="s">
        <v>2497</v>
      </c>
      <c r="K546" s="4"/>
      <c r="L546" s="4" t="s">
        <v>2502</v>
      </c>
      <c r="M546" s="4" t="s">
        <v>38</v>
      </c>
      <c r="N546" s="4"/>
      <c r="O546" s="4"/>
      <c r="P546" s="4" t="str">
        <f t="shared" si="29"/>
        <v>YES</v>
      </c>
    </row>
    <row r="547" spans="1:16" ht="13" x14ac:dyDescent="0.15">
      <c r="A547" s="4" t="s">
        <v>2503</v>
      </c>
      <c r="B547" s="3" t="str">
        <f t="shared" si="26"/>
        <v>Yes</v>
      </c>
      <c r="C547" s="3">
        <f t="shared" si="27"/>
        <v>446</v>
      </c>
      <c r="D547" s="5">
        <v>11510627245</v>
      </c>
      <c r="E547" s="4" t="s">
        <v>2504</v>
      </c>
      <c r="F547" s="4" t="s">
        <v>2505</v>
      </c>
      <c r="G547" s="4"/>
      <c r="H547" s="4" t="s">
        <v>34</v>
      </c>
      <c r="I547" s="4" t="s">
        <v>2506</v>
      </c>
      <c r="J547" s="6" t="s">
        <v>2507</v>
      </c>
      <c r="K547" s="4"/>
      <c r="L547" s="4" t="s">
        <v>2508</v>
      </c>
      <c r="M547" s="4" t="s">
        <v>38</v>
      </c>
      <c r="N547" s="4"/>
      <c r="O547" s="4"/>
      <c r="P547" s="4" t="str">
        <f t="shared" si="29"/>
        <v>YES</v>
      </c>
    </row>
    <row r="548" spans="1:16" ht="13" x14ac:dyDescent="0.15">
      <c r="A548" s="4" t="s">
        <v>2509</v>
      </c>
      <c r="B548" s="3" t="str">
        <f t="shared" si="26"/>
        <v>Yes</v>
      </c>
      <c r="C548" s="3">
        <f t="shared" si="27"/>
        <v>446</v>
      </c>
      <c r="D548" s="5">
        <v>11514722646</v>
      </c>
      <c r="E548" s="4" t="s">
        <v>2510</v>
      </c>
      <c r="F548" s="4" t="s">
        <v>2511</v>
      </c>
      <c r="G548" s="4"/>
      <c r="H548" s="4" t="s">
        <v>34</v>
      </c>
      <c r="I548" s="4" t="s">
        <v>2512</v>
      </c>
      <c r="J548" s="6" t="s">
        <v>2513</v>
      </c>
      <c r="K548" s="4"/>
      <c r="L548" s="4" t="s">
        <v>2514</v>
      </c>
      <c r="M548" s="4" t="s">
        <v>38</v>
      </c>
      <c r="N548" s="4"/>
      <c r="O548" s="4"/>
      <c r="P548" s="4" t="str">
        <f t="shared" si="29"/>
        <v>YES</v>
      </c>
    </row>
    <row r="549" spans="1:16" ht="15" x14ac:dyDescent="0.2">
      <c r="A549" s="2" t="s">
        <v>2515</v>
      </c>
      <c r="B549" s="3" t="str">
        <f t="shared" si="26"/>
        <v>paul.shipp@dcmedical.org</v>
      </c>
      <c r="C549" s="3">
        <f t="shared" si="27"/>
        <v>1</v>
      </c>
      <c r="D549" s="2" t="s">
        <v>2516</v>
      </c>
      <c r="E549" s="2" t="s">
        <v>526</v>
      </c>
      <c r="F549" s="2" t="s">
        <v>2517</v>
      </c>
      <c r="I549" s="2" t="s">
        <v>2518</v>
      </c>
      <c r="L549" s="2" t="s">
        <v>68</v>
      </c>
      <c r="M549" s="2" t="s">
        <v>22</v>
      </c>
    </row>
    <row r="550" spans="1:16" ht="13" x14ac:dyDescent="0.15">
      <c r="A550" s="4" t="s">
        <v>2519</v>
      </c>
      <c r="B550" s="3" t="str">
        <f t="shared" si="26"/>
        <v>Yes</v>
      </c>
      <c r="C550" s="3">
        <f t="shared" si="27"/>
        <v>446</v>
      </c>
      <c r="D550" s="5">
        <v>11511367832</v>
      </c>
      <c r="E550" s="4" t="s">
        <v>1465</v>
      </c>
      <c r="F550" s="4" t="s">
        <v>2520</v>
      </c>
      <c r="G550" s="4"/>
      <c r="H550" s="4" t="s">
        <v>34</v>
      </c>
      <c r="I550" s="4" t="s">
        <v>2521</v>
      </c>
      <c r="J550" s="6" t="s">
        <v>2522</v>
      </c>
      <c r="K550" s="7">
        <v>45420.581250000003</v>
      </c>
      <c r="L550" s="4" t="s">
        <v>2523</v>
      </c>
      <c r="M550" s="4" t="s">
        <v>1033</v>
      </c>
      <c r="N550" s="4"/>
      <c r="O550" s="5">
        <v>1</v>
      </c>
      <c r="P550" s="4" t="str">
        <f>IF(OR(M550="Customer", M550="Opportunity", H550="Yes", H550=TRUE, G550="Yes", G550=TRUE, O550&gt;0), "YES", "NO")</f>
        <v>YES</v>
      </c>
    </row>
    <row r="551" spans="1:16" ht="15" x14ac:dyDescent="0.2">
      <c r="A551" s="2" t="s">
        <v>2524</v>
      </c>
      <c r="B551" s="3" t="str">
        <f t="shared" si="26"/>
        <v>jpascale@drivemedical.com</v>
      </c>
      <c r="C551" s="3">
        <f t="shared" si="27"/>
        <v>1</v>
      </c>
      <c r="D551" s="2" t="s">
        <v>2525</v>
      </c>
      <c r="E551" s="2" t="s">
        <v>2526</v>
      </c>
      <c r="F551" s="2" t="s">
        <v>2527</v>
      </c>
      <c r="I551" s="2" t="s">
        <v>2528</v>
      </c>
      <c r="L551" s="2" t="s">
        <v>2529</v>
      </c>
      <c r="M551" s="2" t="s">
        <v>45</v>
      </c>
    </row>
    <row r="552" spans="1:16" ht="13" x14ac:dyDescent="0.15">
      <c r="A552" s="4" t="s">
        <v>2530</v>
      </c>
      <c r="B552" s="3" t="str">
        <f t="shared" si="26"/>
        <v>Yes</v>
      </c>
      <c r="C552" s="3">
        <f t="shared" si="27"/>
        <v>446</v>
      </c>
      <c r="D552" s="5">
        <v>11511464059</v>
      </c>
      <c r="E552" s="4" t="s">
        <v>2531</v>
      </c>
      <c r="F552" s="4" t="s">
        <v>2532</v>
      </c>
      <c r="G552" s="4"/>
      <c r="H552" s="4" t="s">
        <v>34</v>
      </c>
      <c r="I552" s="4" t="s">
        <v>2533</v>
      </c>
      <c r="J552" s="6" t="s">
        <v>2534</v>
      </c>
      <c r="K552" s="4"/>
      <c r="L552" s="4" t="s">
        <v>990</v>
      </c>
      <c r="M552" s="4" t="s">
        <v>38</v>
      </c>
      <c r="N552" s="4"/>
      <c r="O552" s="4"/>
      <c r="P552" s="4" t="str">
        <f t="shared" ref="P552:P557" si="30">IF(OR(M552="Customer", M552="Opportunity", H552="Yes", H552=TRUE, G552="Yes", G552=TRUE, O552&gt;0), "YES", "NO")</f>
        <v>YES</v>
      </c>
    </row>
    <row r="553" spans="1:16" ht="13" x14ac:dyDescent="0.15">
      <c r="A553" s="4" t="s">
        <v>2535</v>
      </c>
      <c r="B553" s="3" t="str">
        <f t="shared" si="26"/>
        <v>Yes</v>
      </c>
      <c r="C553" s="3">
        <f t="shared" si="27"/>
        <v>446</v>
      </c>
      <c r="D553" s="5">
        <v>712</v>
      </c>
      <c r="E553" s="4" t="s">
        <v>2536</v>
      </c>
      <c r="F553" s="4" t="s">
        <v>2537</v>
      </c>
      <c r="G553" s="4"/>
      <c r="H553" s="4" t="s">
        <v>34</v>
      </c>
      <c r="I553" s="4" t="s">
        <v>2538</v>
      </c>
      <c r="J553" s="6" t="s">
        <v>2539</v>
      </c>
      <c r="K553" s="4"/>
      <c r="L553" s="4" t="s">
        <v>2540</v>
      </c>
      <c r="M553" s="4" t="s">
        <v>38</v>
      </c>
      <c r="N553" s="4"/>
      <c r="O553" s="4"/>
      <c r="P553" s="4" t="str">
        <f t="shared" si="30"/>
        <v>YES</v>
      </c>
    </row>
    <row r="554" spans="1:16" ht="13" x14ac:dyDescent="0.15">
      <c r="A554" s="4" t="s">
        <v>2541</v>
      </c>
      <c r="B554" s="3" t="str">
        <f t="shared" si="26"/>
        <v>Yes</v>
      </c>
      <c r="C554" s="3">
        <f t="shared" si="27"/>
        <v>446</v>
      </c>
      <c r="D554" s="5">
        <v>11491606580</v>
      </c>
      <c r="E554" s="4" t="s">
        <v>2542</v>
      </c>
      <c r="F554" s="4" t="s">
        <v>2543</v>
      </c>
      <c r="G554" s="4"/>
      <c r="H554" s="4" t="s">
        <v>34</v>
      </c>
      <c r="I554" s="4" t="s">
        <v>2544</v>
      </c>
      <c r="J554" s="4" t="s">
        <v>2545</v>
      </c>
      <c r="K554" s="4"/>
      <c r="L554" s="4" t="s">
        <v>1608</v>
      </c>
      <c r="M554" s="4" t="s">
        <v>38</v>
      </c>
      <c r="N554" s="4"/>
      <c r="O554" s="4"/>
      <c r="P554" s="4" t="str">
        <f t="shared" si="30"/>
        <v>YES</v>
      </c>
    </row>
    <row r="555" spans="1:16" ht="13" x14ac:dyDescent="0.15">
      <c r="A555" s="6" t="s">
        <v>2546</v>
      </c>
      <c r="B555" s="3" t="str">
        <f t="shared" si="26"/>
        <v>Yes</v>
      </c>
      <c r="C555" s="3">
        <f t="shared" si="27"/>
        <v>446</v>
      </c>
      <c r="D555" s="5">
        <v>11515414592</v>
      </c>
      <c r="E555" s="4" t="s">
        <v>2547</v>
      </c>
      <c r="F555" s="4" t="s">
        <v>2548</v>
      </c>
      <c r="G555" s="4"/>
      <c r="H555" s="4" t="s">
        <v>34</v>
      </c>
      <c r="I555" s="4" t="s">
        <v>2549</v>
      </c>
      <c r="J555" s="6" t="s">
        <v>2546</v>
      </c>
      <c r="K555" s="4"/>
      <c r="L555" s="4" t="s">
        <v>990</v>
      </c>
      <c r="M555" s="4" t="s">
        <v>38</v>
      </c>
      <c r="N555" s="4"/>
      <c r="O555" s="4"/>
      <c r="P555" s="4" t="str">
        <f t="shared" si="30"/>
        <v>YES</v>
      </c>
    </row>
    <row r="556" spans="1:16" ht="13" x14ac:dyDescent="0.15">
      <c r="A556" s="4" t="s">
        <v>2550</v>
      </c>
      <c r="B556" s="3" t="str">
        <f t="shared" si="26"/>
        <v>benjamin.g.hall@elancoah.com</v>
      </c>
      <c r="C556" s="3">
        <f t="shared" si="27"/>
        <v>1</v>
      </c>
      <c r="D556" s="5">
        <v>25010913882</v>
      </c>
      <c r="E556" s="4" t="s">
        <v>2551</v>
      </c>
      <c r="F556" s="4" t="s">
        <v>2552</v>
      </c>
      <c r="G556" s="4" t="s">
        <v>34</v>
      </c>
      <c r="H556" s="4"/>
      <c r="I556" s="4" t="s">
        <v>2553</v>
      </c>
      <c r="J556" s="6" t="s">
        <v>2554</v>
      </c>
      <c r="K556" s="4"/>
      <c r="L556" s="4" t="s">
        <v>2555</v>
      </c>
      <c r="M556" s="4"/>
      <c r="N556" s="4"/>
      <c r="O556" s="4"/>
      <c r="P556" s="4" t="str">
        <f t="shared" si="30"/>
        <v>YES</v>
      </c>
    </row>
    <row r="557" spans="1:16" ht="13" x14ac:dyDescent="0.15">
      <c r="A557" s="4" t="s">
        <v>2556</v>
      </c>
      <c r="B557" s="3" t="str">
        <f t="shared" si="26"/>
        <v>john.chenoweth@elekta.com</v>
      </c>
      <c r="C557" s="3">
        <f t="shared" si="27"/>
        <v>2</v>
      </c>
      <c r="D557" s="5">
        <v>83472837161</v>
      </c>
      <c r="E557" s="4" t="s">
        <v>187</v>
      </c>
      <c r="F557" s="4" t="s">
        <v>2557</v>
      </c>
      <c r="G557" s="4" t="s">
        <v>34</v>
      </c>
      <c r="H557" s="4"/>
      <c r="I557" s="4" t="s">
        <v>2558</v>
      </c>
      <c r="J557" s="6" t="s">
        <v>2559</v>
      </c>
      <c r="K557" s="7">
        <v>45688.638194444444</v>
      </c>
      <c r="L557" s="4" t="s">
        <v>2560</v>
      </c>
      <c r="M557" s="4" t="s">
        <v>1033</v>
      </c>
      <c r="N557" s="4"/>
      <c r="O557" s="5">
        <v>1</v>
      </c>
      <c r="P557" s="4" t="str">
        <f t="shared" si="30"/>
        <v>YES</v>
      </c>
    </row>
    <row r="558" spans="1:16" ht="15" x14ac:dyDescent="0.2">
      <c r="A558" s="2" t="s">
        <v>2556</v>
      </c>
      <c r="B558" s="3" t="str">
        <f t="shared" si="26"/>
        <v>david.harfst@elekta.com</v>
      </c>
      <c r="C558" s="3">
        <f t="shared" si="27"/>
        <v>1</v>
      </c>
      <c r="D558" s="2" t="s">
        <v>2561</v>
      </c>
      <c r="E558" s="2" t="s">
        <v>119</v>
      </c>
      <c r="F558" s="2" t="s">
        <v>2562</v>
      </c>
      <c r="I558" s="2" t="s">
        <v>2563</v>
      </c>
      <c r="L558" s="2" t="s">
        <v>1225</v>
      </c>
      <c r="M558" s="2" t="s">
        <v>45</v>
      </c>
    </row>
    <row r="559" spans="1:16" ht="15" x14ac:dyDescent="0.2">
      <c r="A559" s="2" t="s">
        <v>2556</v>
      </c>
      <c r="B559" s="3" t="str">
        <f t="shared" si="26"/>
        <v>john.chenoweth@elekta.com</v>
      </c>
      <c r="C559" s="3">
        <f t="shared" si="27"/>
        <v>2</v>
      </c>
      <c r="D559" s="2" t="s">
        <v>2564</v>
      </c>
      <c r="E559" s="2" t="s">
        <v>187</v>
      </c>
      <c r="F559" s="2" t="s">
        <v>2557</v>
      </c>
      <c r="I559" s="2" t="s">
        <v>2558</v>
      </c>
      <c r="L559" s="2" t="s">
        <v>2560</v>
      </c>
      <c r="M559" s="2" t="s">
        <v>2565</v>
      </c>
    </row>
    <row r="560" spans="1:16" ht="15" x14ac:dyDescent="0.2">
      <c r="A560" s="2" t="s">
        <v>2556</v>
      </c>
      <c r="B560" s="3" t="str">
        <f t="shared" si="26"/>
        <v>thomas.rousseau@elekta.com</v>
      </c>
      <c r="C560" s="3">
        <f t="shared" si="27"/>
        <v>1</v>
      </c>
      <c r="D560" s="2" t="s">
        <v>2566</v>
      </c>
      <c r="E560" s="2" t="s">
        <v>1126</v>
      </c>
      <c r="F560" s="2" t="s">
        <v>2567</v>
      </c>
      <c r="I560" s="2" t="s">
        <v>2568</v>
      </c>
      <c r="L560" s="2" t="s">
        <v>2569</v>
      </c>
      <c r="M560" s="2" t="s">
        <v>45</v>
      </c>
    </row>
    <row r="561" spans="1:16" ht="15" x14ac:dyDescent="0.2">
      <c r="A561" s="2" t="s">
        <v>2556</v>
      </c>
      <c r="B561" s="3" t="str">
        <f t="shared" si="26"/>
        <v>katrinemma.ammendrup@elekta.com</v>
      </c>
      <c r="C561" s="3">
        <f t="shared" si="27"/>
        <v>1</v>
      </c>
      <c r="D561" s="2" t="s">
        <v>2570</v>
      </c>
      <c r="E561" s="2" t="s">
        <v>910</v>
      </c>
      <c r="F561" s="2" t="s">
        <v>910</v>
      </c>
      <c r="I561" s="2" t="s">
        <v>2571</v>
      </c>
      <c r="L561" s="2" t="s">
        <v>910</v>
      </c>
      <c r="M561" s="2" t="s">
        <v>45</v>
      </c>
    </row>
    <row r="562" spans="1:16" ht="15" x14ac:dyDescent="0.2">
      <c r="A562" s="2" t="s">
        <v>2556</v>
      </c>
      <c r="B562" s="3" t="str">
        <f t="shared" si="26"/>
        <v>anders.kallin@elekta.com</v>
      </c>
      <c r="C562" s="3">
        <f t="shared" si="27"/>
        <v>1</v>
      </c>
      <c r="D562" s="2" t="s">
        <v>2572</v>
      </c>
      <c r="E562" s="2" t="s">
        <v>910</v>
      </c>
      <c r="F562" s="2" t="s">
        <v>910</v>
      </c>
      <c r="I562" s="2" t="s">
        <v>2573</v>
      </c>
      <c r="L562" s="2" t="s">
        <v>910</v>
      </c>
      <c r="M562" s="2" t="s">
        <v>45</v>
      </c>
    </row>
    <row r="563" spans="1:16" ht="15" x14ac:dyDescent="0.2">
      <c r="A563" s="2" t="s">
        <v>2556</v>
      </c>
      <c r="B563" s="3" t="str">
        <f t="shared" si="26"/>
        <v>ari.irvings@elekta.com</v>
      </c>
      <c r="C563" s="3">
        <f t="shared" si="27"/>
        <v>1</v>
      </c>
      <c r="D563" s="2" t="s">
        <v>2574</v>
      </c>
      <c r="E563" s="2" t="s">
        <v>2575</v>
      </c>
      <c r="F563" s="2" t="s">
        <v>2576</v>
      </c>
      <c r="I563" s="2" t="s">
        <v>2577</v>
      </c>
      <c r="L563" s="2" t="s">
        <v>2578</v>
      </c>
      <c r="M563" s="2" t="s">
        <v>2565</v>
      </c>
    </row>
    <row r="564" spans="1:16" ht="15" x14ac:dyDescent="0.2">
      <c r="A564" s="2" t="s">
        <v>2556</v>
      </c>
      <c r="B564" s="3" t="str">
        <f t="shared" si="26"/>
        <v>jeroen.sonnemans@elekta.com</v>
      </c>
      <c r="C564" s="3">
        <f t="shared" si="27"/>
        <v>1</v>
      </c>
      <c r="D564" s="2" t="s">
        <v>2579</v>
      </c>
      <c r="E564" s="2" t="s">
        <v>2580</v>
      </c>
      <c r="F564" s="2" t="s">
        <v>2581</v>
      </c>
      <c r="I564" s="2" t="s">
        <v>2582</v>
      </c>
      <c r="L564" s="2" t="s">
        <v>2583</v>
      </c>
      <c r="M564" s="2" t="s">
        <v>45</v>
      </c>
    </row>
    <row r="565" spans="1:16" ht="15" x14ac:dyDescent="0.2">
      <c r="A565" s="2" t="s">
        <v>2556</v>
      </c>
      <c r="B565" s="3" t="str">
        <f t="shared" si="26"/>
        <v>kyle.burnett@elekta.com</v>
      </c>
      <c r="C565" s="3">
        <f t="shared" si="27"/>
        <v>1</v>
      </c>
      <c r="D565" s="2" t="s">
        <v>2584</v>
      </c>
      <c r="E565" s="2" t="s">
        <v>2585</v>
      </c>
      <c r="F565" s="2" t="s">
        <v>2586</v>
      </c>
      <c r="I565" s="2" t="s">
        <v>2587</v>
      </c>
      <c r="L565" s="2" t="s">
        <v>1627</v>
      </c>
      <c r="M565" s="2" t="s">
        <v>45</v>
      </c>
    </row>
    <row r="566" spans="1:16" ht="15" x14ac:dyDescent="0.2">
      <c r="A566" s="2" t="s">
        <v>2556</v>
      </c>
      <c r="B566" s="3" t="str">
        <f t="shared" si="26"/>
        <v>sekar.srinivasan@elekta.com</v>
      </c>
      <c r="C566" s="3">
        <f t="shared" si="27"/>
        <v>1</v>
      </c>
      <c r="D566" s="2" t="s">
        <v>2588</v>
      </c>
      <c r="E566" s="2" t="s">
        <v>2589</v>
      </c>
      <c r="F566" s="2" t="s">
        <v>2590</v>
      </c>
      <c r="I566" s="2" t="s">
        <v>2591</v>
      </c>
      <c r="L566" s="2" t="s">
        <v>2433</v>
      </c>
      <c r="M566" s="2" t="s">
        <v>45</v>
      </c>
    </row>
    <row r="567" spans="1:16" ht="13" x14ac:dyDescent="0.15">
      <c r="A567" s="4" t="s">
        <v>2592</v>
      </c>
      <c r="B567" s="3" t="str">
        <f t="shared" si="26"/>
        <v>Yes</v>
      </c>
      <c r="C567" s="3">
        <f t="shared" si="27"/>
        <v>446</v>
      </c>
      <c r="D567" s="5">
        <v>2357</v>
      </c>
      <c r="E567" s="4" t="s">
        <v>2593</v>
      </c>
      <c r="F567" s="4" t="s">
        <v>2594</v>
      </c>
      <c r="G567" s="4"/>
      <c r="H567" s="4" t="s">
        <v>34</v>
      </c>
      <c r="I567" s="4" t="s">
        <v>2595</v>
      </c>
      <c r="J567" s="6" t="s">
        <v>2596</v>
      </c>
      <c r="K567" s="4"/>
      <c r="L567" s="4" t="s">
        <v>2067</v>
      </c>
      <c r="M567" s="4" t="s">
        <v>38</v>
      </c>
      <c r="N567" s="4"/>
      <c r="O567" s="4"/>
      <c r="P567" s="4" t="str">
        <f t="shared" ref="P567:P596" si="31">IF(OR(M567="Customer", M567="Opportunity", H567="Yes", H567=TRUE, G567="Yes", G567=TRUE, O567&gt;0), "YES", "NO")</f>
        <v>YES</v>
      </c>
    </row>
    <row r="568" spans="1:16" ht="13" x14ac:dyDescent="0.15">
      <c r="A568" s="4" t="s">
        <v>2597</v>
      </c>
      <c r="B568" s="3" t="str">
        <f t="shared" si="26"/>
        <v>Yes</v>
      </c>
      <c r="C568" s="3">
        <f t="shared" si="27"/>
        <v>446</v>
      </c>
      <c r="D568" s="5">
        <v>11510275207</v>
      </c>
      <c r="E568" s="4" t="s">
        <v>2598</v>
      </c>
      <c r="F568" s="4" t="s">
        <v>2599</v>
      </c>
      <c r="G568" s="4"/>
      <c r="H568" s="4" t="s">
        <v>34</v>
      </c>
      <c r="I568" s="4" t="s">
        <v>2600</v>
      </c>
      <c r="J568" s="6" t="s">
        <v>2601</v>
      </c>
      <c r="K568" s="4"/>
      <c r="L568" s="4" t="s">
        <v>1388</v>
      </c>
      <c r="M568" s="4" t="s">
        <v>38</v>
      </c>
      <c r="N568" s="4"/>
      <c r="O568" s="4"/>
      <c r="P568" s="4" t="str">
        <f t="shared" si="31"/>
        <v>YES</v>
      </c>
    </row>
    <row r="569" spans="1:16" ht="13" x14ac:dyDescent="0.15">
      <c r="A569" s="4" t="s">
        <v>2602</v>
      </c>
      <c r="B569" s="3" t="str">
        <f t="shared" si="26"/>
        <v>licensing@elucent.com</v>
      </c>
      <c r="C569" s="3">
        <f t="shared" si="27"/>
        <v>1</v>
      </c>
      <c r="D569" s="5">
        <v>15121989200</v>
      </c>
      <c r="E569" s="4" t="s">
        <v>2603</v>
      </c>
      <c r="F569" s="4" t="s">
        <v>2604</v>
      </c>
      <c r="G569" s="4"/>
      <c r="H569" s="4"/>
      <c r="I569" s="4" t="s">
        <v>2605</v>
      </c>
      <c r="J569" s="6" t="s">
        <v>2606</v>
      </c>
      <c r="K569" s="4"/>
      <c r="L569" s="4"/>
      <c r="M569" s="4" t="s">
        <v>716</v>
      </c>
      <c r="N569" s="4"/>
      <c r="O569" s="4"/>
      <c r="P569" s="4" t="str">
        <f t="shared" si="31"/>
        <v>YES</v>
      </c>
    </row>
    <row r="570" spans="1:16" ht="13" x14ac:dyDescent="0.15">
      <c r="A570" s="4" t="s">
        <v>2602</v>
      </c>
      <c r="B570" s="3" t="str">
        <f t="shared" si="26"/>
        <v>arnoldo.ganuza@elucent.com</v>
      </c>
      <c r="C570" s="3">
        <f t="shared" si="27"/>
        <v>1</v>
      </c>
      <c r="D570" s="5">
        <v>15121861002</v>
      </c>
      <c r="E570" s="4" t="s">
        <v>2607</v>
      </c>
      <c r="F570" s="4" t="s">
        <v>2608</v>
      </c>
      <c r="G570" s="4"/>
      <c r="H570" s="4"/>
      <c r="I570" s="4" t="s">
        <v>2609</v>
      </c>
      <c r="J570" s="6" t="s">
        <v>2606</v>
      </c>
      <c r="K570" s="4"/>
      <c r="L570" s="4"/>
      <c r="M570" s="4" t="s">
        <v>716</v>
      </c>
      <c r="N570" s="4"/>
      <c r="O570" s="4"/>
      <c r="P570" s="4" t="str">
        <f t="shared" si="31"/>
        <v>YES</v>
      </c>
    </row>
    <row r="571" spans="1:16" ht="13" x14ac:dyDescent="0.15">
      <c r="A571" s="4" t="s">
        <v>2602</v>
      </c>
      <c r="B571" s="3" t="str">
        <f t="shared" si="26"/>
        <v>jeff.kotula@elucent.com</v>
      </c>
      <c r="C571" s="3">
        <f t="shared" si="27"/>
        <v>1</v>
      </c>
      <c r="D571" s="5">
        <v>15128438885</v>
      </c>
      <c r="E571" s="4" t="s">
        <v>1075</v>
      </c>
      <c r="F571" s="4" t="s">
        <v>2610</v>
      </c>
      <c r="G571" s="4"/>
      <c r="H571" s="4"/>
      <c r="I571" s="4" t="s">
        <v>2611</v>
      </c>
      <c r="J571" s="6" t="s">
        <v>2606</v>
      </c>
      <c r="K571" s="4"/>
      <c r="L571" s="4" t="s">
        <v>2612</v>
      </c>
      <c r="M571" s="4" t="s">
        <v>716</v>
      </c>
      <c r="N571" s="4"/>
      <c r="O571" s="4"/>
      <c r="P571" s="4" t="str">
        <f t="shared" si="31"/>
        <v>YES</v>
      </c>
    </row>
    <row r="572" spans="1:16" ht="13" x14ac:dyDescent="0.15">
      <c r="A572" s="4" t="s">
        <v>2613</v>
      </c>
      <c r="B572" s="3" t="str">
        <f t="shared" si="26"/>
        <v>Yes</v>
      </c>
      <c r="C572" s="3">
        <f t="shared" si="27"/>
        <v>446</v>
      </c>
      <c r="D572" s="5">
        <v>6701</v>
      </c>
      <c r="E572" s="4" t="s">
        <v>2614</v>
      </c>
      <c r="F572" s="4" t="s">
        <v>2615</v>
      </c>
      <c r="G572" s="4"/>
      <c r="H572" s="4" t="s">
        <v>34</v>
      </c>
      <c r="I572" s="4" t="s">
        <v>2616</v>
      </c>
      <c r="J572" s="6" t="s">
        <v>2617</v>
      </c>
      <c r="K572" s="4"/>
      <c r="L572" s="4" t="s">
        <v>777</v>
      </c>
      <c r="M572" s="4" t="s">
        <v>38</v>
      </c>
      <c r="N572" s="4"/>
      <c r="O572" s="4"/>
      <c r="P572" s="4" t="str">
        <f t="shared" si="31"/>
        <v>YES</v>
      </c>
    </row>
    <row r="573" spans="1:16" ht="13" x14ac:dyDescent="0.15">
      <c r="A573" s="4" t="s">
        <v>2618</v>
      </c>
      <c r="B573" s="3" t="str">
        <f t="shared" si="26"/>
        <v>Yes</v>
      </c>
      <c r="C573" s="3">
        <f t="shared" si="27"/>
        <v>446</v>
      </c>
      <c r="D573" s="5">
        <v>11512333145</v>
      </c>
      <c r="E573" s="4" t="s">
        <v>2619</v>
      </c>
      <c r="F573" s="4" t="s">
        <v>2620</v>
      </c>
      <c r="G573" s="4"/>
      <c r="H573" s="4" t="s">
        <v>34</v>
      </c>
      <c r="I573" s="4" t="s">
        <v>2621</v>
      </c>
      <c r="J573" s="6" t="s">
        <v>2622</v>
      </c>
      <c r="K573" s="4"/>
      <c r="L573" s="4" t="s">
        <v>2433</v>
      </c>
      <c r="M573" s="4" t="s">
        <v>38</v>
      </c>
      <c r="N573" s="4"/>
      <c r="O573" s="4"/>
      <c r="P573" s="4" t="str">
        <f t="shared" si="31"/>
        <v>YES</v>
      </c>
    </row>
    <row r="574" spans="1:16" ht="13" x14ac:dyDescent="0.15">
      <c r="A574" s="4" t="s">
        <v>2618</v>
      </c>
      <c r="B574" s="3" t="str">
        <f t="shared" si="26"/>
        <v>Yes</v>
      </c>
      <c r="C574" s="3">
        <f t="shared" si="27"/>
        <v>446</v>
      </c>
      <c r="D574" s="5">
        <v>11514947196</v>
      </c>
      <c r="E574" s="4" t="s">
        <v>2623</v>
      </c>
      <c r="F574" s="4" t="s">
        <v>2615</v>
      </c>
      <c r="G574" s="4"/>
      <c r="H574" s="4" t="s">
        <v>34</v>
      </c>
      <c r="I574" s="4" t="s">
        <v>2624</v>
      </c>
      <c r="J574" s="6" t="s">
        <v>2622</v>
      </c>
      <c r="K574" s="4"/>
      <c r="L574" s="4" t="s">
        <v>2625</v>
      </c>
      <c r="M574" s="4" t="s">
        <v>38</v>
      </c>
      <c r="N574" s="4"/>
      <c r="O574" s="4"/>
      <c r="P574" s="4" t="str">
        <f t="shared" si="31"/>
        <v>YES</v>
      </c>
    </row>
    <row r="575" spans="1:16" ht="13" x14ac:dyDescent="0.15">
      <c r="A575" s="4" t="s">
        <v>2618</v>
      </c>
      <c r="B575" s="3" t="str">
        <f t="shared" si="26"/>
        <v>Yes</v>
      </c>
      <c r="C575" s="3">
        <f t="shared" si="27"/>
        <v>446</v>
      </c>
      <c r="D575" s="5">
        <v>11512310382</v>
      </c>
      <c r="E575" s="4" t="s">
        <v>2626</v>
      </c>
      <c r="F575" s="4" t="s">
        <v>2627</v>
      </c>
      <c r="G575" s="4"/>
      <c r="H575" s="4" t="s">
        <v>34</v>
      </c>
      <c r="I575" s="4" t="s">
        <v>2628</v>
      </c>
      <c r="J575" s="6" t="s">
        <v>2622</v>
      </c>
      <c r="K575" s="4"/>
      <c r="L575" s="4" t="s">
        <v>2629</v>
      </c>
      <c r="M575" s="4" t="s">
        <v>38</v>
      </c>
      <c r="N575" s="4"/>
      <c r="O575" s="4"/>
      <c r="P575" s="4" t="str">
        <f t="shared" si="31"/>
        <v>YES</v>
      </c>
    </row>
    <row r="576" spans="1:16" ht="13" x14ac:dyDescent="0.15">
      <c r="A576" s="4" t="s">
        <v>2630</v>
      </c>
      <c r="B576" s="3" t="str">
        <f t="shared" si="26"/>
        <v>Yes</v>
      </c>
      <c r="C576" s="3">
        <f t="shared" si="27"/>
        <v>446</v>
      </c>
      <c r="D576" s="5">
        <v>11512333142</v>
      </c>
      <c r="E576" s="4" t="s">
        <v>2494</v>
      </c>
      <c r="F576" s="4" t="s">
        <v>2631</v>
      </c>
      <c r="G576" s="4"/>
      <c r="H576" s="4" t="s">
        <v>34</v>
      </c>
      <c r="I576" s="4" t="s">
        <v>2632</v>
      </c>
      <c r="J576" s="6" t="s">
        <v>2633</v>
      </c>
      <c r="K576" s="4"/>
      <c r="L576" s="4" t="s">
        <v>2634</v>
      </c>
      <c r="M576" s="4" t="s">
        <v>38</v>
      </c>
      <c r="N576" s="4"/>
      <c r="O576" s="4"/>
      <c r="P576" s="4" t="str">
        <f t="shared" si="31"/>
        <v>YES</v>
      </c>
    </row>
    <row r="577" spans="1:16" ht="13" x14ac:dyDescent="0.15">
      <c r="A577" s="4" t="s">
        <v>2635</v>
      </c>
      <c r="B577" s="3" t="str">
        <f t="shared" si="26"/>
        <v>Yes</v>
      </c>
      <c r="C577" s="3">
        <f t="shared" si="27"/>
        <v>446</v>
      </c>
      <c r="D577" s="5">
        <v>11511464049</v>
      </c>
      <c r="E577" s="4" t="s">
        <v>2636</v>
      </c>
      <c r="F577" s="4" t="s">
        <v>2637</v>
      </c>
      <c r="G577" s="4"/>
      <c r="H577" s="4" t="s">
        <v>34</v>
      </c>
      <c r="I577" s="4" t="s">
        <v>2638</v>
      </c>
      <c r="J577" s="6" t="s">
        <v>2639</v>
      </c>
      <c r="K577" s="4"/>
      <c r="L577" s="4" t="s">
        <v>2640</v>
      </c>
      <c r="M577" s="4" t="s">
        <v>38</v>
      </c>
      <c r="N577" s="4"/>
      <c r="O577" s="4"/>
      <c r="P577" s="4" t="str">
        <f t="shared" si="31"/>
        <v>YES</v>
      </c>
    </row>
    <row r="578" spans="1:16" ht="13" x14ac:dyDescent="0.15">
      <c r="A578" s="4" t="s">
        <v>2641</v>
      </c>
      <c r="B578" s="3" t="str">
        <f t="shared" ref="B578:B641" si="32">IF(H578&lt;&gt;"",H578,I578)</f>
        <v>Yes</v>
      </c>
      <c r="C578" s="3">
        <f t="shared" ref="C578:C641" si="33">COUNTIF($B$2:$B$1586,B578)</f>
        <v>446</v>
      </c>
      <c r="D578" s="5">
        <v>11514404901</v>
      </c>
      <c r="E578" s="4" t="s">
        <v>2642</v>
      </c>
      <c r="F578" s="4" t="s">
        <v>2643</v>
      </c>
      <c r="G578" s="4"/>
      <c r="H578" s="4" t="s">
        <v>34</v>
      </c>
      <c r="I578" s="4" t="s">
        <v>2644</v>
      </c>
      <c r="J578" s="6" t="s">
        <v>2645</v>
      </c>
      <c r="K578" s="4"/>
      <c r="L578" s="4" t="s">
        <v>1533</v>
      </c>
      <c r="M578" s="4" t="s">
        <v>38</v>
      </c>
      <c r="N578" s="4"/>
      <c r="O578" s="4"/>
      <c r="P578" s="4" t="str">
        <f t="shared" si="31"/>
        <v>YES</v>
      </c>
    </row>
    <row r="579" spans="1:16" ht="13" x14ac:dyDescent="0.15">
      <c r="A579" s="4" t="s">
        <v>2646</v>
      </c>
      <c r="B579" s="3" t="str">
        <f t="shared" si="32"/>
        <v>Yes</v>
      </c>
      <c r="C579" s="3">
        <f t="shared" si="33"/>
        <v>446</v>
      </c>
      <c r="D579" s="5">
        <v>11512333141</v>
      </c>
      <c r="E579" s="4" t="s">
        <v>2647</v>
      </c>
      <c r="F579" s="4" t="s">
        <v>2648</v>
      </c>
      <c r="G579" s="4"/>
      <c r="H579" s="4" t="s">
        <v>34</v>
      </c>
      <c r="I579" s="4" t="s">
        <v>2649</v>
      </c>
      <c r="J579" s="6" t="s">
        <v>2650</v>
      </c>
      <c r="K579" s="4"/>
      <c r="L579" s="4" t="s">
        <v>2651</v>
      </c>
      <c r="M579" s="4" t="s">
        <v>38</v>
      </c>
      <c r="N579" s="4"/>
      <c r="O579" s="4"/>
      <c r="P579" s="4" t="str">
        <f t="shared" si="31"/>
        <v>YES</v>
      </c>
    </row>
    <row r="580" spans="1:16" ht="13" x14ac:dyDescent="0.15">
      <c r="A580" s="4" t="s">
        <v>2652</v>
      </c>
      <c r="B580" s="3" t="str">
        <f t="shared" si="32"/>
        <v>Yes</v>
      </c>
      <c r="C580" s="3">
        <f t="shared" si="33"/>
        <v>446</v>
      </c>
      <c r="D580" s="5">
        <v>11512333143</v>
      </c>
      <c r="E580" s="4" t="s">
        <v>2653</v>
      </c>
      <c r="F580" s="4" t="s">
        <v>2654</v>
      </c>
      <c r="G580" s="4"/>
      <c r="H580" s="4" t="s">
        <v>34</v>
      </c>
      <c r="I580" s="4" t="s">
        <v>2655</v>
      </c>
      <c r="J580" s="6" t="s">
        <v>2656</v>
      </c>
      <c r="K580" s="4"/>
      <c r="L580" s="4" t="s">
        <v>2657</v>
      </c>
      <c r="M580" s="4" t="s">
        <v>38</v>
      </c>
      <c r="N580" s="4"/>
      <c r="O580" s="4"/>
      <c r="P580" s="4" t="str">
        <f t="shared" si="31"/>
        <v>YES</v>
      </c>
    </row>
    <row r="581" spans="1:16" ht="13" x14ac:dyDescent="0.15">
      <c r="A581" s="4" t="s">
        <v>2658</v>
      </c>
      <c r="B581" s="3" t="str">
        <f t="shared" si="32"/>
        <v>chris.terrill@ensemblehp.com</v>
      </c>
      <c r="C581" s="3">
        <f t="shared" si="33"/>
        <v>1</v>
      </c>
      <c r="D581" s="5">
        <v>25021616469</v>
      </c>
      <c r="E581" s="4" t="s">
        <v>1652</v>
      </c>
      <c r="F581" s="4" t="s">
        <v>2659</v>
      </c>
      <c r="G581" s="4" t="s">
        <v>34</v>
      </c>
      <c r="H581" s="4"/>
      <c r="I581" s="4" t="s">
        <v>2660</v>
      </c>
      <c r="J581" s="6" t="s">
        <v>2661</v>
      </c>
      <c r="K581" s="4"/>
      <c r="L581" s="4" t="s">
        <v>2662</v>
      </c>
      <c r="M581" s="4"/>
      <c r="N581" s="4"/>
      <c r="O581" s="4"/>
      <c r="P581" s="4" t="str">
        <f t="shared" si="31"/>
        <v>YES</v>
      </c>
    </row>
    <row r="582" spans="1:16" ht="13" x14ac:dyDescent="0.15">
      <c r="A582" s="4" t="s">
        <v>2658</v>
      </c>
      <c r="B582" s="3" t="str">
        <f t="shared" si="32"/>
        <v>jason.collins@ensemblehp.com</v>
      </c>
      <c r="C582" s="3">
        <f t="shared" si="33"/>
        <v>1</v>
      </c>
      <c r="D582" s="5">
        <v>25013279848</v>
      </c>
      <c r="E582" s="4" t="s">
        <v>405</v>
      </c>
      <c r="F582" s="4" t="s">
        <v>2663</v>
      </c>
      <c r="G582" s="4" t="s">
        <v>34</v>
      </c>
      <c r="H582" s="4"/>
      <c r="I582" s="4" t="s">
        <v>2664</v>
      </c>
      <c r="J582" s="6" t="s">
        <v>2661</v>
      </c>
      <c r="K582" s="4"/>
      <c r="L582" s="4" t="s">
        <v>2665</v>
      </c>
      <c r="M582" s="4"/>
      <c r="N582" s="4"/>
      <c r="O582" s="4"/>
      <c r="P582" s="4" t="str">
        <f t="shared" si="31"/>
        <v>YES</v>
      </c>
    </row>
    <row r="583" spans="1:16" ht="13" x14ac:dyDescent="0.15">
      <c r="A583" s="4" t="s">
        <v>2658</v>
      </c>
      <c r="B583" s="3" t="str">
        <f t="shared" si="32"/>
        <v>david.anderson@ensemblehp.com</v>
      </c>
      <c r="C583" s="3">
        <f t="shared" si="33"/>
        <v>1</v>
      </c>
      <c r="D583" s="5">
        <v>25021768783</v>
      </c>
      <c r="E583" s="4" t="s">
        <v>119</v>
      </c>
      <c r="F583" s="4" t="s">
        <v>55</v>
      </c>
      <c r="G583" s="4" t="s">
        <v>34</v>
      </c>
      <c r="H583" s="4"/>
      <c r="I583" s="4" t="s">
        <v>2666</v>
      </c>
      <c r="J583" s="6" t="s">
        <v>2661</v>
      </c>
      <c r="K583" s="4"/>
      <c r="L583" s="4" t="s">
        <v>681</v>
      </c>
      <c r="M583" s="4"/>
      <c r="N583" s="4"/>
      <c r="O583" s="4"/>
      <c r="P583" s="4" t="str">
        <f t="shared" si="31"/>
        <v>YES</v>
      </c>
    </row>
    <row r="584" spans="1:16" ht="13" x14ac:dyDescent="0.15">
      <c r="A584" s="4" t="s">
        <v>2667</v>
      </c>
      <c r="B584" s="3" t="str">
        <f t="shared" si="32"/>
        <v>Yes</v>
      </c>
      <c r="C584" s="3">
        <f t="shared" si="33"/>
        <v>446</v>
      </c>
      <c r="D584" s="5">
        <v>11515723927</v>
      </c>
      <c r="E584" s="4" t="s">
        <v>405</v>
      </c>
      <c r="F584" s="4" t="s">
        <v>2668</v>
      </c>
      <c r="G584" s="4"/>
      <c r="H584" s="4" t="s">
        <v>34</v>
      </c>
      <c r="I584" s="4" t="s">
        <v>2669</v>
      </c>
      <c r="J584" s="6" t="s">
        <v>2670</v>
      </c>
      <c r="K584" s="4"/>
      <c r="L584" s="4" t="s">
        <v>2671</v>
      </c>
      <c r="M584" s="4" t="s">
        <v>38</v>
      </c>
      <c r="N584" s="4"/>
      <c r="O584" s="4"/>
      <c r="P584" s="4" t="str">
        <f t="shared" si="31"/>
        <v>YES</v>
      </c>
    </row>
    <row r="585" spans="1:16" ht="13" x14ac:dyDescent="0.15">
      <c r="A585" s="4" t="s">
        <v>2672</v>
      </c>
      <c r="B585" s="3" t="str">
        <f t="shared" si="32"/>
        <v>Yes</v>
      </c>
      <c r="C585" s="3">
        <f t="shared" si="33"/>
        <v>446</v>
      </c>
      <c r="D585" s="5">
        <v>11512269189</v>
      </c>
      <c r="E585" s="4" t="s">
        <v>2673</v>
      </c>
      <c r="F585" s="4" t="s">
        <v>2674</v>
      </c>
      <c r="G585" s="4"/>
      <c r="H585" s="4" t="s">
        <v>34</v>
      </c>
      <c r="I585" s="4" t="s">
        <v>2675</v>
      </c>
      <c r="J585" s="6" t="s">
        <v>2676</v>
      </c>
      <c r="K585" s="4"/>
      <c r="L585" s="4" t="s">
        <v>2677</v>
      </c>
      <c r="M585" s="4" t="s">
        <v>38</v>
      </c>
      <c r="N585" s="4"/>
      <c r="O585" s="4"/>
      <c r="P585" s="4" t="str">
        <f t="shared" si="31"/>
        <v>YES</v>
      </c>
    </row>
    <row r="586" spans="1:16" ht="13" x14ac:dyDescent="0.15">
      <c r="A586" s="4" t="s">
        <v>2678</v>
      </c>
      <c r="B586" s="3" t="str">
        <f t="shared" si="32"/>
        <v>Yes</v>
      </c>
      <c r="C586" s="3">
        <f t="shared" si="33"/>
        <v>446</v>
      </c>
      <c r="D586" s="5">
        <v>6806</v>
      </c>
      <c r="E586" s="4" t="s">
        <v>2679</v>
      </c>
      <c r="F586" s="4" t="s">
        <v>2680</v>
      </c>
      <c r="G586" s="4"/>
      <c r="H586" s="4" t="s">
        <v>34</v>
      </c>
      <c r="I586" s="4" t="s">
        <v>2681</v>
      </c>
      <c r="J586" s="6" t="s">
        <v>2682</v>
      </c>
      <c r="K586" s="4"/>
      <c r="L586" s="4" t="s">
        <v>2683</v>
      </c>
      <c r="M586" s="4" t="s">
        <v>38</v>
      </c>
      <c r="N586" s="4"/>
      <c r="O586" s="4"/>
      <c r="P586" s="4" t="str">
        <f t="shared" si="31"/>
        <v>YES</v>
      </c>
    </row>
    <row r="587" spans="1:16" ht="13" x14ac:dyDescent="0.15">
      <c r="A587" s="4" t="s">
        <v>2684</v>
      </c>
      <c r="B587" s="3" t="str">
        <f t="shared" si="32"/>
        <v>Yes</v>
      </c>
      <c r="C587" s="3">
        <f t="shared" si="33"/>
        <v>446</v>
      </c>
      <c r="D587" s="5">
        <v>11512269190</v>
      </c>
      <c r="E587" s="4" t="s">
        <v>2685</v>
      </c>
      <c r="F587" s="4" t="s">
        <v>2686</v>
      </c>
      <c r="G587" s="4"/>
      <c r="H587" s="4" t="s">
        <v>34</v>
      </c>
      <c r="I587" s="4" t="s">
        <v>2687</v>
      </c>
      <c r="J587" s="6" t="s">
        <v>2688</v>
      </c>
      <c r="K587" s="4"/>
      <c r="L587" s="4" t="s">
        <v>2689</v>
      </c>
      <c r="M587" s="4" t="s">
        <v>38</v>
      </c>
      <c r="N587" s="4"/>
      <c r="O587" s="4"/>
      <c r="P587" s="4" t="str">
        <f t="shared" si="31"/>
        <v>YES</v>
      </c>
    </row>
    <row r="588" spans="1:16" ht="13" x14ac:dyDescent="0.15">
      <c r="A588" s="4" t="s">
        <v>2690</v>
      </c>
      <c r="B588" s="3" t="str">
        <f t="shared" si="32"/>
        <v>Yes</v>
      </c>
      <c r="C588" s="3">
        <f t="shared" si="33"/>
        <v>446</v>
      </c>
      <c r="D588" s="5">
        <v>3566</v>
      </c>
      <c r="E588" s="4" t="s">
        <v>2691</v>
      </c>
      <c r="F588" s="4" t="s">
        <v>2692</v>
      </c>
      <c r="G588" s="4"/>
      <c r="H588" s="4" t="s">
        <v>34</v>
      </c>
      <c r="I588" s="4" t="s">
        <v>2693</v>
      </c>
      <c r="J588" s="6" t="s">
        <v>2694</v>
      </c>
      <c r="K588" s="4"/>
      <c r="L588" s="4" t="s">
        <v>1006</v>
      </c>
      <c r="M588" s="4" t="s">
        <v>38</v>
      </c>
      <c r="N588" s="4"/>
      <c r="O588" s="4"/>
      <c r="P588" s="4" t="str">
        <f t="shared" si="31"/>
        <v>YES</v>
      </c>
    </row>
    <row r="589" spans="1:16" ht="13" x14ac:dyDescent="0.15">
      <c r="A589" s="4" t="s">
        <v>2695</v>
      </c>
      <c r="B589" s="3" t="str">
        <f t="shared" si="32"/>
        <v>sttaylor@exactsciences.com</v>
      </c>
      <c r="C589" s="3">
        <f t="shared" si="33"/>
        <v>1</v>
      </c>
      <c r="D589" s="5">
        <v>25006710958</v>
      </c>
      <c r="E589" s="4" t="s">
        <v>2696</v>
      </c>
      <c r="F589" s="4" t="s">
        <v>1013</v>
      </c>
      <c r="G589" s="4" t="s">
        <v>34</v>
      </c>
      <c r="H589" s="4"/>
      <c r="I589" s="4" t="s">
        <v>2697</v>
      </c>
      <c r="J589" s="6" t="s">
        <v>2698</v>
      </c>
      <c r="K589" s="4"/>
      <c r="L589" s="4" t="s">
        <v>2699</v>
      </c>
      <c r="M589" s="4"/>
      <c r="N589" s="4"/>
      <c r="O589" s="4"/>
      <c r="P589" s="4" t="str">
        <f t="shared" si="31"/>
        <v>YES</v>
      </c>
    </row>
    <row r="590" spans="1:16" ht="13" x14ac:dyDescent="0.15">
      <c r="A590" s="4" t="s">
        <v>2695</v>
      </c>
      <c r="B590" s="3" t="str">
        <f t="shared" si="32"/>
        <v>nshelar@exactsciences.com</v>
      </c>
      <c r="C590" s="3">
        <f t="shared" si="33"/>
        <v>1</v>
      </c>
      <c r="D590" s="5">
        <v>25008351874</v>
      </c>
      <c r="E590" s="4" t="s">
        <v>2700</v>
      </c>
      <c r="F590" s="4" t="s">
        <v>2701</v>
      </c>
      <c r="G590" s="4" t="s">
        <v>34</v>
      </c>
      <c r="H590" s="4"/>
      <c r="I590" s="4" t="s">
        <v>2702</v>
      </c>
      <c r="J590" s="6" t="s">
        <v>2698</v>
      </c>
      <c r="K590" s="4"/>
      <c r="L590" s="4" t="s">
        <v>1448</v>
      </c>
      <c r="M590" s="4"/>
      <c r="N590" s="4"/>
      <c r="O590" s="4"/>
      <c r="P590" s="4" t="str">
        <f t="shared" si="31"/>
        <v>YES</v>
      </c>
    </row>
    <row r="591" spans="1:16" ht="13" x14ac:dyDescent="0.15">
      <c r="A591" s="4" t="s">
        <v>2695</v>
      </c>
      <c r="B591" s="3" t="str">
        <f t="shared" si="32"/>
        <v>jdeen@exactsciences.com</v>
      </c>
      <c r="C591" s="3">
        <f t="shared" si="33"/>
        <v>1</v>
      </c>
      <c r="D591" s="5">
        <v>25006958617</v>
      </c>
      <c r="E591" s="4" t="s">
        <v>2703</v>
      </c>
      <c r="F591" s="4" t="s">
        <v>2704</v>
      </c>
      <c r="G591" s="4" t="s">
        <v>34</v>
      </c>
      <c r="H591" s="4"/>
      <c r="I591" s="4" t="s">
        <v>2705</v>
      </c>
      <c r="J591" s="6" t="s">
        <v>2698</v>
      </c>
      <c r="K591" s="4"/>
      <c r="L591" s="4" t="s">
        <v>2706</v>
      </c>
      <c r="M591" s="4"/>
      <c r="N591" s="4"/>
      <c r="O591" s="4"/>
      <c r="P591" s="4" t="str">
        <f t="shared" si="31"/>
        <v>YES</v>
      </c>
    </row>
    <row r="592" spans="1:16" ht="13" x14ac:dyDescent="0.15">
      <c r="A592" s="4" t="s">
        <v>2695</v>
      </c>
      <c r="B592" s="3" t="str">
        <f t="shared" si="32"/>
        <v>rkeis@exactsciences.com</v>
      </c>
      <c r="C592" s="3">
        <f t="shared" si="33"/>
        <v>1</v>
      </c>
      <c r="D592" s="5">
        <v>25012074650</v>
      </c>
      <c r="E592" s="4" t="s">
        <v>2707</v>
      </c>
      <c r="F592" s="4" t="s">
        <v>2708</v>
      </c>
      <c r="G592" s="4" t="s">
        <v>34</v>
      </c>
      <c r="H592" s="4"/>
      <c r="I592" s="4" t="s">
        <v>2709</v>
      </c>
      <c r="J592" s="6" t="s">
        <v>2698</v>
      </c>
      <c r="K592" s="4"/>
      <c r="L592" s="4" t="s">
        <v>2710</v>
      </c>
      <c r="M592" s="4"/>
      <c r="N592" s="4"/>
      <c r="O592" s="4"/>
      <c r="P592" s="4" t="str">
        <f t="shared" si="31"/>
        <v>YES</v>
      </c>
    </row>
    <row r="593" spans="1:16" ht="13" x14ac:dyDescent="0.15">
      <c r="A593" s="4" t="s">
        <v>2711</v>
      </c>
      <c r="B593" s="3" t="str">
        <f t="shared" si="32"/>
        <v>Yes</v>
      </c>
      <c r="C593" s="3">
        <f t="shared" si="33"/>
        <v>446</v>
      </c>
      <c r="D593" s="5">
        <v>3268</v>
      </c>
      <c r="E593" s="4" t="s">
        <v>2712</v>
      </c>
      <c r="F593" s="4" t="s">
        <v>2713</v>
      </c>
      <c r="G593" s="4"/>
      <c r="H593" s="4" t="s">
        <v>34</v>
      </c>
      <c r="I593" s="4" t="s">
        <v>2714</v>
      </c>
      <c r="J593" s="6" t="s">
        <v>2715</v>
      </c>
      <c r="K593" s="4"/>
      <c r="L593" s="4" t="s">
        <v>2716</v>
      </c>
      <c r="M593" s="4" t="s">
        <v>38</v>
      </c>
      <c r="N593" s="4"/>
      <c r="O593" s="4"/>
      <c r="P593" s="4" t="str">
        <f t="shared" si="31"/>
        <v>YES</v>
      </c>
    </row>
    <row r="594" spans="1:16" ht="13" x14ac:dyDescent="0.15">
      <c r="A594" s="4" t="s">
        <v>2717</v>
      </c>
      <c r="B594" s="3" t="str">
        <f t="shared" si="32"/>
        <v>Yes</v>
      </c>
      <c r="C594" s="3">
        <f t="shared" si="33"/>
        <v>446</v>
      </c>
      <c r="D594" s="5">
        <v>4605</v>
      </c>
      <c r="E594" s="4" t="s">
        <v>980</v>
      </c>
      <c r="F594" s="4" t="s">
        <v>2718</v>
      </c>
      <c r="G594" s="4"/>
      <c r="H594" s="4" t="s">
        <v>34</v>
      </c>
      <c r="I594" s="4" t="s">
        <v>2719</v>
      </c>
      <c r="J594" s="6" t="s">
        <v>2720</v>
      </c>
      <c r="K594" s="4"/>
      <c r="L594" s="4" t="s">
        <v>2721</v>
      </c>
      <c r="M594" s="4" t="s">
        <v>38</v>
      </c>
      <c r="N594" s="4"/>
      <c r="O594" s="4"/>
      <c r="P594" s="4" t="str">
        <f t="shared" si="31"/>
        <v>YES</v>
      </c>
    </row>
    <row r="595" spans="1:16" ht="13" x14ac:dyDescent="0.15">
      <c r="A595" s="4" t="s">
        <v>2722</v>
      </c>
      <c r="B595" s="3" t="str">
        <f t="shared" si="32"/>
        <v>Yes</v>
      </c>
      <c r="C595" s="3">
        <f t="shared" si="33"/>
        <v>446</v>
      </c>
      <c r="D595" s="5">
        <v>11512908925</v>
      </c>
      <c r="E595" s="4" t="s">
        <v>2723</v>
      </c>
      <c r="F595" s="4" t="s">
        <v>2724</v>
      </c>
      <c r="G595" s="4"/>
      <c r="H595" s="4" t="s">
        <v>34</v>
      </c>
      <c r="I595" s="4" t="s">
        <v>2725</v>
      </c>
      <c r="J595" s="6" t="s">
        <v>2726</v>
      </c>
      <c r="K595" s="4"/>
      <c r="L595" s="4" t="s">
        <v>2727</v>
      </c>
      <c r="M595" s="4" t="s">
        <v>38</v>
      </c>
      <c r="N595" s="4"/>
      <c r="O595" s="4"/>
      <c r="P595" s="4" t="str">
        <f t="shared" si="31"/>
        <v>YES</v>
      </c>
    </row>
    <row r="596" spans="1:16" ht="13" x14ac:dyDescent="0.15">
      <c r="A596" s="4" t="s">
        <v>2728</v>
      </c>
      <c r="B596" s="3" t="str">
        <f t="shared" si="32"/>
        <v>christian.ukaga@med.fsu.edu</v>
      </c>
      <c r="C596" s="3">
        <f t="shared" si="33"/>
        <v>1</v>
      </c>
      <c r="D596" s="5">
        <v>25021905561</v>
      </c>
      <c r="E596" s="4" t="s">
        <v>667</v>
      </c>
      <c r="F596" s="4" t="s">
        <v>2729</v>
      </c>
      <c r="G596" s="4" t="s">
        <v>34</v>
      </c>
      <c r="H596" s="4"/>
      <c r="I596" s="4" t="s">
        <v>2730</v>
      </c>
      <c r="J596" s="6" t="s">
        <v>2731</v>
      </c>
      <c r="K596" s="4"/>
      <c r="L596" s="4" t="s">
        <v>2732</v>
      </c>
      <c r="M596" s="4"/>
      <c r="N596" s="4"/>
      <c r="O596" s="4"/>
      <c r="P596" s="4" t="str">
        <f t="shared" si="31"/>
        <v>YES</v>
      </c>
    </row>
    <row r="597" spans="1:16" ht="15" x14ac:dyDescent="0.2">
      <c r="A597" s="2" t="s">
        <v>2733</v>
      </c>
      <c r="B597" s="3" t="str">
        <f t="shared" si="32"/>
        <v>angel.belovarac@forthealthcare.com</v>
      </c>
      <c r="C597" s="3">
        <f t="shared" si="33"/>
        <v>1</v>
      </c>
      <c r="D597" s="2" t="s">
        <v>2734</v>
      </c>
      <c r="E597" s="2" t="s">
        <v>2735</v>
      </c>
      <c r="F597" s="2" t="s">
        <v>2736</v>
      </c>
      <c r="I597" s="2" t="s">
        <v>2737</v>
      </c>
      <c r="L597" s="2" t="s">
        <v>2738</v>
      </c>
      <c r="M597" s="2" t="s">
        <v>45</v>
      </c>
    </row>
    <row r="598" spans="1:16" ht="13" x14ac:dyDescent="0.15">
      <c r="A598" s="4" t="s">
        <v>2739</v>
      </c>
      <c r="B598" s="3" t="str">
        <f t="shared" si="32"/>
        <v>rodolfo.bamberg@freseniusmedicalcare.com</v>
      </c>
      <c r="C598" s="3">
        <f t="shared" si="33"/>
        <v>1</v>
      </c>
      <c r="D598" s="5">
        <v>25021782878</v>
      </c>
      <c r="E598" s="4" t="s">
        <v>2740</v>
      </c>
      <c r="F598" s="4" t="s">
        <v>2741</v>
      </c>
      <c r="G598" s="4" t="s">
        <v>34</v>
      </c>
      <c r="H598" s="4"/>
      <c r="I598" s="4" t="s">
        <v>2742</v>
      </c>
      <c r="J598" s="6" t="s">
        <v>2743</v>
      </c>
      <c r="K598" s="4"/>
      <c r="L598" s="4" t="s">
        <v>2744</v>
      </c>
      <c r="M598" s="4"/>
      <c r="N598" s="4"/>
      <c r="O598" s="4"/>
      <c r="P598" s="4" t="str">
        <f>IF(OR(M598="Customer", M598="Opportunity", H598="Yes", H598=TRUE, G598="Yes", G598=TRUE, O598&gt;0), "YES", "NO")</f>
        <v>YES</v>
      </c>
    </row>
    <row r="599" spans="1:16" ht="13" x14ac:dyDescent="0.15">
      <c r="A599" s="4" t="s">
        <v>2739</v>
      </c>
      <c r="B599" s="3" t="str">
        <f t="shared" si="32"/>
        <v>mark.weber@fresenius-kabi.com</v>
      </c>
      <c r="C599" s="3">
        <f t="shared" si="33"/>
        <v>1</v>
      </c>
      <c r="D599" s="5">
        <v>25011498347</v>
      </c>
      <c r="E599" s="4" t="s">
        <v>192</v>
      </c>
      <c r="F599" s="4" t="s">
        <v>2745</v>
      </c>
      <c r="G599" s="4" t="s">
        <v>34</v>
      </c>
      <c r="H599" s="4"/>
      <c r="I599" s="4" t="s">
        <v>2746</v>
      </c>
      <c r="J599" s="6" t="s">
        <v>2747</v>
      </c>
      <c r="K599" s="4"/>
      <c r="L599" s="4" t="s">
        <v>2748</v>
      </c>
      <c r="M599" s="4"/>
      <c r="N599" s="4"/>
      <c r="O599" s="4"/>
      <c r="P599" s="4" t="str">
        <f>IF(OR(M599="Customer", M599="Opportunity", H599="Yes", H599=TRUE, G599="Yes", G599=TRUE, O599&gt;0), "YES", "NO")</f>
        <v>YES</v>
      </c>
    </row>
    <row r="600" spans="1:16" ht="13" x14ac:dyDescent="0.15">
      <c r="A600" s="4" t="s">
        <v>2749</v>
      </c>
      <c r="B600" s="3" t="str">
        <f t="shared" si="32"/>
        <v>kendyl.hall@freseniusmedicalcare.com</v>
      </c>
      <c r="C600" s="3">
        <f t="shared" si="33"/>
        <v>1</v>
      </c>
      <c r="D600" s="5">
        <v>23581238354</v>
      </c>
      <c r="E600" s="4" t="s">
        <v>2750</v>
      </c>
      <c r="F600" s="4" t="s">
        <v>2552</v>
      </c>
      <c r="G600" s="4" t="s">
        <v>34</v>
      </c>
      <c r="H600" s="4"/>
      <c r="I600" s="4" t="s">
        <v>2751</v>
      </c>
      <c r="J600" s="6" t="s">
        <v>2743</v>
      </c>
      <c r="K600" s="4"/>
      <c r="L600" s="4" t="s">
        <v>2752</v>
      </c>
      <c r="M600" s="4" t="s">
        <v>1042</v>
      </c>
      <c r="N600" s="4"/>
      <c r="O600" s="4"/>
      <c r="P600" s="4" t="str">
        <f>IF(OR(M600="Customer", M600="Opportunity", H600="Yes", H600=TRUE, G600="Yes", G600=TRUE, O600&gt;0), "YES", "NO")</f>
        <v>YES</v>
      </c>
    </row>
    <row r="601" spans="1:16" ht="13" x14ac:dyDescent="0.15">
      <c r="A601" s="4" t="s">
        <v>2753</v>
      </c>
      <c r="B601" s="3" t="str">
        <f t="shared" si="32"/>
        <v>Yes</v>
      </c>
      <c r="C601" s="3">
        <f t="shared" si="33"/>
        <v>446</v>
      </c>
      <c r="D601" s="5">
        <v>11493886866</v>
      </c>
      <c r="E601" s="4" t="s">
        <v>2754</v>
      </c>
      <c r="F601" s="4" t="s">
        <v>2755</v>
      </c>
      <c r="G601" s="4"/>
      <c r="H601" s="4" t="s">
        <v>34</v>
      </c>
      <c r="I601" s="4" t="s">
        <v>2756</v>
      </c>
      <c r="J601" s="6" t="s">
        <v>2743</v>
      </c>
      <c r="K601" s="4"/>
      <c r="L601" s="4" t="s">
        <v>2757</v>
      </c>
      <c r="M601" s="4" t="s">
        <v>38</v>
      </c>
      <c r="N601" s="4"/>
      <c r="O601" s="4"/>
      <c r="P601" s="4" t="str">
        <f>IF(OR(M601="Customer", M601="Opportunity", H601="Yes", H601=TRUE, G601="Yes", G601=TRUE, O601&gt;0), "YES", "NO")</f>
        <v>YES</v>
      </c>
    </row>
    <row r="602" spans="1:16" ht="15" x14ac:dyDescent="0.2">
      <c r="A602" s="2" t="s">
        <v>2753</v>
      </c>
      <c r="B602" s="3" t="str">
        <f t="shared" si="32"/>
        <v>eworth@freseniusmedicalcare.com</v>
      </c>
      <c r="C602" s="3">
        <f t="shared" si="33"/>
        <v>1</v>
      </c>
      <c r="D602" s="2" t="s">
        <v>2758</v>
      </c>
      <c r="E602" s="2" t="s">
        <v>109</v>
      </c>
      <c r="F602" s="2" t="s">
        <v>2759</v>
      </c>
      <c r="I602" s="2" t="s">
        <v>2760</v>
      </c>
      <c r="L602" s="2" t="s">
        <v>277</v>
      </c>
      <c r="M602" s="2" t="s">
        <v>22</v>
      </c>
    </row>
    <row r="603" spans="1:16" ht="15" x14ac:dyDescent="0.2">
      <c r="A603" s="2" t="s">
        <v>2753</v>
      </c>
      <c r="B603" s="3" t="str">
        <f t="shared" si="32"/>
        <v>aali@freseniusmedicalcare.com</v>
      </c>
      <c r="C603" s="3">
        <f t="shared" si="33"/>
        <v>1</v>
      </c>
      <c r="D603" s="2" t="s">
        <v>2761</v>
      </c>
      <c r="E603" s="2" t="s">
        <v>33</v>
      </c>
      <c r="F603" s="2" t="s">
        <v>2762</v>
      </c>
      <c r="I603" s="2" t="s">
        <v>2763</v>
      </c>
      <c r="L603" s="2" t="s">
        <v>2764</v>
      </c>
      <c r="M603" s="2" t="s">
        <v>22</v>
      </c>
    </row>
    <row r="604" spans="1:16" ht="15" x14ac:dyDescent="0.2">
      <c r="A604" s="2" t="s">
        <v>2753</v>
      </c>
      <c r="B604" s="3" t="str">
        <f t="shared" si="32"/>
        <v>rrivera@freseniusmedicalcare.com</v>
      </c>
      <c r="C604" s="3">
        <f t="shared" si="33"/>
        <v>1</v>
      </c>
      <c r="D604" s="2" t="s">
        <v>2765</v>
      </c>
      <c r="E604" s="2" t="s">
        <v>2100</v>
      </c>
      <c r="F604" s="2" t="s">
        <v>2766</v>
      </c>
      <c r="I604" s="2" t="s">
        <v>2767</v>
      </c>
      <c r="L604" s="2" t="s">
        <v>2768</v>
      </c>
      <c r="M604" s="2" t="s">
        <v>22</v>
      </c>
    </row>
    <row r="605" spans="1:16" ht="15" x14ac:dyDescent="0.2">
      <c r="A605" s="2" t="s">
        <v>2753</v>
      </c>
      <c r="B605" s="3" t="str">
        <f t="shared" si="32"/>
        <v>bflaherty@freseniusmedicalcare.com</v>
      </c>
      <c r="C605" s="3">
        <f t="shared" si="33"/>
        <v>1</v>
      </c>
      <c r="D605" s="2" t="s">
        <v>2769</v>
      </c>
      <c r="E605" s="2" t="s">
        <v>541</v>
      </c>
      <c r="F605" s="2" t="s">
        <v>2718</v>
      </c>
      <c r="I605" s="2" t="s">
        <v>2770</v>
      </c>
      <c r="L605" s="2" t="s">
        <v>2771</v>
      </c>
      <c r="M605" s="2" t="s">
        <v>22</v>
      </c>
    </row>
    <row r="606" spans="1:16" ht="15" x14ac:dyDescent="0.2">
      <c r="A606" s="2" t="s">
        <v>2753</v>
      </c>
      <c r="B606" s="3" t="str">
        <f t="shared" si="32"/>
        <v>jbrooks@freseniusmedicalcare.com</v>
      </c>
      <c r="C606" s="3">
        <f t="shared" si="33"/>
        <v>1</v>
      </c>
      <c r="D606" s="2" t="s">
        <v>2772</v>
      </c>
      <c r="E606" s="2" t="s">
        <v>569</v>
      </c>
      <c r="F606" s="2" t="s">
        <v>2773</v>
      </c>
      <c r="I606" s="2" t="s">
        <v>2774</v>
      </c>
      <c r="L606" s="2" t="s">
        <v>68</v>
      </c>
      <c r="M606" s="2" t="s">
        <v>22</v>
      </c>
    </row>
    <row r="607" spans="1:16" ht="15" x14ac:dyDescent="0.2">
      <c r="A607" s="2" t="s">
        <v>2753</v>
      </c>
      <c r="B607" s="3" t="str">
        <f t="shared" si="32"/>
        <v>tfloyd@freseniusmedicalcare.com</v>
      </c>
      <c r="C607" s="3">
        <f t="shared" si="33"/>
        <v>1</v>
      </c>
      <c r="D607" s="2" t="s">
        <v>2775</v>
      </c>
      <c r="E607" s="2" t="s">
        <v>2776</v>
      </c>
      <c r="F607" s="2" t="s">
        <v>2777</v>
      </c>
      <c r="I607" s="2" t="s">
        <v>2778</v>
      </c>
      <c r="L607" s="2" t="s">
        <v>2779</v>
      </c>
      <c r="M607" s="2" t="s">
        <v>22</v>
      </c>
    </row>
    <row r="608" spans="1:16" ht="15" x14ac:dyDescent="0.2">
      <c r="A608" s="2" t="s">
        <v>2753</v>
      </c>
      <c r="B608" s="3" t="str">
        <f t="shared" si="32"/>
        <v>iakinshyn@freseniusmedicalcare.com</v>
      </c>
      <c r="C608" s="3">
        <f t="shared" si="33"/>
        <v>1</v>
      </c>
      <c r="D608" s="2" t="s">
        <v>2780</v>
      </c>
      <c r="E608" s="2" t="s">
        <v>2781</v>
      </c>
      <c r="F608" s="2" t="s">
        <v>2782</v>
      </c>
      <c r="I608" s="2" t="s">
        <v>2783</v>
      </c>
      <c r="L608" s="2" t="s">
        <v>2784</v>
      </c>
      <c r="M608" s="2" t="s">
        <v>22</v>
      </c>
    </row>
    <row r="609" spans="1:13" ht="15" x14ac:dyDescent="0.2">
      <c r="A609" s="2" t="s">
        <v>2753</v>
      </c>
      <c r="B609" s="3" t="str">
        <f t="shared" si="32"/>
        <v>mpetros@freseniusmedicalcare.com</v>
      </c>
      <c r="C609" s="3">
        <f t="shared" si="33"/>
        <v>1</v>
      </c>
      <c r="D609" s="2" t="s">
        <v>2785</v>
      </c>
      <c r="E609" s="2" t="s">
        <v>2786</v>
      </c>
      <c r="F609" s="2" t="s">
        <v>2787</v>
      </c>
      <c r="I609" s="2" t="s">
        <v>2788</v>
      </c>
      <c r="L609" s="2" t="s">
        <v>1574</v>
      </c>
      <c r="M609" s="2" t="s">
        <v>22</v>
      </c>
    </row>
    <row r="610" spans="1:13" ht="15" x14ac:dyDescent="0.2">
      <c r="A610" s="2" t="s">
        <v>2753</v>
      </c>
      <c r="B610" s="3" t="str">
        <f t="shared" si="32"/>
        <v>msitt@freseniusmedicalcare.com</v>
      </c>
      <c r="C610" s="3">
        <f t="shared" si="33"/>
        <v>1</v>
      </c>
      <c r="D610" s="2" t="s">
        <v>2789</v>
      </c>
      <c r="E610" s="2" t="s">
        <v>2790</v>
      </c>
      <c r="F610" s="2" t="s">
        <v>2791</v>
      </c>
      <c r="I610" s="2" t="s">
        <v>2792</v>
      </c>
      <c r="L610" s="2" t="s">
        <v>2793</v>
      </c>
      <c r="M610" s="2" t="s">
        <v>22</v>
      </c>
    </row>
    <row r="611" spans="1:13" ht="15" x14ac:dyDescent="0.2">
      <c r="A611" s="2" t="s">
        <v>2753</v>
      </c>
      <c r="B611" s="3" t="str">
        <f t="shared" si="32"/>
        <v>iagblu@freseniusmedicalcare.com</v>
      </c>
      <c r="C611" s="3">
        <f t="shared" si="33"/>
        <v>1</v>
      </c>
      <c r="D611" s="2" t="s">
        <v>2794</v>
      </c>
      <c r="E611" s="2" t="s">
        <v>2795</v>
      </c>
      <c r="F611" s="2" t="s">
        <v>2796</v>
      </c>
      <c r="I611" s="2" t="s">
        <v>2797</v>
      </c>
      <c r="L611" s="2" t="s">
        <v>132</v>
      </c>
      <c r="M611" s="2" t="s">
        <v>22</v>
      </c>
    </row>
    <row r="612" spans="1:13" ht="15" x14ac:dyDescent="0.2">
      <c r="A612" s="2" t="s">
        <v>2753</v>
      </c>
      <c r="B612" s="3" t="str">
        <f t="shared" si="32"/>
        <v>kduwa@freseniusmedicalcare.com</v>
      </c>
      <c r="C612" s="3">
        <f t="shared" si="33"/>
        <v>1</v>
      </c>
      <c r="D612" s="2" t="s">
        <v>2798</v>
      </c>
      <c r="E612" s="2" t="s">
        <v>2799</v>
      </c>
      <c r="F612" s="2" t="s">
        <v>2800</v>
      </c>
      <c r="I612" s="2" t="s">
        <v>2801</v>
      </c>
      <c r="L612" s="2" t="s">
        <v>2764</v>
      </c>
      <c r="M612" s="2" t="s">
        <v>22</v>
      </c>
    </row>
    <row r="613" spans="1:13" ht="15" x14ac:dyDescent="0.2">
      <c r="A613" s="2" t="s">
        <v>2753</v>
      </c>
      <c r="B613" s="3" t="str">
        <f t="shared" si="32"/>
        <v>lpark@freseniusmedicalcare.com</v>
      </c>
      <c r="C613" s="3">
        <f t="shared" si="33"/>
        <v>1</v>
      </c>
      <c r="D613" s="2" t="s">
        <v>2802</v>
      </c>
      <c r="E613" s="2" t="s">
        <v>2803</v>
      </c>
      <c r="F613" s="2" t="s">
        <v>2804</v>
      </c>
      <c r="I613" s="2" t="s">
        <v>2805</v>
      </c>
      <c r="L613" s="2" t="s">
        <v>2806</v>
      </c>
      <c r="M613" s="2" t="s">
        <v>22</v>
      </c>
    </row>
    <row r="614" spans="1:13" ht="15" x14ac:dyDescent="0.2">
      <c r="A614" s="2" t="s">
        <v>2753</v>
      </c>
      <c r="B614" s="3" t="str">
        <f t="shared" si="32"/>
        <v>cdoherty@freseniusmedicalcare.com</v>
      </c>
      <c r="C614" s="3">
        <f t="shared" si="33"/>
        <v>1</v>
      </c>
      <c r="D614" s="2" t="s">
        <v>2807</v>
      </c>
      <c r="E614" s="2" t="s">
        <v>1652</v>
      </c>
      <c r="F614" s="2" t="s">
        <v>2808</v>
      </c>
      <c r="I614" s="2" t="s">
        <v>2809</v>
      </c>
      <c r="L614" s="2" t="s">
        <v>2810</v>
      </c>
      <c r="M614" s="2" t="s">
        <v>22</v>
      </c>
    </row>
    <row r="615" spans="1:13" ht="15" x14ac:dyDescent="0.2">
      <c r="A615" s="2" t="s">
        <v>2753</v>
      </c>
      <c r="B615" s="3" t="str">
        <f t="shared" si="32"/>
        <v>jtomawski@freseniusmedicalcare.com</v>
      </c>
      <c r="C615" s="3">
        <f t="shared" si="33"/>
        <v>1</v>
      </c>
      <c r="D615" s="2" t="s">
        <v>2811</v>
      </c>
      <c r="E615" s="2" t="s">
        <v>187</v>
      </c>
      <c r="F615" s="2" t="s">
        <v>2812</v>
      </c>
      <c r="I615" s="2" t="s">
        <v>2813</v>
      </c>
      <c r="L615" s="2" t="s">
        <v>2814</v>
      </c>
      <c r="M615" s="2" t="s">
        <v>22</v>
      </c>
    </row>
    <row r="616" spans="1:13" ht="15" x14ac:dyDescent="0.2">
      <c r="A616" s="2" t="s">
        <v>2753</v>
      </c>
      <c r="B616" s="3" t="str">
        <f t="shared" si="32"/>
        <v>gfontana@freseniusmedicalcare.com</v>
      </c>
      <c r="C616" s="3">
        <f t="shared" si="33"/>
        <v>1</v>
      </c>
      <c r="D616" s="2" t="s">
        <v>2815</v>
      </c>
      <c r="E616" s="2" t="s">
        <v>940</v>
      </c>
      <c r="F616" s="2" t="s">
        <v>2816</v>
      </c>
      <c r="I616" s="2" t="s">
        <v>2817</v>
      </c>
      <c r="L616" s="2" t="s">
        <v>2818</v>
      </c>
      <c r="M616" s="2" t="s">
        <v>22</v>
      </c>
    </row>
    <row r="617" spans="1:13" ht="15" x14ac:dyDescent="0.2">
      <c r="A617" s="2" t="s">
        <v>2753</v>
      </c>
      <c r="B617" s="3" t="str">
        <f t="shared" si="32"/>
        <v>vcarta@freseniusmedicalcare.com</v>
      </c>
      <c r="C617" s="3">
        <f t="shared" si="33"/>
        <v>1</v>
      </c>
      <c r="D617" s="2" t="s">
        <v>2819</v>
      </c>
      <c r="E617" s="2" t="s">
        <v>2820</v>
      </c>
      <c r="F617" s="2" t="s">
        <v>2821</v>
      </c>
      <c r="I617" s="2" t="s">
        <v>2822</v>
      </c>
      <c r="L617" s="2" t="s">
        <v>132</v>
      </c>
      <c r="M617" s="2" t="s">
        <v>22</v>
      </c>
    </row>
    <row r="618" spans="1:13" ht="15" x14ac:dyDescent="0.2">
      <c r="A618" s="2" t="s">
        <v>2753</v>
      </c>
      <c r="B618" s="3" t="str">
        <f t="shared" si="32"/>
        <v>rritzer@freseniusmedicalcare.com</v>
      </c>
      <c r="C618" s="3">
        <f t="shared" si="33"/>
        <v>1</v>
      </c>
      <c r="D618" s="2" t="s">
        <v>2823</v>
      </c>
      <c r="E618" s="2" t="s">
        <v>2679</v>
      </c>
      <c r="F618" s="2" t="s">
        <v>2824</v>
      </c>
      <c r="I618" s="2" t="s">
        <v>2825</v>
      </c>
      <c r="L618" s="2" t="s">
        <v>2826</v>
      </c>
      <c r="M618" s="2" t="s">
        <v>22</v>
      </c>
    </row>
    <row r="619" spans="1:13" ht="15" x14ac:dyDescent="0.2">
      <c r="A619" s="2" t="s">
        <v>2753</v>
      </c>
      <c r="B619" s="3" t="str">
        <f t="shared" si="32"/>
        <v>mfallon@freseniusmedicalcare.com</v>
      </c>
      <c r="C619" s="3">
        <f t="shared" si="33"/>
        <v>1</v>
      </c>
      <c r="D619" s="2" t="s">
        <v>2827</v>
      </c>
      <c r="E619" s="2" t="s">
        <v>59</v>
      </c>
      <c r="F619" s="2" t="s">
        <v>2828</v>
      </c>
      <c r="I619" s="2" t="s">
        <v>2829</v>
      </c>
      <c r="L619" s="2" t="s">
        <v>2830</v>
      </c>
      <c r="M619" s="2" t="s">
        <v>22</v>
      </c>
    </row>
    <row r="620" spans="1:13" ht="15" x14ac:dyDescent="0.2">
      <c r="A620" s="2" t="s">
        <v>2753</v>
      </c>
      <c r="B620" s="3" t="str">
        <f t="shared" si="32"/>
        <v>ksudam@freseniusmedicalcare.com</v>
      </c>
      <c r="C620" s="3">
        <f t="shared" si="33"/>
        <v>1</v>
      </c>
      <c r="D620" s="2" t="s">
        <v>2831</v>
      </c>
      <c r="E620" s="2" t="s">
        <v>2832</v>
      </c>
      <c r="F620" s="2" t="s">
        <v>2833</v>
      </c>
      <c r="I620" s="2" t="s">
        <v>2834</v>
      </c>
      <c r="L620" s="2" t="s">
        <v>2835</v>
      </c>
      <c r="M620" s="2" t="s">
        <v>22</v>
      </c>
    </row>
    <row r="621" spans="1:13" ht="15" x14ac:dyDescent="0.2">
      <c r="A621" s="2" t="s">
        <v>2753</v>
      </c>
      <c r="B621" s="3" t="str">
        <f t="shared" si="32"/>
        <v>mhadass@freseniusmedicalcare.com</v>
      </c>
      <c r="C621" s="3">
        <f t="shared" si="33"/>
        <v>1</v>
      </c>
      <c r="D621" s="2" t="s">
        <v>2836</v>
      </c>
      <c r="E621" s="2" t="s">
        <v>2653</v>
      </c>
      <c r="F621" s="2" t="s">
        <v>2837</v>
      </c>
      <c r="I621" s="2" t="s">
        <v>2838</v>
      </c>
      <c r="L621" s="2" t="s">
        <v>309</v>
      </c>
      <c r="M621" s="2" t="s">
        <v>22</v>
      </c>
    </row>
    <row r="622" spans="1:13" ht="15" x14ac:dyDescent="0.2">
      <c r="A622" s="2" t="s">
        <v>2753</v>
      </c>
      <c r="B622" s="3" t="str">
        <f t="shared" si="32"/>
        <v>etaylor@freseniusmedicalcare.com</v>
      </c>
      <c r="C622" s="3">
        <f t="shared" si="33"/>
        <v>1</v>
      </c>
      <c r="D622" s="2" t="s">
        <v>2839</v>
      </c>
      <c r="E622" s="2" t="s">
        <v>2840</v>
      </c>
      <c r="F622" s="2" t="s">
        <v>1013</v>
      </c>
      <c r="I622" s="2" t="s">
        <v>2841</v>
      </c>
      <c r="L622" s="2" t="s">
        <v>2842</v>
      </c>
      <c r="M622" s="2" t="s">
        <v>22</v>
      </c>
    </row>
    <row r="623" spans="1:13" ht="15" x14ac:dyDescent="0.2">
      <c r="A623" s="2" t="s">
        <v>2753</v>
      </c>
      <c r="B623" s="3" t="str">
        <f t="shared" si="32"/>
        <v>cashby@freseniusmedicalcare.com</v>
      </c>
      <c r="C623" s="3">
        <f t="shared" si="33"/>
        <v>1</v>
      </c>
      <c r="D623" s="2" t="s">
        <v>2843</v>
      </c>
      <c r="E623" s="2" t="s">
        <v>70</v>
      </c>
      <c r="F623" s="2" t="s">
        <v>2844</v>
      </c>
      <c r="I623" s="2" t="s">
        <v>2845</v>
      </c>
      <c r="L623" s="2" t="s">
        <v>2846</v>
      </c>
      <c r="M623" s="2" t="s">
        <v>22</v>
      </c>
    </row>
    <row r="624" spans="1:13" ht="15" x14ac:dyDescent="0.2">
      <c r="A624" s="2" t="s">
        <v>2753</v>
      </c>
      <c r="B624" s="3" t="str">
        <f t="shared" si="32"/>
        <v>rtvedt@freseniusmedicalcare.com</v>
      </c>
      <c r="C624" s="3">
        <f t="shared" si="33"/>
        <v>1</v>
      </c>
      <c r="D624" s="2" t="s">
        <v>2847</v>
      </c>
      <c r="E624" s="2" t="s">
        <v>2848</v>
      </c>
      <c r="F624" s="2" t="s">
        <v>2849</v>
      </c>
      <c r="I624" s="2" t="s">
        <v>2850</v>
      </c>
      <c r="L624" s="2" t="s">
        <v>2851</v>
      </c>
      <c r="M624" s="2" t="s">
        <v>22</v>
      </c>
    </row>
    <row r="625" spans="1:16" ht="15" x14ac:dyDescent="0.2">
      <c r="A625" s="2" t="s">
        <v>2753</v>
      </c>
      <c r="B625" s="3" t="str">
        <f t="shared" si="32"/>
        <v>mlittleton@freseniusmedicalcare.com</v>
      </c>
      <c r="C625" s="3">
        <f t="shared" si="33"/>
        <v>1</v>
      </c>
      <c r="D625" s="2" t="s">
        <v>2852</v>
      </c>
      <c r="E625" s="2" t="s">
        <v>550</v>
      </c>
      <c r="F625" s="2" t="s">
        <v>2853</v>
      </c>
      <c r="I625" s="2" t="s">
        <v>2854</v>
      </c>
      <c r="L625" s="2" t="s">
        <v>2855</v>
      </c>
      <c r="M625" s="2" t="s">
        <v>22</v>
      </c>
    </row>
    <row r="626" spans="1:16" ht="15" x14ac:dyDescent="0.2">
      <c r="A626" s="2" t="s">
        <v>2856</v>
      </c>
      <c r="B626" s="3" t="str">
        <f t="shared" si="32"/>
        <v>cklinghagen@fujifilm.com</v>
      </c>
      <c r="C626" s="3">
        <f t="shared" si="33"/>
        <v>1</v>
      </c>
      <c r="D626" s="2" t="s">
        <v>2857</v>
      </c>
      <c r="E626" s="2" t="s">
        <v>1652</v>
      </c>
      <c r="F626" s="2" t="s">
        <v>2858</v>
      </c>
      <c r="I626" s="2" t="s">
        <v>2859</v>
      </c>
      <c r="L626" s="2" t="s">
        <v>2860</v>
      </c>
      <c r="M626" s="2" t="s">
        <v>45</v>
      </c>
    </row>
    <row r="627" spans="1:16" ht="13" x14ac:dyDescent="0.15">
      <c r="A627" s="4" t="s">
        <v>2861</v>
      </c>
      <c r="B627" s="3" t="str">
        <f t="shared" si="32"/>
        <v>triddle@fujifilm.com</v>
      </c>
      <c r="C627" s="3">
        <f t="shared" si="33"/>
        <v>1</v>
      </c>
      <c r="D627" s="5">
        <v>25021549452</v>
      </c>
      <c r="E627" s="4" t="s">
        <v>945</v>
      </c>
      <c r="F627" s="4" t="s">
        <v>2862</v>
      </c>
      <c r="G627" s="4" t="s">
        <v>34</v>
      </c>
      <c r="H627" s="4"/>
      <c r="I627" s="4" t="s">
        <v>2863</v>
      </c>
      <c r="J627" s="6" t="s">
        <v>2864</v>
      </c>
      <c r="K627" s="4"/>
      <c r="L627" s="4" t="s">
        <v>2865</v>
      </c>
      <c r="M627" s="4"/>
      <c r="N627" s="4"/>
      <c r="O627" s="4"/>
      <c r="P627" s="4" t="str">
        <f>IF(OR(M627="Customer", M627="Opportunity", H627="Yes", H627=TRUE, G627="Yes", G627=TRUE, O627&gt;0), "YES", "NO")</f>
        <v>YES</v>
      </c>
    </row>
    <row r="628" spans="1:16" ht="13" x14ac:dyDescent="0.15">
      <c r="A628" s="4" t="s">
        <v>2866</v>
      </c>
      <c r="B628" s="3" t="str">
        <f t="shared" si="32"/>
        <v>Yes</v>
      </c>
      <c r="C628" s="3">
        <f t="shared" si="33"/>
        <v>446</v>
      </c>
      <c r="D628" s="5">
        <v>1012</v>
      </c>
      <c r="E628" s="4" t="s">
        <v>1648</v>
      </c>
      <c r="F628" s="4" t="s">
        <v>2867</v>
      </c>
      <c r="G628" s="4"/>
      <c r="H628" s="4" t="s">
        <v>34</v>
      </c>
      <c r="I628" s="4" t="s">
        <v>2868</v>
      </c>
      <c r="J628" s="6" t="s">
        <v>2869</v>
      </c>
      <c r="K628" s="4"/>
      <c r="L628" s="4" t="s">
        <v>2870</v>
      </c>
      <c r="M628" s="4" t="s">
        <v>38</v>
      </c>
      <c r="N628" s="4"/>
      <c r="O628" s="4"/>
      <c r="P628" s="4" t="str">
        <f>IF(OR(M628="Customer", M628="Opportunity", H628="Yes", H628=TRUE, G628="Yes", G628=TRUE, O628&gt;0), "YES", "NO")</f>
        <v>YES</v>
      </c>
    </row>
    <row r="629" spans="1:16" ht="13" x14ac:dyDescent="0.15">
      <c r="A629" s="4" t="s">
        <v>2871</v>
      </c>
      <c r="B629" s="3" t="str">
        <f t="shared" si="32"/>
        <v>Yes</v>
      </c>
      <c r="C629" s="3">
        <f t="shared" si="33"/>
        <v>446</v>
      </c>
      <c r="D629" s="5">
        <v>11510845881</v>
      </c>
      <c r="E629" s="4" t="s">
        <v>2872</v>
      </c>
      <c r="F629" s="4" t="s">
        <v>2873</v>
      </c>
      <c r="G629" s="4"/>
      <c r="H629" s="4" t="s">
        <v>34</v>
      </c>
      <c r="I629" s="4" t="s">
        <v>2874</v>
      </c>
      <c r="J629" s="6" t="s">
        <v>2875</v>
      </c>
      <c r="K629" s="4"/>
      <c r="L629" s="4" t="s">
        <v>2514</v>
      </c>
      <c r="M629" s="4" t="s">
        <v>38</v>
      </c>
      <c r="N629" s="4"/>
      <c r="O629" s="4"/>
      <c r="P629" s="4" t="str">
        <f>IF(OR(M629="Customer", M629="Opportunity", H629="Yes", H629=TRUE, G629="Yes", G629=TRUE, O629&gt;0), "YES", "NO")</f>
        <v>YES</v>
      </c>
    </row>
    <row r="630" spans="1:16" ht="13" x14ac:dyDescent="0.15">
      <c r="A630" s="4" t="s">
        <v>2876</v>
      </c>
      <c r="B630" s="3" t="str">
        <f t="shared" si="32"/>
        <v>Yes</v>
      </c>
      <c r="C630" s="3">
        <f t="shared" si="33"/>
        <v>446</v>
      </c>
      <c r="D630" s="5">
        <v>1852</v>
      </c>
      <c r="E630" s="4" t="s">
        <v>2877</v>
      </c>
      <c r="F630" s="4" t="s">
        <v>2878</v>
      </c>
      <c r="G630" s="4"/>
      <c r="H630" s="4" t="s">
        <v>34</v>
      </c>
      <c r="I630" s="4" t="s">
        <v>2879</v>
      </c>
      <c r="J630" s="6" t="s">
        <v>2880</v>
      </c>
      <c r="K630" s="4"/>
      <c r="L630" s="4" t="s">
        <v>2881</v>
      </c>
      <c r="M630" s="4" t="s">
        <v>38</v>
      </c>
      <c r="N630" s="4"/>
      <c r="O630" s="4"/>
      <c r="P630" s="4" t="str">
        <f>IF(OR(M630="Customer", M630="Opportunity", H630="Yes", H630=TRUE, G630="Yes", G630=TRUE, O630&gt;0), "YES", "NO")</f>
        <v>YES</v>
      </c>
    </row>
    <row r="631" spans="1:16" ht="15" x14ac:dyDescent="0.2">
      <c r="A631" s="2" t="s">
        <v>2882</v>
      </c>
      <c r="B631" s="3" t="str">
        <f t="shared" si="32"/>
        <v>glenn.borden@gehealthcare.com</v>
      </c>
      <c r="C631" s="3">
        <f t="shared" si="33"/>
        <v>1</v>
      </c>
      <c r="D631" s="2" t="s">
        <v>2883</v>
      </c>
      <c r="E631" s="2" t="s">
        <v>2360</v>
      </c>
      <c r="F631" s="2" t="s">
        <v>2884</v>
      </c>
      <c r="I631" s="2" t="s">
        <v>2885</v>
      </c>
      <c r="L631" s="2" t="s">
        <v>2886</v>
      </c>
      <c r="M631" s="2" t="s">
        <v>45</v>
      </c>
    </row>
    <row r="632" spans="1:16" ht="15" x14ac:dyDescent="0.2">
      <c r="A632" s="2" t="s">
        <v>2882</v>
      </c>
      <c r="B632" s="3" t="str">
        <f t="shared" si="32"/>
        <v>balazs.kuthi@gehealthcare.com</v>
      </c>
      <c r="C632" s="3">
        <f t="shared" si="33"/>
        <v>1</v>
      </c>
      <c r="D632" s="2" t="s">
        <v>2887</v>
      </c>
      <c r="E632" s="2" t="s">
        <v>2619</v>
      </c>
      <c r="F632" s="2" t="s">
        <v>2888</v>
      </c>
      <c r="I632" s="2" t="s">
        <v>2889</v>
      </c>
      <c r="L632" s="2" t="s">
        <v>2890</v>
      </c>
      <c r="M632" s="2" t="s">
        <v>45</v>
      </c>
    </row>
    <row r="633" spans="1:16" ht="15" x14ac:dyDescent="0.2">
      <c r="A633" s="2" t="s">
        <v>2882</v>
      </c>
      <c r="B633" s="3" t="str">
        <f t="shared" si="32"/>
        <v>connie.wen@gehealthcare.com</v>
      </c>
      <c r="C633" s="3">
        <f t="shared" si="33"/>
        <v>1</v>
      </c>
      <c r="D633" s="2" t="s">
        <v>2891</v>
      </c>
      <c r="E633" s="2" t="s">
        <v>2892</v>
      </c>
      <c r="F633" s="2" t="s">
        <v>2893</v>
      </c>
      <c r="I633" s="2" t="s">
        <v>2894</v>
      </c>
      <c r="L633" s="2" t="s">
        <v>2895</v>
      </c>
      <c r="M633" s="2" t="s">
        <v>45</v>
      </c>
    </row>
    <row r="634" spans="1:16" ht="15" x14ac:dyDescent="0.2">
      <c r="A634" s="2" t="s">
        <v>2882</v>
      </c>
      <c r="B634" s="3" t="str">
        <f t="shared" si="32"/>
        <v>brian.toomey@gehealthcare.com</v>
      </c>
      <c r="C634" s="3">
        <f t="shared" si="33"/>
        <v>1</v>
      </c>
      <c r="D634" s="2" t="s">
        <v>2896</v>
      </c>
      <c r="E634" s="2" t="s">
        <v>541</v>
      </c>
      <c r="F634" s="2" t="s">
        <v>2897</v>
      </c>
      <c r="I634" s="2" t="s">
        <v>2898</v>
      </c>
      <c r="L634" s="2" t="s">
        <v>2899</v>
      </c>
      <c r="M634" s="2" t="s">
        <v>45</v>
      </c>
    </row>
    <row r="635" spans="1:16" ht="15" x14ac:dyDescent="0.2">
      <c r="A635" s="2" t="s">
        <v>2882</v>
      </c>
      <c r="B635" s="3" t="str">
        <f t="shared" si="32"/>
        <v>mark.baumgartner@gehealthcare.com</v>
      </c>
      <c r="C635" s="3">
        <f t="shared" si="33"/>
        <v>1</v>
      </c>
      <c r="D635" s="2" t="s">
        <v>2900</v>
      </c>
      <c r="E635" s="2" t="s">
        <v>192</v>
      </c>
      <c r="F635" s="2" t="s">
        <v>2901</v>
      </c>
      <c r="I635" s="2" t="s">
        <v>2902</v>
      </c>
      <c r="L635" s="2" t="s">
        <v>2903</v>
      </c>
      <c r="M635" s="2" t="s">
        <v>45</v>
      </c>
    </row>
    <row r="636" spans="1:16" ht="15" x14ac:dyDescent="0.2">
      <c r="A636" s="2" t="s">
        <v>2882</v>
      </c>
      <c r="B636" s="3" t="str">
        <f t="shared" si="32"/>
        <v>david.joseph@gehealthcare.com</v>
      </c>
      <c r="C636" s="3">
        <f t="shared" si="33"/>
        <v>1</v>
      </c>
      <c r="D636" s="2" t="s">
        <v>2904</v>
      </c>
      <c r="E636" s="2" t="s">
        <v>119</v>
      </c>
      <c r="F636" s="2" t="s">
        <v>153</v>
      </c>
      <c r="I636" s="2" t="s">
        <v>2905</v>
      </c>
      <c r="L636" s="2" t="s">
        <v>2906</v>
      </c>
      <c r="M636" s="2" t="s">
        <v>22</v>
      </c>
    </row>
    <row r="637" spans="1:16" ht="15" x14ac:dyDescent="0.2">
      <c r="A637" s="2" t="s">
        <v>2882</v>
      </c>
      <c r="B637" s="3" t="str">
        <f t="shared" si="32"/>
        <v>jim@gehealthcare.com</v>
      </c>
      <c r="C637" s="3">
        <f t="shared" si="33"/>
        <v>1</v>
      </c>
      <c r="D637" s="2" t="s">
        <v>2907</v>
      </c>
      <c r="E637" s="2" t="s">
        <v>177</v>
      </c>
      <c r="F637" s="2" t="s">
        <v>2908</v>
      </c>
      <c r="I637" s="2" t="s">
        <v>2909</v>
      </c>
      <c r="L637" s="2" t="s">
        <v>2910</v>
      </c>
      <c r="M637" s="2" t="s">
        <v>45</v>
      </c>
    </row>
    <row r="638" spans="1:16" ht="15" x14ac:dyDescent="0.2">
      <c r="A638" s="2" t="s">
        <v>2882</v>
      </c>
      <c r="B638" s="3" t="str">
        <f t="shared" si="32"/>
        <v>senthilselvi.pandi@gehealthcare.com</v>
      </c>
      <c r="C638" s="3">
        <f t="shared" si="33"/>
        <v>1</v>
      </c>
      <c r="D638" s="2" t="s">
        <v>2911</v>
      </c>
      <c r="E638" s="2" t="s">
        <v>2912</v>
      </c>
      <c r="F638" s="2" t="s">
        <v>2913</v>
      </c>
      <c r="I638" s="2" t="s">
        <v>2914</v>
      </c>
      <c r="L638" s="2" t="s">
        <v>2915</v>
      </c>
      <c r="M638" s="2" t="s">
        <v>45</v>
      </c>
    </row>
    <row r="639" spans="1:16" ht="15" x14ac:dyDescent="0.2">
      <c r="A639" s="2" t="s">
        <v>2882</v>
      </c>
      <c r="B639" s="3" t="str">
        <f t="shared" si="32"/>
        <v>jaap.qualm@gehealthcare.com</v>
      </c>
      <c r="C639" s="3">
        <f t="shared" si="33"/>
        <v>1</v>
      </c>
      <c r="D639" s="2" t="s">
        <v>2916</v>
      </c>
      <c r="E639" s="2" t="s">
        <v>2917</v>
      </c>
      <c r="F639" s="2" t="s">
        <v>2918</v>
      </c>
      <c r="I639" s="2" t="s">
        <v>2919</v>
      </c>
      <c r="L639" s="2" t="s">
        <v>2920</v>
      </c>
      <c r="M639" s="2" t="s">
        <v>45</v>
      </c>
    </row>
    <row r="640" spans="1:16" ht="15" x14ac:dyDescent="0.2">
      <c r="A640" s="2" t="s">
        <v>2882</v>
      </c>
      <c r="B640" s="3" t="str">
        <f t="shared" si="32"/>
        <v>chris@gehealthcare.com</v>
      </c>
      <c r="C640" s="3">
        <f t="shared" si="33"/>
        <v>1</v>
      </c>
      <c r="D640" s="2" t="s">
        <v>2921</v>
      </c>
      <c r="E640" s="2" t="s">
        <v>1652</v>
      </c>
      <c r="F640" s="2" t="s">
        <v>2922</v>
      </c>
      <c r="I640" s="2" t="s">
        <v>2923</v>
      </c>
      <c r="L640" s="2" t="s">
        <v>2924</v>
      </c>
      <c r="M640" s="2" t="s">
        <v>45</v>
      </c>
    </row>
    <row r="641" spans="1:13" ht="15" x14ac:dyDescent="0.2">
      <c r="A641" s="2" t="s">
        <v>2882</v>
      </c>
      <c r="B641" s="3" t="str">
        <f t="shared" si="32"/>
        <v>joe@gehealthcare.com</v>
      </c>
      <c r="C641" s="3">
        <f t="shared" si="33"/>
        <v>1</v>
      </c>
      <c r="D641" s="2" t="s">
        <v>2925</v>
      </c>
      <c r="E641" s="2" t="s">
        <v>2526</v>
      </c>
      <c r="F641" s="2" t="s">
        <v>2926</v>
      </c>
      <c r="I641" s="2" t="s">
        <v>2927</v>
      </c>
      <c r="L641" s="2" t="s">
        <v>2928</v>
      </c>
      <c r="M641" s="2" t="s">
        <v>45</v>
      </c>
    </row>
    <row r="642" spans="1:13" ht="15" x14ac:dyDescent="0.2">
      <c r="A642" s="2" t="s">
        <v>2882</v>
      </c>
      <c r="B642" s="3" t="str">
        <f t="shared" ref="B642:B705" si="34">IF(H642&lt;&gt;"",H642,I642)</f>
        <v>brian.kaeppner@gehealthcare.com</v>
      </c>
      <c r="C642" s="3">
        <f t="shared" ref="C642:C705" si="35">COUNTIF($B$2:$B$1586,B642)</f>
        <v>1</v>
      </c>
      <c r="D642" s="2" t="s">
        <v>2929</v>
      </c>
      <c r="E642" s="2" t="s">
        <v>541</v>
      </c>
      <c r="F642" s="2" t="s">
        <v>2930</v>
      </c>
      <c r="I642" s="2" t="s">
        <v>2931</v>
      </c>
      <c r="L642" s="2" t="s">
        <v>2932</v>
      </c>
      <c r="M642" s="2" t="s">
        <v>45</v>
      </c>
    </row>
    <row r="643" spans="1:13" ht="15" x14ac:dyDescent="0.2">
      <c r="A643" s="2" t="s">
        <v>2882</v>
      </c>
      <c r="B643" s="3" t="str">
        <f t="shared" si="34"/>
        <v>alexander.walborn@gehealthcare.com</v>
      </c>
      <c r="C643" s="3">
        <f t="shared" si="35"/>
        <v>1</v>
      </c>
      <c r="D643" s="2" t="s">
        <v>2933</v>
      </c>
      <c r="E643" s="2" t="s">
        <v>1409</v>
      </c>
      <c r="F643" s="2" t="s">
        <v>2934</v>
      </c>
      <c r="I643" s="2" t="s">
        <v>2935</v>
      </c>
      <c r="L643" s="2" t="s">
        <v>2936</v>
      </c>
      <c r="M643" s="2" t="s">
        <v>45</v>
      </c>
    </row>
    <row r="644" spans="1:13" ht="15" x14ac:dyDescent="0.2">
      <c r="A644" s="2" t="s">
        <v>2882</v>
      </c>
      <c r="B644" s="3" t="str">
        <f t="shared" si="34"/>
        <v>sean.mitchell@gehealthcare.com</v>
      </c>
      <c r="C644" s="3">
        <f t="shared" si="35"/>
        <v>1</v>
      </c>
      <c r="D644" s="2" t="s">
        <v>2937</v>
      </c>
      <c r="E644" s="2" t="s">
        <v>2318</v>
      </c>
      <c r="F644" s="2" t="s">
        <v>623</v>
      </c>
      <c r="I644" s="2" t="s">
        <v>2938</v>
      </c>
      <c r="L644" s="2" t="s">
        <v>2939</v>
      </c>
      <c r="M644" s="2" t="s">
        <v>45</v>
      </c>
    </row>
    <row r="645" spans="1:13" ht="15" x14ac:dyDescent="0.2">
      <c r="A645" s="2" t="s">
        <v>2882</v>
      </c>
      <c r="B645" s="3" t="str">
        <f t="shared" si="34"/>
        <v>christopher.smith@gehealthcare.com</v>
      </c>
      <c r="C645" s="3">
        <f t="shared" si="35"/>
        <v>1</v>
      </c>
      <c r="D645" s="2" t="s">
        <v>2940</v>
      </c>
      <c r="E645" s="2" t="s">
        <v>70</v>
      </c>
      <c r="F645" s="2" t="s">
        <v>1420</v>
      </c>
      <c r="I645" s="2" t="s">
        <v>2941</v>
      </c>
      <c r="L645" s="2" t="s">
        <v>2942</v>
      </c>
      <c r="M645" s="2" t="s">
        <v>45</v>
      </c>
    </row>
    <row r="646" spans="1:13" ht="15" x14ac:dyDescent="0.2">
      <c r="A646" s="2" t="s">
        <v>2882</v>
      </c>
      <c r="B646" s="3" t="str">
        <f t="shared" si="34"/>
        <v>ashley.logan@gehealthcare.com</v>
      </c>
      <c r="C646" s="3">
        <f t="shared" si="35"/>
        <v>1</v>
      </c>
      <c r="D646" s="2" t="s">
        <v>2943</v>
      </c>
      <c r="E646" s="2" t="s">
        <v>75</v>
      </c>
      <c r="F646" s="2" t="s">
        <v>2944</v>
      </c>
      <c r="I646" s="2" t="s">
        <v>2945</v>
      </c>
      <c r="L646" s="2" t="s">
        <v>2946</v>
      </c>
      <c r="M646" s="2" t="s">
        <v>45</v>
      </c>
    </row>
    <row r="647" spans="1:13" ht="15" x14ac:dyDescent="0.2">
      <c r="A647" s="2" t="s">
        <v>2882</v>
      </c>
      <c r="B647" s="3" t="str">
        <f t="shared" si="34"/>
        <v>eric.brophy@gehealthcare.com</v>
      </c>
      <c r="C647" s="3">
        <f t="shared" si="35"/>
        <v>1</v>
      </c>
      <c r="D647" s="2" t="s">
        <v>2947</v>
      </c>
      <c r="E647" s="2" t="s">
        <v>109</v>
      </c>
      <c r="F647" s="2" t="s">
        <v>2948</v>
      </c>
      <c r="I647" s="2" t="s">
        <v>2949</v>
      </c>
      <c r="L647" s="2" t="s">
        <v>2950</v>
      </c>
      <c r="M647" s="2" t="s">
        <v>45</v>
      </c>
    </row>
    <row r="648" spans="1:13" ht="15" x14ac:dyDescent="0.2">
      <c r="A648" s="2" t="s">
        <v>2882</v>
      </c>
      <c r="B648" s="3" t="str">
        <f t="shared" si="34"/>
        <v>addy.greene@gehealthcare.com</v>
      </c>
      <c r="C648" s="3">
        <f t="shared" si="35"/>
        <v>1</v>
      </c>
      <c r="D648" s="2" t="s">
        <v>2951</v>
      </c>
      <c r="E648" s="2" t="s">
        <v>2952</v>
      </c>
      <c r="F648" s="2" t="s">
        <v>2135</v>
      </c>
      <c r="I648" s="2" t="s">
        <v>2953</v>
      </c>
      <c r="L648" s="2" t="s">
        <v>2954</v>
      </c>
      <c r="M648" s="2" t="s">
        <v>45</v>
      </c>
    </row>
    <row r="649" spans="1:13" ht="15" x14ac:dyDescent="0.2">
      <c r="A649" s="2" t="s">
        <v>2882</v>
      </c>
      <c r="B649" s="3" t="str">
        <f t="shared" si="34"/>
        <v>tyler.kaphingst@gehealthcare.com</v>
      </c>
      <c r="C649" s="3">
        <f t="shared" si="35"/>
        <v>1</v>
      </c>
      <c r="D649" s="2" t="s">
        <v>2955</v>
      </c>
      <c r="E649" s="2" t="s">
        <v>1161</v>
      </c>
      <c r="F649" s="2" t="s">
        <v>2956</v>
      </c>
      <c r="I649" s="2" t="s">
        <v>2957</v>
      </c>
      <c r="L649" s="2" t="s">
        <v>2958</v>
      </c>
      <c r="M649" s="2" t="s">
        <v>45</v>
      </c>
    </row>
    <row r="650" spans="1:13" ht="15" x14ac:dyDescent="0.2">
      <c r="A650" s="2" t="s">
        <v>2882</v>
      </c>
      <c r="B650" s="3" t="str">
        <f t="shared" si="34"/>
        <v>dan.argynov@gehealthcare.com</v>
      </c>
      <c r="C650" s="3">
        <f t="shared" si="35"/>
        <v>1</v>
      </c>
      <c r="D650" s="2" t="s">
        <v>2959</v>
      </c>
      <c r="E650" s="2" t="s">
        <v>1858</v>
      </c>
      <c r="F650" s="2" t="s">
        <v>2960</v>
      </c>
      <c r="I650" s="2" t="s">
        <v>2961</v>
      </c>
      <c r="L650" s="2" t="s">
        <v>2962</v>
      </c>
      <c r="M650" s="2" t="s">
        <v>45</v>
      </c>
    </row>
    <row r="651" spans="1:13" ht="15" x14ac:dyDescent="0.2">
      <c r="A651" s="2" t="s">
        <v>2882</v>
      </c>
      <c r="B651" s="3" t="str">
        <f t="shared" si="34"/>
        <v>allan.inda@gehealthcare.com</v>
      </c>
      <c r="C651" s="3">
        <f t="shared" si="35"/>
        <v>1</v>
      </c>
      <c r="D651" s="2" t="s">
        <v>2963</v>
      </c>
      <c r="E651" s="2" t="s">
        <v>1990</v>
      </c>
      <c r="F651" s="2" t="s">
        <v>2964</v>
      </c>
      <c r="I651" s="2" t="s">
        <v>2965</v>
      </c>
      <c r="L651" s="2" t="s">
        <v>2966</v>
      </c>
      <c r="M651" s="2" t="s">
        <v>45</v>
      </c>
    </row>
    <row r="652" spans="1:13" ht="15" x14ac:dyDescent="0.2">
      <c r="A652" s="2" t="s">
        <v>2882</v>
      </c>
      <c r="B652" s="3" t="str">
        <f t="shared" si="34"/>
        <v>michael.brooke@gehealthcare.com</v>
      </c>
      <c r="C652" s="3">
        <f t="shared" si="35"/>
        <v>1</v>
      </c>
      <c r="D652" s="2" t="s">
        <v>2967</v>
      </c>
      <c r="E652" s="2" t="s">
        <v>59</v>
      </c>
      <c r="F652" s="2" t="s">
        <v>2968</v>
      </c>
      <c r="I652" s="2" t="s">
        <v>2969</v>
      </c>
      <c r="L652" s="2" t="s">
        <v>309</v>
      </c>
      <c r="M652" s="2" t="s">
        <v>45</v>
      </c>
    </row>
    <row r="653" spans="1:13" ht="15" x14ac:dyDescent="0.2">
      <c r="A653" s="2" t="s">
        <v>2882</v>
      </c>
      <c r="B653" s="3" t="str">
        <f t="shared" si="34"/>
        <v>james.walsh@gehealthcare.com</v>
      </c>
      <c r="C653" s="3">
        <f t="shared" si="35"/>
        <v>1</v>
      </c>
      <c r="D653" s="2" t="s">
        <v>2970</v>
      </c>
      <c r="E653" s="2" t="s">
        <v>264</v>
      </c>
      <c r="F653" s="2" t="s">
        <v>2971</v>
      </c>
      <c r="I653" s="2" t="s">
        <v>2972</v>
      </c>
      <c r="L653" s="2" t="s">
        <v>2936</v>
      </c>
      <c r="M653" s="2" t="s">
        <v>22</v>
      </c>
    </row>
    <row r="654" spans="1:13" ht="15" x14ac:dyDescent="0.2">
      <c r="A654" s="2" t="s">
        <v>2882</v>
      </c>
      <c r="B654" s="3" t="str">
        <f t="shared" si="34"/>
        <v>thomas.gulke@gehealthcare.com</v>
      </c>
      <c r="C654" s="3">
        <f t="shared" si="35"/>
        <v>1</v>
      </c>
      <c r="D654" s="2" t="s">
        <v>2973</v>
      </c>
      <c r="E654" s="2" t="s">
        <v>1126</v>
      </c>
      <c r="F654" s="2" t="s">
        <v>2974</v>
      </c>
      <c r="I654" s="2" t="s">
        <v>2975</v>
      </c>
      <c r="L654" s="2" t="s">
        <v>2976</v>
      </c>
      <c r="M654" s="2" t="s">
        <v>45</v>
      </c>
    </row>
    <row r="655" spans="1:13" ht="15" x14ac:dyDescent="0.2">
      <c r="A655" s="2" t="s">
        <v>2882</v>
      </c>
      <c r="B655" s="3" t="str">
        <f t="shared" si="34"/>
        <v>bek.serna@gehealthcare.com</v>
      </c>
      <c r="C655" s="3">
        <f t="shared" si="35"/>
        <v>1</v>
      </c>
      <c r="D655" s="2" t="s">
        <v>2977</v>
      </c>
      <c r="E655" s="2" t="s">
        <v>2978</v>
      </c>
      <c r="F655" s="2" t="s">
        <v>2979</v>
      </c>
      <c r="I655" s="2" t="s">
        <v>2980</v>
      </c>
      <c r="L655" s="2" t="s">
        <v>2936</v>
      </c>
      <c r="M655" s="2" t="s">
        <v>45</v>
      </c>
    </row>
    <row r="656" spans="1:13" ht="15" x14ac:dyDescent="0.2">
      <c r="A656" s="2" t="s">
        <v>2882</v>
      </c>
      <c r="B656" s="3" t="str">
        <f t="shared" si="34"/>
        <v>david.laumann@gehealthcare.com</v>
      </c>
      <c r="C656" s="3">
        <f t="shared" si="35"/>
        <v>1</v>
      </c>
      <c r="D656" s="2" t="s">
        <v>2981</v>
      </c>
      <c r="E656" s="2" t="s">
        <v>119</v>
      </c>
      <c r="F656" s="2" t="s">
        <v>2982</v>
      </c>
      <c r="I656" s="2" t="s">
        <v>2983</v>
      </c>
      <c r="L656" s="2" t="s">
        <v>2984</v>
      </c>
      <c r="M656" s="2" t="s">
        <v>45</v>
      </c>
    </row>
    <row r="657" spans="1:16" ht="15" x14ac:dyDescent="0.2">
      <c r="A657" s="2" t="s">
        <v>2882</v>
      </c>
      <c r="B657" s="3" t="str">
        <f t="shared" si="34"/>
        <v>thomas@gehealthcare.com</v>
      </c>
      <c r="C657" s="3">
        <f t="shared" si="35"/>
        <v>1</v>
      </c>
      <c r="D657" s="2" t="s">
        <v>2985</v>
      </c>
      <c r="E657" s="2" t="s">
        <v>1126</v>
      </c>
      <c r="F657" s="2" t="s">
        <v>2986</v>
      </c>
      <c r="I657" s="2" t="s">
        <v>2987</v>
      </c>
      <c r="L657" s="2" t="s">
        <v>2988</v>
      </c>
      <c r="M657" s="2" t="s">
        <v>45</v>
      </c>
    </row>
    <row r="658" spans="1:16" ht="15" x14ac:dyDescent="0.2">
      <c r="A658" s="2" t="s">
        <v>2882</v>
      </c>
      <c r="B658" s="3" t="str">
        <f t="shared" si="34"/>
        <v>chip.greene@gehealthcare.com</v>
      </c>
      <c r="C658" s="3">
        <f t="shared" si="35"/>
        <v>1</v>
      </c>
      <c r="D658" s="2" t="s">
        <v>2989</v>
      </c>
      <c r="E658" s="2" t="s">
        <v>2990</v>
      </c>
      <c r="F658" s="2" t="s">
        <v>2135</v>
      </c>
      <c r="I658" s="2" t="s">
        <v>2991</v>
      </c>
      <c r="L658" s="2" t="s">
        <v>2928</v>
      </c>
      <c r="M658" s="2" t="s">
        <v>22</v>
      </c>
    </row>
    <row r="659" spans="1:16" ht="15" x14ac:dyDescent="0.2">
      <c r="A659" s="2" t="s">
        <v>2882</v>
      </c>
      <c r="B659" s="3" t="str">
        <f t="shared" si="34"/>
        <v>jason.fraughton@gehealthcare.com</v>
      </c>
      <c r="C659" s="3">
        <f t="shared" si="35"/>
        <v>1</v>
      </c>
      <c r="D659" s="2" t="s">
        <v>2992</v>
      </c>
      <c r="E659" s="2" t="s">
        <v>405</v>
      </c>
      <c r="F659" s="2" t="s">
        <v>2993</v>
      </c>
      <c r="I659" s="2" t="s">
        <v>2994</v>
      </c>
      <c r="L659" s="2" t="s">
        <v>2903</v>
      </c>
      <c r="M659" s="2" t="s">
        <v>45</v>
      </c>
    </row>
    <row r="660" spans="1:16" ht="15" x14ac:dyDescent="0.2">
      <c r="A660" s="2" t="s">
        <v>2882</v>
      </c>
      <c r="B660" s="3" t="str">
        <f t="shared" si="34"/>
        <v>rigoberto.mancilla@gehealthcare.com</v>
      </c>
      <c r="C660" s="3">
        <f t="shared" si="35"/>
        <v>1</v>
      </c>
      <c r="D660" s="2" t="s">
        <v>2995</v>
      </c>
      <c r="E660" s="2" t="s">
        <v>2996</v>
      </c>
      <c r="F660" s="2" t="s">
        <v>2997</v>
      </c>
      <c r="I660" s="2" t="s">
        <v>2998</v>
      </c>
      <c r="L660" s="2" t="s">
        <v>2999</v>
      </c>
      <c r="M660" s="2" t="s">
        <v>45</v>
      </c>
    </row>
    <row r="661" spans="1:16" ht="15" x14ac:dyDescent="0.2">
      <c r="A661" s="2" t="s">
        <v>2882</v>
      </c>
      <c r="B661" s="3" t="str">
        <f t="shared" si="34"/>
        <v>dean.sabel@gehealthcare.com</v>
      </c>
      <c r="C661" s="3">
        <f t="shared" si="35"/>
        <v>1</v>
      </c>
      <c r="D661" s="2" t="s">
        <v>3000</v>
      </c>
      <c r="E661" s="2" t="s">
        <v>618</v>
      </c>
      <c r="F661" s="2" t="s">
        <v>3001</v>
      </c>
      <c r="I661" s="2" t="s">
        <v>3002</v>
      </c>
      <c r="L661" s="2" t="s">
        <v>3003</v>
      </c>
      <c r="M661" s="2" t="s">
        <v>45</v>
      </c>
    </row>
    <row r="662" spans="1:16" ht="15" x14ac:dyDescent="0.2">
      <c r="A662" s="2" t="s">
        <v>2882</v>
      </c>
      <c r="B662" s="3" t="str">
        <f t="shared" si="34"/>
        <v>claude.champagne@gehealthcare.com</v>
      </c>
      <c r="C662" s="3">
        <f t="shared" si="35"/>
        <v>1</v>
      </c>
      <c r="D662" s="2" t="s">
        <v>3004</v>
      </c>
      <c r="E662" s="2" t="s">
        <v>3005</v>
      </c>
      <c r="F662" s="2" t="s">
        <v>3006</v>
      </c>
      <c r="I662" s="2" t="s">
        <v>3007</v>
      </c>
      <c r="L662" s="2" t="s">
        <v>3008</v>
      </c>
      <c r="M662" s="2" t="s">
        <v>22</v>
      </c>
    </row>
    <row r="663" spans="1:16" ht="15" x14ac:dyDescent="0.2">
      <c r="A663" s="2" t="s">
        <v>2882</v>
      </c>
      <c r="B663" s="3" t="str">
        <f t="shared" si="34"/>
        <v>hemanth.dhavala@gehealthcare.com</v>
      </c>
      <c r="C663" s="3">
        <f t="shared" si="35"/>
        <v>1</v>
      </c>
      <c r="D663" s="2" t="s">
        <v>3009</v>
      </c>
      <c r="E663" s="2" t="s">
        <v>3010</v>
      </c>
      <c r="F663" s="2" t="s">
        <v>3011</v>
      </c>
      <c r="I663" s="2" t="s">
        <v>3012</v>
      </c>
      <c r="L663" s="2" t="s">
        <v>3013</v>
      </c>
      <c r="M663" s="2" t="s">
        <v>22</v>
      </c>
    </row>
    <row r="664" spans="1:16" ht="15" x14ac:dyDescent="0.2">
      <c r="A664" s="2" t="s">
        <v>2882</v>
      </c>
      <c r="B664" s="3" t="str">
        <f t="shared" si="34"/>
        <v>jason.iannillo@gehealthcare.com</v>
      </c>
      <c r="C664" s="3">
        <f t="shared" si="35"/>
        <v>1</v>
      </c>
      <c r="D664" s="2" t="s">
        <v>3014</v>
      </c>
      <c r="E664" s="2" t="s">
        <v>405</v>
      </c>
      <c r="F664" s="2" t="s">
        <v>3015</v>
      </c>
      <c r="I664" s="2" t="s">
        <v>3016</v>
      </c>
      <c r="L664" s="2" t="s">
        <v>3017</v>
      </c>
      <c r="M664" s="2" t="s">
        <v>22</v>
      </c>
    </row>
    <row r="665" spans="1:16" ht="15" x14ac:dyDescent="0.2">
      <c r="A665" s="2" t="s">
        <v>2882</v>
      </c>
      <c r="B665" s="3" t="str">
        <f t="shared" si="34"/>
        <v>gediminas.jomantas@gehealthcare.com</v>
      </c>
      <c r="C665" s="3">
        <f t="shared" si="35"/>
        <v>1</v>
      </c>
      <c r="D665" s="2" t="s">
        <v>3018</v>
      </c>
      <c r="E665" s="2" t="s">
        <v>3019</v>
      </c>
      <c r="F665" s="2" t="s">
        <v>3020</v>
      </c>
      <c r="I665" s="2" t="s">
        <v>3021</v>
      </c>
      <c r="L665" s="2" t="s">
        <v>3022</v>
      </c>
      <c r="M665" s="2" t="s">
        <v>45</v>
      </c>
    </row>
    <row r="666" spans="1:16" ht="15" x14ac:dyDescent="0.2">
      <c r="A666" s="2" t="s">
        <v>2882</v>
      </c>
      <c r="B666" s="3" t="str">
        <f t="shared" si="34"/>
        <v>ted.epperson@gehealthcare.com</v>
      </c>
      <c r="C666" s="3">
        <f t="shared" si="35"/>
        <v>1</v>
      </c>
      <c r="D666" s="2" t="s">
        <v>3023</v>
      </c>
      <c r="E666" s="2" t="s">
        <v>3024</v>
      </c>
      <c r="F666" s="2" t="s">
        <v>3025</v>
      </c>
      <c r="I666" s="2" t="s">
        <v>3026</v>
      </c>
      <c r="L666" s="2" t="s">
        <v>2936</v>
      </c>
      <c r="M666" s="2" t="s">
        <v>45</v>
      </c>
    </row>
    <row r="667" spans="1:16" ht="13" x14ac:dyDescent="0.15">
      <c r="A667" s="4" t="s">
        <v>3027</v>
      </c>
      <c r="B667" s="3" t="str">
        <f t="shared" si="34"/>
        <v>Yes</v>
      </c>
      <c r="C667" s="3">
        <f t="shared" si="35"/>
        <v>446</v>
      </c>
      <c r="D667" s="5">
        <v>11514429082</v>
      </c>
      <c r="E667" s="4" t="s">
        <v>3028</v>
      </c>
      <c r="F667" s="4" t="s">
        <v>3029</v>
      </c>
      <c r="G667" s="4"/>
      <c r="H667" s="4" t="s">
        <v>34</v>
      </c>
      <c r="I667" s="4" t="s">
        <v>3030</v>
      </c>
      <c r="J667" s="6" t="s">
        <v>3031</v>
      </c>
      <c r="K667" s="4"/>
      <c r="L667" s="4" t="s">
        <v>1533</v>
      </c>
      <c r="M667" s="4" t="s">
        <v>38</v>
      </c>
      <c r="N667" s="4"/>
      <c r="O667" s="4"/>
      <c r="P667" s="4" t="str">
        <f>IF(OR(M667="Customer", M667="Opportunity", H667="Yes", H667=TRUE, G667="Yes", G667=TRUE, O667&gt;0), "YES", "NO")</f>
        <v>YES</v>
      </c>
    </row>
    <row r="668" spans="1:16" ht="15" x14ac:dyDescent="0.2">
      <c r="A668" s="2" t="s">
        <v>3032</v>
      </c>
      <c r="B668" s="3" t="str">
        <f t="shared" si="34"/>
        <v>ecron@giffordhealthcare.org</v>
      </c>
      <c r="C668" s="3">
        <f t="shared" si="35"/>
        <v>1</v>
      </c>
      <c r="D668" s="2" t="s">
        <v>3033</v>
      </c>
      <c r="E668" s="2" t="s">
        <v>3034</v>
      </c>
      <c r="F668" s="2" t="s">
        <v>3035</v>
      </c>
      <c r="I668" s="2" t="s">
        <v>3036</v>
      </c>
      <c r="L668" s="2" t="s">
        <v>3037</v>
      </c>
      <c r="M668" s="2" t="s">
        <v>45</v>
      </c>
    </row>
    <row r="669" spans="1:16" ht="13" x14ac:dyDescent="0.15">
      <c r="A669" s="4" t="s">
        <v>3038</v>
      </c>
      <c r="B669" s="3" t="str">
        <f t="shared" si="34"/>
        <v>rmatusiak@giftofhope.org</v>
      </c>
      <c r="C669" s="3">
        <f t="shared" si="35"/>
        <v>1</v>
      </c>
      <c r="D669" s="5">
        <v>25013413715</v>
      </c>
      <c r="E669" s="4" t="s">
        <v>531</v>
      </c>
      <c r="F669" s="4" t="s">
        <v>3039</v>
      </c>
      <c r="G669" s="4" t="s">
        <v>34</v>
      </c>
      <c r="H669" s="4"/>
      <c r="I669" s="4" t="s">
        <v>3040</v>
      </c>
      <c r="J669" s="6" t="s">
        <v>3041</v>
      </c>
      <c r="K669" s="4"/>
      <c r="L669" s="4" t="s">
        <v>3042</v>
      </c>
      <c r="M669" s="4"/>
      <c r="N669" s="4"/>
      <c r="O669" s="4"/>
      <c r="P669" s="4" t="str">
        <f t="shared" ref="P669:P686" si="36">IF(OR(M669="Customer", M669="Opportunity", H669="Yes", H669=TRUE, G669="Yes", G669=TRUE, O669&gt;0), "YES", "NO")</f>
        <v>YES</v>
      </c>
    </row>
    <row r="670" spans="1:16" ht="13" x14ac:dyDescent="0.15">
      <c r="A670" s="4" t="s">
        <v>3043</v>
      </c>
      <c r="B670" s="3" t="str">
        <f t="shared" si="34"/>
        <v>Yes</v>
      </c>
      <c r="C670" s="3">
        <f t="shared" si="35"/>
        <v>446</v>
      </c>
      <c r="D670" s="5">
        <v>2723</v>
      </c>
      <c r="E670" s="4" t="s">
        <v>3044</v>
      </c>
      <c r="F670" s="4" t="s">
        <v>3045</v>
      </c>
      <c r="G670" s="4"/>
      <c r="H670" s="4" t="s">
        <v>34</v>
      </c>
      <c r="I670" s="4" t="s">
        <v>3046</v>
      </c>
      <c r="J670" s="6" t="s">
        <v>3047</v>
      </c>
      <c r="K670" s="4"/>
      <c r="L670" s="4" t="s">
        <v>1402</v>
      </c>
      <c r="M670" s="4" t="s">
        <v>38</v>
      </c>
      <c r="N670" s="4"/>
      <c r="O670" s="4"/>
      <c r="P670" s="4" t="str">
        <f t="shared" si="36"/>
        <v>YES</v>
      </c>
    </row>
    <row r="671" spans="1:16" ht="13" x14ac:dyDescent="0.15">
      <c r="A671" s="4" t="s">
        <v>3048</v>
      </c>
      <c r="B671" s="3" t="str">
        <f t="shared" si="34"/>
        <v>Yes</v>
      </c>
      <c r="C671" s="3">
        <f t="shared" si="35"/>
        <v>446</v>
      </c>
      <c r="D671" s="5">
        <v>6060</v>
      </c>
      <c r="E671" s="4" t="s">
        <v>3049</v>
      </c>
      <c r="F671" s="4" t="s">
        <v>3050</v>
      </c>
      <c r="G671" s="4"/>
      <c r="H671" s="4" t="s">
        <v>34</v>
      </c>
      <c r="I671" s="4" t="s">
        <v>3051</v>
      </c>
      <c r="J671" s="6" t="s">
        <v>3052</v>
      </c>
      <c r="K671" s="4"/>
      <c r="L671" s="4" t="s">
        <v>3053</v>
      </c>
      <c r="M671" s="4" t="s">
        <v>38</v>
      </c>
      <c r="N671" s="4"/>
      <c r="O671" s="4"/>
      <c r="P671" s="4" t="str">
        <f t="shared" si="36"/>
        <v>YES</v>
      </c>
    </row>
    <row r="672" spans="1:16" ht="13" x14ac:dyDescent="0.15">
      <c r="A672" s="4" t="s">
        <v>3054</v>
      </c>
      <c r="B672" s="3" t="str">
        <f t="shared" si="34"/>
        <v>Yes</v>
      </c>
      <c r="C672" s="3">
        <f t="shared" si="35"/>
        <v>446</v>
      </c>
      <c r="D672" s="5">
        <v>11514643520</v>
      </c>
      <c r="E672" s="4" t="s">
        <v>1048</v>
      </c>
      <c r="F672" s="4" t="s">
        <v>3055</v>
      </c>
      <c r="G672" s="4"/>
      <c r="H672" s="4" t="s">
        <v>34</v>
      </c>
      <c r="I672" s="4" t="s">
        <v>3056</v>
      </c>
      <c r="J672" s="6" t="s">
        <v>3057</v>
      </c>
      <c r="K672" s="4"/>
      <c r="L672" s="4" t="s">
        <v>3058</v>
      </c>
      <c r="M672" s="4" t="s">
        <v>38</v>
      </c>
      <c r="N672" s="4"/>
      <c r="O672" s="4"/>
      <c r="P672" s="4" t="str">
        <f t="shared" si="36"/>
        <v>YES</v>
      </c>
    </row>
    <row r="673" spans="1:16" ht="13" x14ac:dyDescent="0.15">
      <c r="A673" s="4" t="s">
        <v>3059</v>
      </c>
      <c r="B673" s="3" t="str">
        <f t="shared" si="34"/>
        <v>Yes</v>
      </c>
      <c r="C673" s="3">
        <f t="shared" si="35"/>
        <v>446</v>
      </c>
      <c r="D673" s="5">
        <v>11490763635</v>
      </c>
      <c r="E673" s="4" t="s">
        <v>3060</v>
      </c>
      <c r="F673" s="4" t="s">
        <v>3061</v>
      </c>
      <c r="G673" s="4"/>
      <c r="H673" s="4" t="s">
        <v>34</v>
      </c>
      <c r="I673" s="4" t="s">
        <v>3062</v>
      </c>
      <c r="J673" s="6" t="s">
        <v>3063</v>
      </c>
      <c r="K673" s="4"/>
      <c r="L673" s="4" t="s">
        <v>1402</v>
      </c>
      <c r="M673" s="4" t="s">
        <v>38</v>
      </c>
      <c r="N673" s="4"/>
      <c r="O673" s="4"/>
      <c r="P673" s="4" t="str">
        <f t="shared" si="36"/>
        <v>YES</v>
      </c>
    </row>
    <row r="674" spans="1:16" ht="13" x14ac:dyDescent="0.15">
      <c r="A674" s="6" t="s">
        <v>3064</v>
      </c>
      <c r="B674" s="3" t="str">
        <f t="shared" si="34"/>
        <v>Yes</v>
      </c>
      <c r="C674" s="3">
        <f t="shared" si="35"/>
        <v>446</v>
      </c>
      <c r="D674" s="5">
        <v>11514965906</v>
      </c>
      <c r="E674" s="4" t="s">
        <v>3065</v>
      </c>
      <c r="F674" s="4" t="s">
        <v>3066</v>
      </c>
      <c r="G674" s="4"/>
      <c r="H674" s="4" t="s">
        <v>34</v>
      </c>
      <c r="I674" s="4" t="s">
        <v>3067</v>
      </c>
      <c r="J674" s="6" t="s">
        <v>3064</v>
      </c>
      <c r="K674" s="4"/>
      <c r="L674" s="4" t="s">
        <v>3068</v>
      </c>
      <c r="M674" s="4" t="s">
        <v>38</v>
      </c>
      <c r="N674" s="4"/>
      <c r="O674" s="4"/>
      <c r="P674" s="4" t="str">
        <f t="shared" si="36"/>
        <v>YES</v>
      </c>
    </row>
    <row r="675" spans="1:16" ht="13" x14ac:dyDescent="0.15">
      <c r="A675" s="4" t="s">
        <v>3069</v>
      </c>
      <c r="B675" s="3" t="str">
        <f t="shared" si="34"/>
        <v>mitunpatel160674@gmail.com</v>
      </c>
      <c r="C675" s="3">
        <f t="shared" si="35"/>
        <v>1</v>
      </c>
      <c r="D675" s="5">
        <v>93116209223</v>
      </c>
      <c r="E675" s="4" t="s">
        <v>3070</v>
      </c>
      <c r="F675" s="4" t="s">
        <v>589</v>
      </c>
      <c r="G675" s="4"/>
      <c r="H675" s="4"/>
      <c r="I675" s="4" t="s">
        <v>3071</v>
      </c>
      <c r="J675" s="6" t="s">
        <v>2077</v>
      </c>
      <c r="K675" s="4"/>
      <c r="L675" s="4"/>
      <c r="M675" s="4" t="s">
        <v>716</v>
      </c>
      <c r="N675" s="4"/>
      <c r="O675" s="4"/>
      <c r="P675" s="4" t="str">
        <f t="shared" si="36"/>
        <v>YES</v>
      </c>
    </row>
    <row r="676" spans="1:16" ht="13" x14ac:dyDescent="0.15">
      <c r="A676" s="4" t="s">
        <v>3072</v>
      </c>
      <c r="B676" s="3" t="str">
        <f t="shared" si="34"/>
        <v>Yes</v>
      </c>
      <c r="C676" s="3">
        <f t="shared" si="35"/>
        <v>446</v>
      </c>
      <c r="D676" s="5">
        <v>11514722645</v>
      </c>
      <c r="E676" s="4" t="s">
        <v>3073</v>
      </c>
      <c r="F676" s="4" t="s">
        <v>3074</v>
      </c>
      <c r="G676" s="4"/>
      <c r="H676" s="4" t="s">
        <v>34</v>
      </c>
      <c r="I676" s="4" t="s">
        <v>3075</v>
      </c>
      <c r="J676" s="4" t="s">
        <v>3076</v>
      </c>
      <c r="K676" s="4"/>
      <c r="L676" s="4" t="s">
        <v>3077</v>
      </c>
      <c r="M676" s="4" t="s">
        <v>38</v>
      </c>
      <c r="N676" s="4"/>
      <c r="O676" s="4"/>
      <c r="P676" s="4" t="str">
        <f t="shared" si="36"/>
        <v>YES</v>
      </c>
    </row>
    <row r="677" spans="1:16" ht="13" x14ac:dyDescent="0.15">
      <c r="A677" s="4" t="s">
        <v>3072</v>
      </c>
      <c r="B677" s="3" t="str">
        <f t="shared" si="34"/>
        <v>Yes</v>
      </c>
      <c r="C677" s="3">
        <f t="shared" si="35"/>
        <v>446</v>
      </c>
      <c r="D677" s="5">
        <v>11513147163</v>
      </c>
      <c r="E677" s="4" t="s">
        <v>831</v>
      </c>
      <c r="F677" s="4" t="s">
        <v>3078</v>
      </c>
      <c r="G677" s="4"/>
      <c r="H677" s="4" t="s">
        <v>34</v>
      </c>
      <c r="I677" s="4" t="s">
        <v>3079</v>
      </c>
      <c r="J677" s="4" t="s">
        <v>3076</v>
      </c>
      <c r="K677" s="4"/>
      <c r="L677" s="4" t="s">
        <v>3080</v>
      </c>
      <c r="M677" s="4" t="s">
        <v>38</v>
      </c>
      <c r="N677" s="4"/>
      <c r="O677" s="4"/>
      <c r="P677" s="4" t="str">
        <f t="shared" si="36"/>
        <v>YES</v>
      </c>
    </row>
    <row r="678" spans="1:16" ht="13" x14ac:dyDescent="0.15">
      <c r="A678" s="4" t="s">
        <v>3072</v>
      </c>
      <c r="B678" s="3" t="str">
        <f t="shared" si="34"/>
        <v>Yes</v>
      </c>
      <c r="C678" s="3">
        <f t="shared" si="35"/>
        <v>446</v>
      </c>
      <c r="D678" s="5">
        <v>19496</v>
      </c>
      <c r="E678" s="4" t="s">
        <v>3081</v>
      </c>
      <c r="F678" s="4" t="s">
        <v>3082</v>
      </c>
      <c r="G678" s="4"/>
      <c r="H678" s="4" t="s">
        <v>34</v>
      </c>
      <c r="I678" s="4" t="s">
        <v>3083</v>
      </c>
      <c r="J678" s="4" t="s">
        <v>3076</v>
      </c>
      <c r="K678" s="4"/>
      <c r="L678" s="4" t="s">
        <v>3084</v>
      </c>
      <c r="M678" s="4" t="s">
        <v>38</v>
      </c>
      <c r="N678" s="4"/>
      <c r="O678" s="4"/>
      <c r="P678" s="4" t="str">
        <f t="shared" si="36"/>
        <v>YES</v>
      </c>
    </row>
    <row r="679" spans="1:16" ht="13" x14ac:dyDescent="0.15">
      <c r="A679" s="4" t="s">
        <v>3072</v>
      </c>
      <c r="B679" s="3" t="str">
        <f t="shared" si="34"/>
        <v>Yes</v>
      </c>
      <c r="C679" s="3">
        <f t="shared" si="35"/>
        <v>446</v>
      </c>
      <c r="D679" s="5">
        <v>16159</v>
      </c>
      <c r="E679" s="4" t="s">
        <v>192</v>
      </c>
      <c r="F679" s="4" t="s">
        <v>3085</v>
      </c>
      <c r="G679" s="4"/>
      <c r="H679" s="4" t="s">
        <v>34</v>
      </c>
      <c r="I679" s="4" t="s">
        <v>3086</v>
      </c>
      <c r="J679" s="4" t="s">
        <v>3076</v>
      </c>
      <c r="K679" s="4"/>
      <c r="L679" s="4" t="s">
        <v>3087</v>
      </c>
      <c r="M679" s="4" t="s">
        <v>38</v>
      </c>
      <c r="N679" s="4"/>
      <c r="O679" s="4"/>
      <c r="P679" s="4" t="str">
        <f t="shared" si="36"/>
        <v>YES</v>
      </c>
    </row>
    <row r="680" spans="1:16" ht="13" x14ac:dyDescent="0.15">
      <c r="A680" s="4" t="s">
        <v>3088</v>
      </c>
      <c r="B680" s="3" t="str">
        <f t="shared" si="34"/>
        <v>Yes</v>
      </c>
      <c r="C680" s="3">
        <f t="shared" si="35"/>
        <v>446</v>
      </c>
      <c r="D680" s="5">
        <v>4801</v>
      </c>
      <c r="E680" s="4" t="s">
        <v>3089</v>
      </c>
      <c r="F680" s="4" t="s">
        <v>3090</v>
      </c>
      <c r="G680" s="4"/>
      <c r="H680" s="4" t="s">
        <v>34</v>
      </c>
      <c r="I680" s="4" t="s">
        <v>3091</v>
      </c>
      <c r="J680" s="6" t="s">
        <v>3092</v>
      </c>
      <c r="K680" s="4"/>
      <c r="L680" s="4" t="s">
        <v>3093</v>
      </c>
      <c r="M680" s="4" t="s">
        <v>38</v>
      </c>
      <c r="N680" s="4"/>
      <c r="O680" s="4"/>
      <c r="P680" s="4" t="str">
        <f t="shared" si="36"/>
        <v>YES</v>
      </c>
    </row>
    <row r="681" spans="1:16" ht="13" x14ac:dyDescent="0.15">
      <c r="A681" s="4" t="s">
        <v>3094</v>
      </c>
      <c r="B681" s="3" t="str">
        <f t="shared" si="34"/>
        <v>Yes</v>
      </c>
      <c r="C681" s="3">
        <f t="shared" si="35"/>
        <v>446</v>
      </c>
      <c r="D681" s="5">
        <v>3113</v>
      </c>
      <c r="E681" s="4" t="s">
        <v>3095</v>
      </c>
      <c r="F681" s="4" t="s">
        <v>3096</v>
      </c>
      <c r="G681" s="4"/>
      <c r="H681" s="4" t="s">
        <v>34</v>
      </c>
      <c r="I681" s="4" t="s">
        <v>3097</v>
      </c>
      <c r="J681" s="6" t="s">
        <v>3098</v>
      </c>
      <c r="K681" s="4"/>
      <c r="L681" s="4" t="s">
        <v>3099</v>
      </c>
      <c r="M681" s="4" t="s">
        <v>38</v>
      </c>
      <c r="N681" s="4"/>
      <c r="O681" s="4"/>
      <c r="P681" s="4" t="str">
        <f t="shared" si="36"/>
        <v>YES</v>
      </c>
    </row>
    <row r="682" spans="1:16" ht="13" x14ac:dyDescent="0.15">
      <c r="A682" s="4" t="s">
        <v>3100</v>
      </c>
      <c r="B682" s="3" t="str">
        <f t="shared" si="34"/>
        <v>Yes</v>
      </c>
      <c r="C682" s="3">
        <f t="shared" si="35"/>
        <v>446</v>
      </c>
      <c r="D682" s="5">
        <v>3557</v>
      </c>
      <c r="E682" s="4" t="s">
        <v>109</v>
      </c>
      <c r="F682" s="4" t="s">
        <v>3101</v>
      </c>
      <c r="G682" s="4"/>
      <c r="H682" s="4" t="s">
        <v>34</v>
      </c>
      <c r="I682" s="4" t="s">
        <v>3102</v>
      </c>
      <c r="J682" s="6" t="s">
        <v>3103</v>
      </c>
      <c r="K682" s="4"/>
      <c r="L682" s="4" t="s">
        <v>3104</v>
      </c>
      <c r="M682" s="4" t="s">
        <v>38</v>
      </c>
      <c r="N682" s="4"/>
      <c r="O682" s="4"/>
      <c r="P682" s="4" t="str">
        <f t="shared" si="36"/>
        <v>YES</v>
      </c>
    </row>
    <row r="683" spans="1:16" ht="13" x14ac:dyDescent="0.15">
      <c r="A683" s="4" t="s">
        <v>3105</v>
      </c>
      <c r="B683" s="3" t="str">
        <f t="shared" si="34"/>
        <v>Yes</v>
      </c>
      <c r="C683" s="3">
        <f t="shared" si="35"/>
        <v>446</v>
      </c>
      <c r="D683" s="5">
        <v>1312</v>
      </c>
      <c r="E683" s="4" t="s">
        <v>3106</v>
      </c>
      <c r="F683" s="4" t="s">
        <v>3107</v>
      </c>
      <c r="G683" s="4"/>
      <c r="H683" s="4" t="s">
        <v>34</v>
      </c>
      <c r="I683" s="4" t="s">
        <v>3108</v>
      </c>
      <c r="J683" s="6" t="s">
        <v>3109</v>
      </c>
      <c r="K683" s="4"/>
      <c r="L683" s="4" t="s">
        <v>3110</v>
      </c>
      <c r="M683" s="4" t="s">
        <v>38</v>
      </c>
      <c r="N683" s="4"/>
      <c r="O683" s="4"/>
      <c r="P683" s="4" t="str">
        <f t="shared" si="36"/>
        <v>YES</v>
      </c>
    </row>
    <row r="684" spans="1:16" ht="13" x14ac:dyDescent="0.15">
      <c r="A684" s="4" t="s">
        <v>3111</v>
      </c>
      <c r="B684" s="3" t="str">
        <f t="shared" si="34"/>
        <v>Yes</v>
      </c>
      <c r="C684" s="3">
        <f t="shared" si="35"/>
        <v>446</v>
      </c>
      <c r="D684" s="5">
        <v>11514947189</v>
      </c>
      <c r="E684" s="4" t="s">
        <v>3112</v>
      </c>
      <c r="F684" s="4" t="s">
        <v>3113</v>
      </c>
      <c r="G684" s="4"/>
      <c r="H684" s="4" t="s">
        <v>34</v>
      </c>
      <c r="I684" s="4" t="s">
        <v>3114</v>
      </c>
      <c r="J684" s="6" t="s">
        <v>3115</v>
      </c>
      <c r="K684" s="4"/>
      <c r="L684" s="4" t="s">
        <v>3116</v>
      </c>
      <c r="M684" s="4" t="s">
        <v>38</v>
      </c>
      <c r="N684" s="4"/>
      <c r="O684" s="4"/>
      <c r="P684" s="4" t="str">
        <f t="shared" si="36"/>
        <v>YES</v>
      </c>
    </row>
    <row r="685" spans="1:16" ht="13" x14ac:dyDescent="0.15">
      <c r="A685" s="4" t="s">
        <v>3117</v>
      </c>
      <c r="B685" s="3" t="str">
        <f t="shared" si="34"/>
        <v>Yes</v>
      </c>
      <c r="C685" s="3">
        <f t="shared" si="35"/>
        <v>446</v>
      </c>
      <c r="D685" s="5">
        <v>11514195211</v>
      </c>
      <c r="E685" s="4" t="s">
        <v>3118</v>
      </c>
      <c r="F685" s="4" t="s">
        <v>3119</v>
      </c>
      <c r="G685" s="4"/>
      <c r="H685" s="4" t="s">
        <v>34</v>
      </c>
      <c r="I685" s="4" t="s">
        <v>3120</v>
      </c>
      <c r="J685" s="6" t="s">
        <v>3121</v>
      </c>
      <c r="K685" s="4"/>
      <c r="L685" s="4" t="s">
        <v>990</v>
      </c>
      <c r="M685" s="4" t="s">
        <v>38</v>
      </c>
      <c r="N685" s="4"/>
      <c r="O685" s="4"/>
      <c r="P685" s="4" t="str">
        <f t="shared" si="36"/>
        <v>YES</v>
      </c>
    </row>
    <row r="686" spans="1:16" ht="13" x14ac:dyDescent="0.15">
      <c r="A686" s="4" t="s">
        <v>3122</v>
      </c>
      <c r="B686" s="3" t="str">
        <f t="shared" si="34"/>
        <v>luke.manuel@hcahealthcare.com</v>
      </c>
      <c r="C686" s="3">
        <f t="shared" si="35"/>
        <v>1</v>
      </c>
      <c r="D686" s="5">
        <v>25011151889</v>
      </c>
      <c r="E686" s="4" t="s">
        <v>1823</v>
      </c>
      <c r="F686" s="4" t="s">
        <v>3123</v>
      </c>
      <c r="G686" s="4" t="s">
        <v>34</v>
      </c>
      <c r="H686" s="4"/>
      <c r="I686" s="4" t="s">
        <v>3124</v>
      </c>
      <c r="J686" s="6" t="s">
        <v>3125</v>
      </c>
      <c r="K686" s="4"/>
      <c r="L686" s="4" t="s">
        <v>3126</v>
      </c>
      <c r="M686" s="4"/>
      <c r="N686" s="4"/>
      <c r="O686" s="4"/>
      <c r="P686" s="4" t="str">
        <f t="shared" si="36"/>
        <v>YES</v>
      </c>
    </row>
    <row r="687" spans="1:16" ht="15" x14ac:dyDescent="0.2">
      <c r="A687" s="2" t="s">
        <v>3122</v>
      </c>
      <c r="B687" s="3" t="str">
        <f t="shared" si="34"/>
        <v>spruett@hcahealthcare.com</v>
      </c>
      <c r="C687" s="3">
        <f t="shared" si="35"/>
        <v>1</v>
      </c>
      <c r="D687" s="2" t="s">
        <v>3127</v>
      </c>
      <c r="E687" s="2" t="s">
        <v>2173</v>
      </c>
      <c r="F687" s="2" t="s">
        <v>3128</v>
      </c>
      <c r="I687" s="2" t="s">
        <v>3129</v>
      </c>
      <c r="L687" s="2" t="s">
        <v>3130</v>
      </c>
      <c r="M687" s="2" t="s">
        <v>45</v>
      </c>
    </row>
    <row r="688" spans="1:16" ht="15" x14ac:dyDescent="0.2">
      <c r="A688" s="2" t="s">
        <v>3122</v>
      </c>
      <c r="B688" s="3" t="str">
        <f t="shared" si="34"/>
        <v>hgabra@hcahealthcare.com</v>
      </c>
      <c r="C688" s="3">
        <f t="shared" si="35"/>
        <v>1</v>
      </c>
      <c r="D688" s="2" t="s">
        <v>3131</v>
      </c>
      <c r="E688" s="2" t="s">
        <v>3132</v>
      </c>
      <c r="F688" s="2" t="s">
        <v>3133</v>
      </c>
      <c r="I688" s="2" t="s">
        <v>3134</v>
      </c>
      <c r="L688" s="2" t="s">
        <v>3135</v>
      </c>
      <c r="M688" s="2" t="s">
        <v>45</v>
      </c>
    </row>
    <row r="689" spans="1:13" ht="15" x14ac:dyDescent="0.2">
      <c r="A689" s="2" t="s">
        <v>3122</v>
      </c>
      <c r="B689" s="3" t="str">
        <f t="shared" si="34"/>
        <v>mphillips@hcahealthcare.com</v>
      </c>
      <c r="C689" s="3">
        <f t="shared" si="35"/>
        <v>1</v>
      </c>
      <c r="D689" s="2" t="s">
        <v>3136</v>
      </c>
      <c r="E689" s="2" t="s">
        <v>785</v>
      </c>
      <c r="F689" s="2" t="s">
        <v>795</v>
      </c>
      <c r="I689" s="2" t="s">
        <v>3137</v>
      </c>
      <c r="L689" s="2" t="s">
        <v>3138</v>
      </c>
      <c r="M689" s="2" t="s">
        <v>45</v>
      </c>
    </row>
    <row r="690" spans="1:13" ht="15" x14ac:dyDescent="0.2">
      <c r="A690" s="2" t="s">
        <v>3122</v>
      </c>
      <c r="B690" s="3" t="str">
        <f t="shared" si="34"/>
        <v>bcebulla@hcahealthcare.com</v>
      </c>
      <c r="C690" s="3">
        <f t="shared" si="35"/>
        <v>1</v>
      </c>
      <c r="D690" s="2" t="s">
        <v>3139</v>
      </c>
      <c r="E690" s="2" t="s">
        <v>905</v>
      </c>
      <c r="F690" s="2" t="s">
        <v>3140</v>
      </c>
      <c r="I690" s="2" t="s">
        <v>3141</v>
      </c>
      <c r="L690" s="2" t="s">
        <v>3142</v>
      </c>
      <c r="M690" s="2" t="s">
        <v>45</v>
      </c>
    </row>
    <row r="691" spans="1:13" ht="15" x14ac:dyDescent="0.2">
      <c r="A691" s="2" t="s">
        <v>3122</v>
      </c>
      <c r="B691" s="3" t="str">
        <f t="shared" si="34"/>
        <v>cchitwood@hcahealthcare.com</v>
      </c>
      <c r="C691" s="3">
        <f t="shared" si="35"/>
        <v>1</v>
      </c>
      <c r="D691" s="2" t="s">
        <v>3143</v>
      </c>
      <c r="E691" s="2" t="s">
        <v>3144</v>
      </c>
      <c r="F691" s="2" t="s">
        <v>3145</v>
      </c>
      <c r="I691" s="2" t="s">
        <v>3146</v>
      </c>
      <c r="L691" s="2" t="s">
        <v>3147</v>
      </c>
      <c r="M691" s="2" t="s">
        <v>45</v>
      </c>
    </row>
    <row r="692" spans="1:13" ht="15" x14ac:dyDescent="0.2">
      <c r="A692" s="2" t="s">
        <v>3122</v>
      </c>
      <c r="B692" s="3" t="str">
        <f t="shared" si="34"/>
        <v>sbersuder@hcahealthcare.com</v>
      </c>
      <c r="C692" s="3">
        <f t="shared" si="35"/>
        <v>1</v>
      </c>
      <c r="D692" s="2" t="s">
        <v>3148</v>
      </c>
      <c r="E692" s="2" t="s">
        <v>3149</v>
      </c>
      <c r="F692" s="2" t="s">
        <v>3150</v>
      </c>
      <c r="I692" s="2" t="s">
        <v>3151</v>
      </c>
      <c r="L692" s="2" t="s">
        <v>2246</v>
      </c>
      <c r="M692" s="2" t="s">
        <v>45</v>
      </c>
    </row>
    <row r="693" spans="1:13" ht="15" x14ac:dyDescent="0.2">
      <c r="A693" s="2" t="s">
        <v>3122</v>
      </c>
      <c r="B693" s="3" t="str">
        <f t="shared" si="34"/>
        <v>aupshaw@hcahealthcare.com</v>
      </c>
      <c r="C693" s="3">
        <f t="shared" si="35"/>
        <v>1</v>
      </c>
      <c r="D693" s="2" t="s">
        <v>3152</v>
      </c>
      <c r="E693" s="2" t="s">
        <v>293</v>
      </c>
      <c r="F693" s="2" t="s">
        <v>3153</v>
      </c>
      <c r="I693" s="2" t="s">
        <v>3154</v>
      </c>
      <c r="L693" s="2" t="s">
        <v>3155</v>
      </c>
      <c r="M693" s="2" t="s">
        <v>45</v>
      </c>
    </row>
    <row r="694" spans="1:13" ht="15" x14ac:dyDescent="0.2">
      <c r="A694" s="2" t="s">
        <v>3122</v>
      </c>
      <c r="B694" s="3" t="str">
        <f t="shared" si="34"/>
        <v>bmartinez@hcahealthcare.com</v>
      </c>
      <c r="C694" s="3">
        <f t="shared" si="35"/>
        <v>1</v>
      </c>
      <c r="D694" s="2" t="s">
        <v>3156</v>
      </c>
      <c r="E694" s="2" t="s">
        <v>3157</v>
      </c>
      <c r="F694" s="2" t="s">
        <v>3158</v>
      </c>
      <c r="I694" s="2" t="s">
        <v>3159</v>
      </c>
      <c r="L694" s="2" t="s">
        <v>3160</v>
      </c>
      <c r="M694" s="2" t="s">
        <v>45</v>
      </c>
    </row>
    <row r="695" spans="1:13" ht="15" x14ac:dyDescent="0.2">
      <c r="A695" s="2" t="s">
        <v>3122</v>
      </c>
      <c r="B695" s="3" t="str">
        <f t="shared" si="34"/>
        <v>mgilbert@hcahealthcare.com</v>
      </c>
      <c r="C695" s="3">
        <f t="shared" si="35"/>
        <v>1</v>
      </c>
      <c r="D695" s="2" t="s">
        <v>3161</v>
      </c>
      <c r="E695" s="2" t="s">
        <v>207</v>
      </c>
      <c r="F695" s="2" t="s">
        <v>3162</v>
      </c>
      <c r="I695" s="2" t="s">
        <v>3163</v>
      </c>
      <c r="L695" s="2" t="s">
        <v>3164</v>
      </c>
      <c r="M695" s="2" t="s">
        <v>45</v>
      </c>
    </row>
    <row r="696" spans="1:13" ht="15" x14ac:dyDescent="0.2">
      <c r="A696" s="2" t="s">
        <v>3122</v>
      </c>
      <c r="B696" s="3" t="str">
        <f t="shared" si="34"/>
        <v>ewatson@hcahealthcare.com</v>
      </c>
      <c r="C696" s="3">
        <f t="shared" si="35"/>
        <v>1</v>
      </c>
      <c r="D696" s="2" t="s">
        <v>3165</v>
      </c>
      <c r="E696" s="2" t="s">
        <v>109</v>
      </c>
      <c r="F696" s="2" t="s">
        <v>3166</v>
      </c>
      <c r="I696" s="2" t="s">
        <v>3167</v>
      </c>
      <c r="L696" s="2" t="s">
        <v>3168</v>
      </c>
      <c r="M696" s="2" t="s">
        <v>45</v>
      </c>
    </row>
    <row r="697" spans="1:13" ht="15" x14ac:dyDescent="0.2">
      <c r="A697" s="2" t="s">
        <v>3122</v>
      </c>
      <c r="B697" s="3" t="str">
        <f t="shared" si="34"/>
        <v>ggoodwiler@hcahealthcare.com</v>
      </c>
      <c r="C697" s="3">
        <f t="shared" si="35"/>
        <v>1</v>
      </c>
      <c r="D697" s="2" t="s">
        <v>3169</v>
      </c>
      <c r="E697" s="2" t="s">
        <v>3170</v>
      </c>
      <c r="F697" s="2" t="s">
        <v>3171</v>
      </c>
      <c r="I697" s="2" t="s">
        <v>3172</v>
      </c>
      <c r="L697" s="2" t="s">
        <v>3173</v>
      </c>
      <c r="M697" s="2" t="s">
        <v>45</v>
      </c>
    </row>
    <row r="698" spans="1:13" ht="15" x14ac:dyDescent="0.2">
      <c r="A698" s="2" t="s">
        <v>3122</v>
      </c>
      <c r="B698" s="3" t="str">
        <f t="shared" si="34"/>
        <v>pvotta@hcahealthcare.com</v>
      </c>
      <c r="C698" s="3">
        <f t="shared" si="35"/>
        <v>1</v>
      </c>
      <c r="D698" s="2" t="s">
        <v>3174</v>
      </c>
      <c r="E698" s="2" t="s">
        <v>3175</v>
      </c>
      <c r="F698" s="2" t="s">
        <v>3176</v>
      </c>
      <c r="I698" s="2" t="s">
        <v>3177</v>
      </c>
      <c r="L698" s="2" t="s">
        <v>3178</v>
      </c>
      <c r="M698" s="2" t="s">
        <v>45</v>
      </c>
    </row>
    <row r="699" spans="1:13" ht="15" x14ac:dyDescent="0.2">
      <c r="A699" s="2" t="s">
        <v>3122</v>
      </c>
      <c r="B699" s="3" t="str">
        <f t="shared" si="34"/>
        <v>jlarraga@hcahealthcare.com</v>
      </c>
      <c r="C699" s="3">
        <f t="shared" si="35"/>
        <v>1</v>
      </c>
      <c r="D699" s="2" t="s">
        <v>3179</v>
      </c>
      <c r="E699" s="2" t="s">
        <v>3180</v>
      </c>
      <c r="F699" s="2" t="s">
        <v>3181</v>
      </c>
      <c r="I699" s="2" t="s">
        <v>3182</v>
      </c>
      <c r="L699" s="2" t="s">
        <v>3183</v>
      </c>
      <c r="M699" s="2" t="s">
        <v>45</v>
      </c>
    </row>
    <row r="700" spans="1:13" ht="15" x14ac:dyDescent="0.2">
      <c r="A700" s="2" t="s">
        <v>3122</v>
      </c>
      <c r="B700" s="3" t="str">
        <f t="shared" si="34"/>
        <v>gfaik@hcahealthcare.com</v>
      </c>
      <c r="C700" s="3">
        <f t="shared" si="35"/>
        <v>1</v>
      </c>
      <c r="D700" s="2" t="s">
        <v>3184</v>
      </c>
      <c r="E700" s="2" t="s">
        <v>3185</v>
      </c>
      <c r="F700" s="2" t="s">
        <v>3186</v>
      </c>
      <c r="I700" s="2" t="s">
        <v>3187</v>
      </c>
      <c r="L700" s="2" t="s">
        <v>3155</v>
      </c>
      <c r="M700" s="2" t="s">
        <v>45</v>
      </c>
    </row>
    <row r="701" spans="1:13" ht="15" x14ac:dyDescent="0.2">
      <c r="A701" s="2" t="s">
        <v>3122</v>
      </c>
      <c r="B701" s="3" t="str">
        <f t="shared" si="34"/>
        <v>cgabel@hcahealthcare.com</v>
      </c>
      <c r="C701" s="3">
        <f t="shared" si="35"/>
        <v>1</v>
      </c>
      <c r="D701" s="2" t="s">
        <v>3188</v>
      </c>
      <c r="E701" s="2" t="s">
        <v>70</v>
      </c>
      <c r="F701" s="2" t="s">
        <v>3189</v>
      </c>
      <c r="I701" s="2" t="s">
        <v>3190</v>
      </c>
      <c r="L701" s="2" t="s">
        <v>3191</v>
      </c>
      <c r="M701" s="2" t="s">
        <v>45</v>
      </c>
    </row>
    <row r="702" spans="1:13" ht="15" x14ac:dyDescent="0.2">
      <c r="A702" s="2" t="s">
        <v>3122</v>
      </c>
      <c r="B702" s="3" t="str">
        <f t="shared" si="34"/>
        <v>dmccartney@hcahealthcare.com</v>
      </c>
      <c r="C702" s="3">
        <f t="shared" si="35"/>
        <v>1</v>
      </c>
      <c r="D702" s="2" t="s">
        <v>3192</v>
      </c>
      <c r="E702" s="2" t="s">
        <v>3193</v>
      </c>
      <c r="F702" s="2" t="s">
        <v>3194</v>
      </c>
      <c r="I702" s="2" t="s">
        <v>3195</v>
      </c>
      <c r="L702" s="2" t="s">
        <v>3196</v>
      </c>
      <c r="M702" s="2" t="s">
        <v>45</v>
      </c>
    </row>
    <row r="703" spans="1:13" ht="15" x14ac:dyDescent="0.2">
      <c r="A703" s="2" t="s">
        <v>3122</v>
      </c>
      <c r="B703" s="3" t="str">
        <f t="shared" si="34"/>
        <v>sganji@hcahealthcare.com</v>
      </c>
      <c r="C703" s="3">
        <f t="shared" si="35"/>
        <v>1</v>
      </c>
      <c r="D703" s="2" t="s">
        <v>3197</v>
      </c>
      <c r="E703" s="2" t="s">
        <v>3198</v>
      </c>
      <c r="F703" s="2" t="s">
        <v>3199</v>
      </c>
      <c r="I703" s="2" t="s">
        <v>3200</v>
      </c>
      <c r="L703" s="2" t="s">
        <v>3201</v>
      </c>
      <c r="M703" s="2" t="s">
        <v>45</v>
      </c>
    </row>
    <row r="704" spans="1:13" ht="15" x14ac:dyDescent="0.2">
      <c r="A704" s="2" t="s">
        <v>3122</v>
      </c>
      <c r="B704" s="3" t="str">
        <f t="shared" si="34"/>
        <v>kkyei@hcahealthcare.com</v>
      </c>
      <c r="C704" s="3">
        <f t="shared" si="35"/>
        <v>1</v>
      </c>
      <c r="D704" s="2" t="s">
        <v>3202</v>
      </c>
      <c r="E704" s="2" t="s">
        <v>3203</v>
      </c>
      <c r="F704" s="2" t="s">
        <v>3204</v>
      </c>
      <c r="I704" s="2" t="s">
        <v>3205</v>
      </c>
      <c r="L704" s="2" t="s">
        <v>1225</v>
      </c>
      <c r="M704" s="2" t="s">
        <v>45</v>
      </c>
    </row>
    <row r="705" spans="1:16" ht="15" x14ac:dyDescent="0.2">
      <c r="A705" s="2" t="s">
        <v>3122</v>
      </c>
      <c r="B705" s="3" t="str">
        <f t="shared" si="34"/>
        <v>jrowland@hcahealthcare.com</v>
      </c>
      <c r="C705" s="3">
        <f t="shared" si="35"/>
        <v>1</v>
      </c>
      <c r="D705" s="2" t="s">
        <v>3206</v>
      </c>
      <c r="E705" s="2" t="s">
        <v>264</v>
      </c>
      <c r="F705" s="2" t="s">
        <v>3207</v>
      </c>
      <c r="I705" s="2" t="s">
        <v>3208</v>
      </c>
      <c r="L705" s="2" t="s">
        <v>3209</v>
      </c>
      <c r="M705" s="2" t="s">
        <v>45</v>
      </c>
    </row>
    <row r="706" spans="1:16" ht="15" x14ac:dyDescent="0.2">
      <c r="A706" s="2" t="s">
        <v>3122</v>
      </c>
      <c r="B706" s="3" t="str">
        <f t="shared" ref="B706:B769" si="37">IF(H706&lt;&gt;"",H706,I706)</f>
        <v>sparks@hcahealthcare.com</v>
      </c>
      <c r="C706" s="3">
        <f t="shared" ref="C706:C769" si="38">COUNTIF($B$2:$B$1586,B706)</f>
        <v>1</v>
      </c>
      <c r="D706" s="2" t="s">
        <v>3210</v>
      </c>
      <c r="E706" s="2" t="s">
        <v>1234</v>
      </c>
      <c r="F706" s="2" t="s">
        <v>178</v>
      </c>
      <c r="I706" s="2" t="s">
        <v>3211</v>
      </c>
      <c r="L706" s="2" t="s">
        <v>3212</v>
      </c>
      <c r="M706" s="2" t="s">
        <v>45</v>
      </c>
    </row>
    <row r="707" spans="1:16" ht="15" x14ac:dyDescent="0.2">
      <c r="A707" s="2" t="s">
        <v>3122</v>
      </c>
      <c r="B707" s="3" t="str">
        <f t="shared" si="37"/>
        <v>smosier@hcahealthcare.com</v>
      </c>
      <c r="C707" s="3">
        <f t="shared" si="38"/>
        <v>1</v>
      </c>
      <c r="D707" s="2" t="s">
        <v>3213</v>
      </c>
      <c r="E707" s="2" t="s">
        <v>794</v>
      </c>
      <c r="F707" s="2" t="s">
        <v>3214</v>
      </c>
      <c r="I707" s="2" t="s">
        <v>3215</v>
      </c>
      <c r="L707" s="2" t="s">
        <v>3216</v>
      </c>
      <c r="M707" s="2" t="s">
        <v>45</v>
      </c>
    </row>
    <row r="708" spans="1:16" ht="15" x14ac:dyDescent="0.2">
      <c r="A708" s="2" t="s">
        <v>3122</v>
      </c>
      <c r="B708" s="3" t="str">
        <f t="shared" si="37"/>
        <v>t.bean@hcahealthcare.com</v>
      </c>
      <c r="C708" s="3">
        <f t="shared" si="38"/>
        <v>1</v>
      </c>
      <c r="D708" s="2" t="s">
        <v>3217</v>
      </c>
      <c r="E708" s="2" t="s">
        <v>1535</v>
      </c>
      <c r="F708" s="2" t="s">
        <v>3218</v>
      </c>
      <c r="I708" s="2" t="s">
        <v>3219</v>
      </c>
      <c r="L708" s="2" t="s">
        <v>3220</v>
      </c>
      <c r="M708" s="2" t="s">
        <v>45</v>
      </c>
    </row>
    <row r="709" spans="1:16" ht="15" x14ac:dyDescent="0.2">
      <c r="A709" s="2" t="s">
        <v>3122</v>
      </c>
      <c r="B709" s="3" t="str">
        <f t="shared" si="37"/>
        <v>kent.petty@hcahealthcare.com</v>
      </c>
      <c r="C709" s="3">
        <f t="shared" si="38"/>
        <v>1</v>
      </c>
      <c r="D709" s="2" t="s">
        <v>3221</v>
      </c>
      <c r="E709" s="2" t="s">
        <v>910</v>
      </c>
      <c r="F709" s="2" t="s">
        <v>910</v>
      </c>
      <c r="I709" s="2" t="s">
        <v>3222</v>
      </c>
      <c r="L709" s="2" t="s">
        <v>3223</v>
      </c>
      <c r="M709" s="2" t="s">
        <v>45</v>
      </c>
    </row>
    <row r="710" spans="1:16" ht="13" x14ac:dyDescent="0.15">
      <c r="A710" s="4" t="s">
        <v>3224</v>
      </c>
      <c r="B710" s="3" t="str">
        <f t="shared" si="37"/>
        <v>parthiban-l@hcltech.com</v>
      </c>
      <c r="C710" s="3">
        <f t="shared" si="38"/>
        <v>1</v>
      </c>
      <c r="D710" s="5">
        <v>19395167828</v>
      </c>
      <c r="E710" s="4" t="s">
        <v>3225</v>
      </c>
      <c r="F710" s="4" t="s">
        <v>3226</v>
      </c>
      <c r="G710" s="4"/>
      <c r="H710" s="4"/>
      <c r="I710" s="4" t="s">
        <v>3227</v>
      </c>
      <c r="J710" s="6" t="s">
        <v>3228</v>
      </c>
      <c r="K710" s="7">
        <v>45440.68472222222</v>
      </c>
      <c r="L710" s="4"/>
      <c r="M710" s="4" t="s">
        <v>1033</v>
      </c>
      <c r="N710" s="4"/>
      <c r="O710" s="5">
        <v>1</v>
      </c>
      <c r="P710" s="4" t="str">
        <f>IF(OR(M710="Customer", M710="Opportunity", H710="Yes", H710=TRUE, G710="Yes", G710=TRUE, O710&gt;0), "YES", "NO")</f>
        <v>YES</v>
      </c>
    </row>
    <row r="711" spans="1:16" ht="13" x14ac:dyDescent="0.15">
      <c r="A711" s="4" t="s">
        <v>3229</v>
      </c>
      <c r="B711" s="3" t="str">
        <f t="shared" si="37"/>
        <v>motto@hcdpbc.org</v>
      </c>
      <c r="C711" s="3">
        <f t="shared" si="38"/>
        <v>1</v>
      </c>
      <c r="D711" s="5">
        <v>25011481217</v>
      </c>
      <c r="E711" s="4" t="s">
        <v>1727</v>
      </c>
      <c r="F711" s="4" t="s">
        <v>3230</v>
      </c>
      <c r="G711" s="4" t="s">
        <v>34</v>
      </c>
      <c r="H711" s="4"/>
      <c r="I711" s="4" t="s">
        <v>3231</v>
      </c>
      <c r="J711" s="6" t="s">
        <v>3232</v>
      </c>
      <c r="K711" s="4"/>
      <c r="L711" s="4" t="s">
        <v>3233</v>
      </c>
      <c r="M711" s="4"/>
      <c r="N711" s="4"/>
      <c r="O711" s="4"/>
      <c r="P711" s="4" t="str">
        <f>IF(OR(M711="Customer", M711="Opportunity", H711="Yes", H711=TRUE, G711="Yes", G711=TRUE, O711&gt;0), "YES", "NO")</f>
        <v>YES</v>
      </c>
    </row>
    <row r="712" spans="1:16" ht="13" x14ac:dyDescent="0.15">
      <c r="A712" s="4" t="s">
        <v>3234</v>
      </c>
      <c r="B712" s="3" t="str">
        <f t="shared" si="37"/>
        <v>ian_schneller@bcbstx.com</v>
      </c>
      <c r="C712" s="3">
        <f t="shared" si="38"/>
        <v>1</v>
      </c>
      <c r="D712" s="5">
        <v>25021538149</v>
      </c>
      <c r="E712" s="4" t="s">
        <v>3235</v>
      </c>
      <c r="F712" s="4" t="s">
        <v>3236</v>
      </c>
      <c r="G712" s="4" t="s">
        <v>34</v>
      </c>
      <c r="H712" s="4"/>
      <c r="I712" s="4" t="s">
        <v>3237</v>
      </c>
      <c r="J712" s="6" t="s">
        <v>3238</v>
      </c>
      <c r="K712" s="4"/>
      <c r="L712" s="4" t="s">
        <v>3239</v>
      </c>
      <c r="M712" s="4"/>
      <c r="N712" s="4"/>
      <c r="O712" s="4"/>
      <c r="P712" s="4" t="str">
        <f>IF(OR(M712="Customer", M712="Opportunity", H712="Yes", H712=TRUE, G712="Yes", G712=TRUE, O712&gt;0), "YES", "NO")</f>
        <v>YES</v>
      </c>
    </row>
    <row r="713" spans="1:16" ht="13" x14ac:dyDescent="0.15">
      <c r="A713" s="4" t="s">
        <v>3240</v>
      </c>
      <c r="B713" s="3" t="str">
        <f t="shared" si="37"/>
        <v>christopher.jolliffe@hf.org</v>
      </c>
      <c r="C713" s="3">
        <f t="shared" si="38"/>
        <v>1</v>
      </c>
      <c r="D713" s="5">
        <v>25021782877</v>
      </c>
      <c r="E713" s="4" t="s">
        <v>70</v>
      </c>
      <c r="F713" s="4" t="s">
        <v>3241</v>
      </c>
      <c r="G713" s="4" t="s">
        <v>34</v>
      </c>
      <c r="H713" s="4"/>
      <c r="I713" s="4" t="s">
        <v>3242</v>
      </c>
      <c r="J713" s="6" t="s">
        <v>3243</v>
      </c>
      <c r="K713" s="4"/>
      <c r="L713" s="4" t="s">
        <v>3244</v>
      </c>
      <c r="M713" s="4"/>
      <c r="N713" s="4"/>
      <c r="O713" s="4"/>
      <c r="P713" s="4" t="str">
        <f>IF(OR(M713="Customer", M713="Opportunity", H713="Yes", H713=TRUE, G713="Yes", G713=TRUE, O713&gt;0), "YES", "NO")</f>
        <v>YES</v>
      </c>
    </row>
    <row r="714" spans="1:16" ht="13" x14ac:dyDescent="0.15">
      <c r="A714" s="4" t="s">
        <v>3245</v>
      </c>
      <c r="B714" s="3" t="str">
        <f t="shared" si="37"/>
        <v>Yes</v>
      </c>
      <c r="C714" s="3">
        <f t="shared" si="38"/>
        <v>446</v>
      </c>
      <c r="D714" s="5">
        <v>2564</v>
      </c>
      <c r="E714" s="4" t="s">
        <v>1465</v>
      </c>
      <c r="F714" s="4" t="s">
        <v>3246</v>
      </c>
      <c r="G714" s="4"/>
      <c r="H714" s="4" t="s">
        <v>34</v>
      </c>
      <c r="I714" s="4" t="s">
        <v>3247</v>
      </c>
      <c r="J714" s="6" t="s">
        <v>3248</v>
      </c>
      <c r="K714" s="4"/>
      <c r="L714" s="4" t="s">
        <v>949</v>
      </c>
      <c r="M714" s="4" t="s">
        <v>38</v>
      </c>
      <c r="N714" s="4"/>
      <c r="O714" s="4"/>
      <c r="P714" s="4" t="str">
        <f>IF(OR(M714="Customer", M714="Opportunity", H714="Yes", H714=TRUE, G714="Yes", G714=TRUE, O714&gt;0), "YES", "NO")</f>
        <v>YES</v>
      </c>
    </row>
    <row r="715" spans="1:16" ht="15" x14ac:dyDescent="0.2">
      <c r="A715" s="2" t="s">
        <v>3249</v>
      </c>
      <c r="B715" s="3" t="str">
        <f t="shared" si="37"/>
        <v>pkalra@healthcareleadersgroup.com</v>
      </c>
      <c r="C715" s="3">
        <f t="shared" si="38"/>
        <v>1</v>
      </c>
      <c r="D715" s="2" t="s">
        <v>3250</v>
      </c>
      <c r="E715" s="2" t="s">
        <v>3251</v>
      </c>
      <c r="F715" s="2" t="s">
        <v>3252</v>
      </c>
      <c r="I715" s="2" t="s">
        <v>3253</v>
      </c>
      <c r="L715" s="2" t="s">
        <v>195</v>
      </c>
      <c r="M715" s="2" t="s">
        <v>22</v>
      </c>
    </row>
    <row r="716" spans="1:16" ht="13" x14ac:dyDescent="0.15">
      <c r="A716" s="4" t="s">
        <v>3254</v>
      </c>
      <c r="B716" s="3" t="str">
        <f t="shared" si="37"/>
        <v>racruz@healthfirst.org</v>
      </c>
      <c r="C716" s="3">
        <f t="shared" si="38"/>
        <v>1</v>
      </c>
      <c r="D716" s="5">
        <v>25005334421</v>
      </c>
      <c r="E716" s="4" t="s">
        <v>3255</v>
      </c>
      <c r="F716" s="4" t="s">
        <v>2505</v>
      </c>
      <c r="G716" s="4" t="s">
        <v>34</v>
      </c>
      <c r="H716" s="4"/>
      <c r="I716" s="4" t="s">
        <v>3256</v>
      </c>
      <c r="J716" s="6" t="s">
        <v>3257</v>
      </c>
      <c r="K716" s="4"/>
      <c r="L716" s="4" t="s">
        <v>3258</v>
      </c>
      <c r="M716" s="4"/>
      <c r="N716" s="4"/>
      <c r="O716" s="4"/>
      <c r="P716" s="4" t="str">
        <f t="shared" ref="P716:P734" si="39">IF(OR(M716="Customer", M716="Opportunity", H716="Yes", H716=TRUE, G716="Yes", G716=TRUE, O716&gt;0), "YES", "NO")</f>
        <v>YES</v>
      </c>
    </row>
    <row r="717" spans="1:16" ht="13" x14ac:dyDescent="0.15">
      <c r="A717" s="4" t="s">
        <v>3254</v>
      </c>
      <c r="B717" s="3" t="str">
        <f t="shared" si="37"/>
        <v>ssattler@healthfirst.org</v>
      </c>
      <c r="C717" s="3">
        <f t="shared" si="38"/>
        <v>1</v>
      </c>
      <c r="D717" s="5">
        <v>25013250226</v>
      </c>
      <c r="E717" s="4" t="s">
        <v>794</v>
      </c>
      <c r="F717" s="4" t="s">
        <v>3259</v>
      </c>
      <c r="G717" s="4" t="s">
        <v>34</v>
      </c>
      <c r="H717" s="4"/>
      <c r="I717" s="4" t="s">
        <v>3260</v>
      </c>
      <c r="J717" s="6" t="s">
        <v>3257</v>
      </c>
      <c r="K717" s="4"/>
      <c r="L717" s="4" t="s">
        <v>657</v>
      </c>
      <c r="M717" s="4"/>
      <c r="N717" s="4"/>
      <c r="O717" s="4"/>
      <c r="P717" s="4" t="str">
        <f t="shared" si="39"/>
        <v>YES</v>
      </c>
    </row>
    <row r="718" spans="1:16" ht="13" x14ac:dyDescent="0.15">
      <c r="A718" s="4" t="s">
        <v>3261</v>
      </c>
      <c r="B718" s="3" t="str">
        <f t="shared" si="37"/>
        <v>eric.peterson@healthmapsolutions.com</v>
      </c>
      <c r="C718" s="3">
        <f t="shared" si="38"/>
        <v>1</v>
      </c>
      <c r="D718" s="5">
        <v>25013250228</v>
      </c>
      <c r="E718" s="4" t="s">
        <v>109</v>
      </c>
      <c r="F718" s="4" t="s">
        <v>3262</v>
      </c>
      <c r="G718" s="4" t="s">
        <v>34</v>
      </c>
      <c r="H718" s="4"/>
      <c r="I718" s="4" t="s">
        <v>3263</v>
      </c>
      <c r="J718" s="6" t="s">
        <v>3264</v>
      </c>
      <c r="K718" s="4"/>
      <c r="L718" s="4" t="s">
        <v>3265</v>
      </c>
      <c r="M718" s="4"/>
      <c r="N718" s="4"/>
      <c r="O718" s="4"/>
      <c r="P718" s="4" t="str">
        <f t="shared" si="39"/>
        <v>YES</v>
      </c>
    </row>
    <row r="719" spans="1:16" ht="13" x14ac:dyDescent="0.15">
      <c r="A719" s="4" t="s">
        <v>3266</v>
      </c>
      <c r="B719" s="3" t="str">
        <f t="shared" si="37"/>
        <v>Yes</v>
      </c>
      <c r="C719" s="3">
        <f t="shared" si="38"/>
        <v>446</v>
      </c>
      <c r="D719" s="5">
        <v>154</v>
      </c>
      <c r="E719" s="4" t="s">
        <v>3267</v>
      </c>
      <c r="F719" s="4" t="s">
        <v>3268</v>
      </c>
      <c r="G719" s="4"/>
      <c r="H719" s="4" t="s">
        <v>34</v>
      </c>
      <c r="I719" s="4" t="s">
        <v>3269</v>
      </c>
      <c r="J719" s="6" t="s">
        <v>3270</v>
      </c>
      <c r="K719" s="4"/>
      <c r="L719" s="4" t="s">
        <v>3271</v>
      </c>
      <c r="M719" s="4" t="s">
        <v>38</v>
      </c>
      <c r="N719" s="4"/>
      <c r="O719" s="4"/>
      <c r="P719" s="4" t="str">
        <f t="shared" si="39"/>
        <v>YES</v>
      </c>
    </row>
    <row r="720" spans="1:16" ht="13" x14ac:dyDescent="0.15">
      <c r="A720" s="6" t="s">
        <v>3272</v>
      </c>
      <c r="B720" s="3" t="str">
        <f t="shared" si="37"/>
        <v>Yes</v>
      </c>
      <c r="C720" s="3">
        <f t="shared" si="38"/>
        <v>446</v>
      </c>
      <c r="D720" s="5">
        <v>5001</v>
      </c>
      <c r="E720" s="4" t="s">
        <v>2416</v>
      </c>
      <c r="F720" s="4" t="s">
        <v>3273</v>
      </c>
      <c r="G720" s="4"/>
      <c r="H720" s="4" t="s">
        <v>34</v>
      </c>
      <c r="I720" s="4" t="s">
        <v>3274</v>
      </c>
      <c r="J720" s="6" t="s">
        <v>3275</v>
      </c>
      <c r="K720" s="4"/>
      <c r="L720" s="4" t="s">
        <v>3276</v>
      </c>
      <c r="M720" s="4" t="s">
        <v>38</v>
      </c>
      <c r="N720" s="4"/>
      <c r="O720" s="4"/>
      <c r="P720" s="4" t="str">
        <f t="shared" si="39"/>
        <v>YES</v>
      </c>
    </row>
    <row r="721" spans="1:16" ht="13" x14ac:dyDescent="0.15">
      <c r="A721" s="4" t="s">
        <v>3277</v>
      </c>
      <c r="B721" s="3" t="str">
        <f t="shared" si="37"/>
        <v>Yes</v>
      </c>
      <c r="C721" s="3">
        <f t="shared" si="38"/>
        <v>446</v>
      </c>
      <c r="D721" s="5">
        <v>11511483297</v>
      </c>
      <c r="E721" s="4" t="s">
        <v>3278</v>
      </c>
      <c r="F721" s="4" t="s">
        <v>3279</v>
      </c>
      <c r="G721" s="4"/>
      <c r="H721" s="4" t="s">
        <v>34</v>
      </c>
      <c r="I721" s="4" t="s">
        <v>3280</v>
      </c>
      <c r="J721" s="6" t="s">
        <v>3281</v>
      </c>
      <c r="K721" s="4"/>
      <c r="L721" s="4" t="s">
        <v>3282</v>
      </c>
      <c r="M721" s="4" t="s">
        <v>38</v>
      </c>
      <c r="N721" s="4"/>
      <c r="O721" s="4"/>
      <c r="P721" s="4" t="str">
        <f t="shared" si="39"/>
        <v>YES</v>
      </c>
    </row>
    <row r="722" spans="1:16" ht="13" x14ac:dyDescent="0.15">
      <c r="A722" s="4" t="s">
        <v>3283</v>
      </c>
      <c r="B722" s="3" t="str">
        <f t="shared" si="37"/>
        <v>Yes</v>
      </c>
      <c r="C722" s="3">
        <f t="shared" si="38"/>
        <v>446</v>
      </c>
      <c r="D722" s="5">
        <v>3255</v>
      </c>
      <c r="E722" s="4" t="s">
        <v>3284</v>
      </c>
      <c r="F722" s="4" t="s">
        <v>3285</v>
      </c>
      <c r="G722" s="4"/>
      <c r="H722" s="4" t="s">
        <v>34</v>
      </c>
      <c r="I722" s="4" t="s">
        <v>3286</v>
      </c>
      <c r="J722" s="6" t="s">
        <v>3287</v>
      </c>
      <c r="K722" s="4"/>
      <c r="L722" s="4" t="s">
        <v>777</v>
      </c>
      <c r="M722" s="4" t="s">
        <v>38</v>
      </c>
      <c r="N722" s="4"/>
      <c r="O722" s="4"/>
      <c r="P722" s="4" t="str">
        <f t="shared" si="39"/>
        <v>YES</v>
      </c>
    </row>
    <row r="723" spans="1:16" ht="13" x14ac:dyDescent="0.15">
      <c r="A723" s="4" t="s">
        <v>3288</v>
      </c>
      <c r="B723" s="3" t="str">
        <f t="shared" si="37"/>
        <v>Yes</v>
      </c>
      <c r="C723" s="3">
        <f t="shared" si="38"/>
        <v>446</v>
      </c>
      <c r="D723" s="5">
        <v>1912</v>
      </c>
      <c r="E723" s="4" t="s">
        <v>603</v>
      </c>
      <c r="F723" s="4" t="s">
        <v>3289</v>
      </c>
      <c r="G723" s="4"/>
      <c r="H723" s="4" t="s">
        <v>34</v>
      </c>
      <c r="I723" s="4" t="s">
        <v>3290</v>
      </c>
      <c r="J723" s="6" t="s">
        <v>3291</v>
      </c>
      <c r="K723" s="4"/>
      <c r="L723" s="4" t="s">
        <v>3292</v>
      </c>
      <c r="M723" s="4" t="s">
        <v>38</v>
      </c>
      <c r="N723" s="4"/>
      <c r="O723" s="4"/>
      <c r="P723" s="4" t="str">
        <f t="shared" si="39"/>
        <v>YES</v>
      </c>
    </row>
    <row r="724" spans="1:16" ht="13" x14ac:dyDescent="0.15">
      <c r="A724" s="4" t="s">
        <v>3293</v>
      </c>
      <c r="B724" s="3" t="str">
        <f t="shared" si="37"/>
        <v>cole.constantineau@helbling-inc.com</v>
      </c>
      <c r="C724" s="3">
        <f t="shared" si="38"/>
        <v>1</v>
      </c>
      <c r="D724" s="5">
        <v>10180</v>
      </c>
      <c r="E724" s="4" t="s">
        <v>821</v>
      </c>
      <c r="F724" s="4" t="s">
        <v>3294</v>
      </c>
      <c r="G724" s="4"/>
      <c r="H724" s="4"/>
      <c r="I724" s="4" t="s">
        <v>3295</v>
      </c>
      <c r="J724" s="6" t="s">
        <v>3296</v>
      </c>
      <c r="K724" s="4"/>
      <c r="L724" s="4" t="s">
        <v>3297</v>
      </c>
      <c r="M724" s="4" t="s">
        <v>1033</v>
      </c>
      <c r="N724" s="4"/>
      <c r="O724" s="4"/>
      <c r="P724" s="4" t="str">
        <f t="shared" si="39"/>
        <v>YES</v>
      </c>
    </row>
    <row r="725" spans="1:16" ht="13" x14ac:dyDescent="0.15">
      <c r="A725" s="4" t="s">
        <v>3293</v>
      </c>
      <c r="B725" s="3" t="str">
        <f t="shared" si="37"/>
        <v>michel.bruehwiler@helbling-inc.com</v>
      </c>
      <c r="C725" s="3">
        <f t="shared" si="38"/>
        <v>1</v>
      </c>
      <c r="D725" s="5">
        <v>14724</v>
      </c>
      <c r="E725" s="4" t="s">
        <v>109</v>
      </c>
      <c r="F725" s="4" t="s">
        <v>3298</v>
      </c>
      <c r="G725" s="4"/>
      <c r="H725" s="4"/>
      <c r="I725" s="4" t="s">
        <v>3299</v>
      </c>
      <c r="J725" s="6" t="s">
        <v>3296</v>
      </c>
      <c r="K725" s="4"/>
      <c r="L725" s="4" t="s">
        <v>3300</v>
      </c>
      <c r="M725" s="4" t="s">
        <v>1033</v>
      </c>
      <c r="N725" s="4"/>
      <c r="O725" s="4"/>
      <c r="P725" s="4" t="str">
        <f t="shared" si="39"/>
        <v>YES</v>
      </c>
    </row>
    <row r="726" spans="1:16" ht="13" x14ac:dyDescent="0.15">
      <c r="A726" s="4" t="s">
        <v>3301</v>
      </c>
      <c r="B726" s="3" t="str">
        <f t="shared" si="37"/>
        <v>rsundaresan@helenoftroy.com</v>
      </c>
      <c r="C726" s="3">
        <f t="shared" si="38"/>
        <v>1</v>
      </c>
      <c r="D726" s="5">
        <v>15125946479</v>
      </c>
      <c r="E726" s="4" t="s">
        <v>3302</v>
      </c>
      <c r="F726" s="4" t="s">
        <v>3303</v>
      </c>
      <c r="G726" s="4"/>
      <c r="H726" s="4"/>
      <c r="I726" s="4" t="s">
        <v>3304</v>
      </c>
      <c r="J726" s="6" t="s">
        <v>3305</v>
      </c>
      <c r="K726" s="7">
        <v>45449.652777777781</v>
      </c>
      <c r="L726" s="4"/>
      <c r="M726" s="4" t="s">
        <v>716</v>
      </c>
      <c r="N726" s="4"/>
      <c r="O726" s="5">
        <v>1</v>
      </c>
      <c r="P726" s="4" t="str">
        <f t="shared" si="39"/>
        <v>YES</v>
      </c>
    </row>
    <row r="727" spans="1:16" ht="13" x14ac:dyDescent="0.15">
      <c r="A727" s="4" t="s">
        <v>3306</v>
      </c>
      <c r="B727" s="3" t="str">
        <f t="shared" si="37"/>
        <v>Yes</v>
      </c>
      <c r="C727" s="3">
        <f t="shared" si="38"/>
        <v>446</v>
      </c>
      <c r="D727" s="5">
        <v>721</v>
      </c>
      <c r="E727" s="4" t="s">
        <v>661</v>
      </c>
      <c r="F727" s="4" t="s">
        <v>3307</v>
      </c>
      <c r="G727" s="4"/>
      <c r="H727" s="4" t="s">
        <v>34</v>
      </c>
      <c r="I727" s="4" t="s">
        <v>3308</v>
      </c>
      <c r="J727" s="6" t="s">
        <v>3309</v>
      </c>
      <c r="K727" s="4"/>
      <c r="L727" s="4" t="s">
        <v>771</v>
      </c>
      <c r="M727" s="4" t="s">
        <v>38</v>
      </c>
      <c r="N727" s="4"/>
      <c r="O727" s="4"/>
      <c r="P727" s="4" t="str">
        <f t="shared" si="39"/>
        <v>YES</v>
      </c>
    </row>
    <row r="728" spans="1:16" ht="13" x14ac:dyDescent="0.15">
      <c r="A728" s="4" t="s">
        <v>3310</v>
      </c>
      <c r="B728" s="3" t="str">
        <f t="shared" si="37"/>
        <v>peter.giannoutsos@hmhs.com</v>
      </c>
      <c r="C728" s="3">
        <f t="shared" si="38"/>
        <v>1</v>
      </c>
      <c r="D728" s="5">
        <v>23266086969</v>
      </c>
      <c r="E728" s="4" t="s">
        <v>24</v>
      </c>
      <c r="F728" s="4" t="s">
        <v>3311</v>
      </c>
      <c r="G728" s="4" t="s">
        <v>34</v>
      </c>
      <c r="H728" s="4"/>
      <c r="I728" s="4" t="s">
        <v>3312</v>
      </c>
      <c r="J728" s="6" t="s">
        <v>3313</v>
      </c>
      <c r="K728" s="4"/>
      <c r="L728" s="4" t="s">
        <v>3314</v>
      </c>
      <c r="M728" s="4" t="s">
        <v>1042</v>
      </c>
      <c r="N728" s="4"/>
      <c r="O728" s="4"/>
      <c r="P728" s="4" t="str">
        <f t="shared" si="39"/>
        <v>YES</v>
      </c>
    </row>
    <row r="729" spans="1:16" ht="13" x14ac:dyDescent="0.15">
      <c r="A729" s="4" t="s">
        <v>3315</v>
      </c>
      <c r="B729" s="3" t="str">
        <f t="shared" si="37"/>
        <v>joseph.schilling@hmhs.com</v>
      </c>
      <c r="C729" s="3">
        <f t="shared" si="38"/>
        <v>1</v>
      </c>
      <c r="D729" s="5">
        <v>25013809221</v>
      </c>
      <c r="E729" s="4" t="s">
        <v>153</v>
      </c>
      <c r="F729" s="4" t="s">
        <v>3316</v>
      </c>
      <c r="G729" s="4" t="s">
        <v>34</v>
      </c>
      <c r="H729" s="4"/>
      <c r="I729" s="4" t="s">
        <v>3317</v>
      </c>
      <c r="J729" s="6" t="s">
        <v>3313</v>
      </c>
      <c r="K729" s="4"/>
      <c r="L729" s="4" t="s">
        <v>3318</v>
      </c>
      <c r="M729" s="4"/>
      <c r="N729" s="4"/>
      <c r="O729" s="4"/>
      <c r="P729" s="4" t="str">
        <f t="shared" si="39"/>
        <v>YES</v>
      </c>
    </row>
    <row r="730" spans="1:16" ht="13" x14ac:dyDescent="0.15">
      <c r="A730" s="4" t="s">
        <v>3315</v>
      </c>
      <c r="B730" s="3" t="str">
        <f t="shared" si="37"/>
        <v>jason.martin@hmhs.com</v>
      </c>
      <c r="C730" s="3">
        <f t="shared" si="38"/>
        <v>1</v>
      </c>
      <c r="D730" s="5">
        <v>25013809220</v>
      </c>
      <c r="E730" s="4" t="s">
        <v>405</v>
      </c>
      <c r="F730" s="4" t="s">
        <v>3319</v>
      </c>
      <c r="G730" s="4" t="s">
        <v>34</v>
      </c>
      <c r="H730" s="4"/>
      <c r="I730" s="4" t="s">
        <v>3320</v>
      </c>
      <c r="J730" s="6" t="s">
        <v>3313</v>
      </c>
      <c r="K730" s="4"/>
      <c r="L730" s="4" t="s">
        <v>3321</v>
      </c>
      <c r="M730" s="4"/>
      <c r="N730" s="4"/>
      <c r="O730" s="4"/>
      <c r="P730" s="4" t="str">
        <f t="shared" si="39"/>
        <v>YES</v>
      </c>
    </row>
    <row r="731" spans="1:16" ht="13" x14ac:dyDescent="0.15">
      <c r="A731" s="4" t="s">
        <v>3315</v>
      </c>
      <c r="B731" s="3" t="str">
        <f t="shared" si="37"/>
        <v>eric.hampton@hmhs.com</v>
      </c>
      <c r="C731" s="3">
        <f t="shared" si="38"/>
        <v>1</v>
      </c>
      <c r="D731" s="5">
        <v>23261057815</v>
      </c>
      <c r="E731" s="4" t="s">
        <v>109</v>
      </c>
      <c r="F731" s="4" t="s">
        <v>1891</v>
      </c>
      <c r="G731" s="4" t="s">
        <v>34</v>
      </c>
      <c r="H731" s="4"/>
      <c r="I731" s="4" t="s">
        <v>3322</v>
      </c>
      <c r="J731" s="6" t="s">
        <v>3313</v>
      </c>
      <c r="K731" s="4"/>
      <c r="L731" s="4" t="s">
        <v>3323</v>
      </c>
      <c r="M731" s="4" t="s">
        <v>1042</v>
      </c>
      <c r="N731" s="4"/>
      <c r="O731" s="4"/>
      <c r="P731" s="4" t="str">
        <f t="shared" si="39"/>
        <v>YES</v>
      </c>
    </row>
    <row r="732" spans="1:16" ht="13" x14ac:dyDescent="0.15">
      <c r="A732" s="4" t="s">
        <v>3324</v>
      </c>
      <c r="B732" s="3" t="str">
        <f t="shared" si="37"/>
        <v>Yes</v>
      </c>
      <c r="C732" s="3">
        <f t="shared" si="38"/>
        <v>446</v>
      </c>
      <c r="D732" s="5">
        <v>11511250014</v>
      </c>
      <c r="E732" s="4" t="s">
        <v>2872</v>
      </c>
      <c r="F732" s="4" t="s">
        <v>3325</v>
      </c>
      <c r="G732" s="4"/>
      <c r="H732" s="4" t="s">
        <v>34</v>
      </c>
      <c r="I732" s="4" t="s">
        <v>3326</v>
      </c>
      <c r="J732" s="6" t="s">
        <v>3327</v>
      </c>
      <c r="K732" s="4"/>
      <c r="L732" s="4" t="s">
        <v>3328</v>
      </c>
      <c r="M732" s="4" t="s">
        <v>38</v>
      </c>
      <c r="N732" s="4"/>
      <c r="O732" s="4"/>
      <c r="P732" s="4" t="str">
        <f t="shared" si="39"/>
        <v>YES</v>
      </c>
    </row>
    <row r="733" spans="1:16" ht="13" x14ac:dyDescent="0.15">
      <c r="A733" s="4" t="s">
        <v>3329</v>
      </c>
      <c r="B733" s="3" t="str">
        <f t="shared" si="37"/>
        <v>raphael.okeke@hollister.com</v>
      </c>
      <c r="C733" s="3">
        <f t="shared" si="38"/>
        <v>1</v>
      </c>
      <c r="D733" s="5">
        <v>25013295415</v>
      </c>
      <c r="E733" s="4" t="s">
        <v>3330</v>
      </c>
      <c r="F733" s="4" t="s">
        <v>3331</v>
      </c>
      <c r="G733" s="4" t="s">
        <v>34</v>
      </c>
      <c r="H733" s="4"/>
      <c r="I733" s="4" t="s">
        <v>3332</v>
      </c>
      <c r="J733" s="6" t="s">
        <v>3333</v>
      </c>
      <c r="K733" s="4"/>
      <c r="L733" s="4" t="s">
        <v>3258</v>
      </c>
      <c r="M733" s="4"/>
      <c r="N733" s="4"/>
      <c r="O733" s="4"/>
      <c r="P733" s="4" t="str">
        <f t="shared" si="39"/>
        <v>YES</v>
      </c>
    </row>
    <row r="734" spans="1:16" ht="13" x14ac:dyDescent="0.15">
      <c r="A734" s="4" t="s">
        <v>3334</v>
      </c>
      <c r="B734" s="3" t="str">
        <f t="shared" si="37"/>
        <v>Yes</v>
      </c>
      <c r="C734" s="3">
        <f t="shared" si="38"/>
        <v>446</v>
      </c>
      <c r="D734" s="5">
        <v>11511423353</v>
      </c>
      <c r="E734" s="4" t="s">
        <v>3335</v>
      </c>
      <c r="F734" s="4" t="s">
        <v>3336</v>
      </c>
      <c r="G734" s="4"/>
      <c r="H734" s="4" t="s">
        <v>34</v>
      </c>
      <c r="I734" s="4" t="s">
        <v>3337</v>
      </c>
      <c r="J734" s="6" t="s">
        <v>3338</v>
      </c>
      <c r="K734" s="4"/>
      <c r="L734" s="4" t="s">
        <v>984</v>
      </c>
      <c r="M734" s="4" t="s">
        <v>38</v>
      </c>
      <c r="N734" s="4"/>
      <c r="O734" s="4"/>
      <c r="P734" s="4" t="str">
        <f t="shared" si="39"/>
        <v>YES</v>
      </c>
    </row>
    <row r="735" spans="1:16" ht="15" x14ac:dyDescent="0.2">
      <c r="A735" s="2" t="s">
        <v>3339</v>
      </c>
      <c r="B735" s="3" t="str">
        <f t="shared" si="37"/>
        <v>kerrigan.murray@hologic.com</v>
      </c>
      <c r="C735" s="3">
        <f t="shared" si="38"/>
        <v>1</v>
      </c>
      <c r="D735" s="2" t="s">
        <v>3340</v>
      </c>
      <c r="E735" s="2" t="s">
        <v>3341</v>
      </c>
      <c r="F735" s="2" t="s">
        <v>3342</v>
      </c>
      <c r="I735" s="2" t="s">
        <v>3343</v>
      </c>
      <c r="L735" s="2" t="s">
        <v>78</v>
      </c>
      <c r="M735" s="2" t="s">
        <v>45</v>
      </c>
    </row>
    <row r="736" spans="1:16" ht="15" x14ac:dyDescent="0.2">
      <c r="A736" s="2" t="s">
        <v>3339</v>
      </c>
      <c r="B736" s="3" t="str">
        <f t="shared" si="37"/>
        <v>dick.parry@hologic.com</v>
      </c>
      <c r="C736" s="3">
        <f t="shared" si="38"/>
        <v>1</v>
      </c>
      <c r="D736" s="2" t="s">
        <v>3344</v>
      </c>
      <c r="E736" s="2" t="s">
        <v>3345</v>
      </c>
      <c r="F736" s="2" t="s">
        <v>2680</v>
      </c>
      <c r="I736" s="2" t="s">
        <v>3346</v>
      </c>
      <c r="L736" s="2" t="s">
        <v>3347</v>
      </c>
      <c r="M736" s="2" t="s">
        <v>45</v>
      </c>
    </row>
    <row r="737" spans="1:16" ht="15" x14ac:dyDescent="0.2">
      <c r="A737" s="2" t="s">
        <v>3339</v>
      </c>
      <c r="B737" s="3" t="str">
        <f t="shared" si="37"/>
        <v>anthony.vanasselberg@hologic.com</v>
      </c>
      <c r="C737" s="3">
        <f t="shared" si="38"/>
        <v>2</v>
      </c>
      <c r="D737" s="2" t="s">
        <v>3348</v>
      </c>
      <c r="E737" s="2" t="s">
        <v>358</v>
      </c>
      <c r="F737" s="2" t="s">
        <v>3349</v>
      </c>
      <c r="I737" s="2" t="s">
        <v>3350</v>
      </c>
      <c r="L737" s="2" t="s">
        <v>3351</v>
      </c>
      <c r="M737" s="2" t="s">
        <v>463</v>
      </c>
    </row>
    <row r="738" spans="1:16" ht="15" x14ac:dyDescent="0.2">
      <c r="A738" s="2" t="s">
        <v>3339</v>
      </c>
      <c r="B738" s="3" t="str">
        <f t="shared" si="37"/>
        <v>matthew.hillyer@hologic.com</v>
      </c>
      <c r="C738" s="3">
        <f t="shared" si="38"/>
        <v>1</v>
      </c>
      <c r="D738" s="2" t="s">
        <v>3352</v>
      </c>
      <c r="E738" s="2" t="s">
        <v>785</v>
      </c>
      <c r="F738" s="2" t="s">
        <v>3353</v>
      </c>
      <c r="I738" s="2" t="s">
        <v>3354</v>
      </c>
      <c r="L738" s="2" t="s">
        <v>3355</v>
      </c>
      <c r="M738" s="2" t="s">
        <v>463</v>
      </c>
    </row>
    <row r="739" spans="1:16" ht="15" x14ac:dyDescent="0.2">
      <c r="A739" s="2" t="s">
        <v>3339</v>
      </c>
      <c r="B739" s="3" t="str">
        <f t="shared" si="37"/>
        <v>richard.amos@hologic.com</v>
      </c>
      <c r="C739" s="3">
        <f t="shared" si="38"/>
        <v>1</v>
      </c>
      <c r="D739" s="2" t="s">
        <v>3356</v>
      </c>
      <c r="E739" s="2" t="s">
        <v>2100</v>
      </c>
      <c r="F739" s="2" t="s">
        <v>3357</v>
      </c>
      <c r="I739" s="2" t="s">
        <v>3358</v>
      </c>
      <c r="L739" s="2" t="s">
        <v>912</v>
      </c>
      <c r="M739" s="2" t="s">
        <v>463</v>
      </c>
    </row>
    <row r="740" spans="1:16" ht="13" x14ac:dyDescent="0.15">
      <c r="A740" s="4" t="s">
        <v>3359</v>
      </c>
      <c r="B740" s="3" t="str">
        <f t="shared" si="37"/>
        <v>anthony.vanasselberg@hologic.com</v>
      </c>
      <c r="C740" s="3">
        <f t="shared" si="38"/>
        <v>2</v>
      </c>
      <c r="D740" s="5">
        <v>19652</v>
      </c>
      <c r="E740" s="4" t="s">
        <v>358</v>
      </c>
      <c r="F740" s="4" t="s">
        <v>3360</v>
      </c>
      <c r="G740" s="4"/>
      <c r="H740" s="4"/>
      <c r="I740" s="4" t="s">
        <v>3350</v>
      </c>
      <c r="J740" s="6" t="s">
        <v>3361</v>
      </c>
      <c r="K740" s="7">
        <v>45418.654166666667</v>
      </c>
      <c r="L740" s="4" t="s">
        <v>3362</v>
      </c>
      <c r="M740" s="4" t="s">
        <v>38</v>
      </c>
      <c r="N740" s="4"/>
      <c r="O740" s="5">
        <v>1</v>
      </c>
      <c r="P740" s="4" t="str">
        <f t="shared" ref="P740:P745" si="40">IF(OR(M740="Customer", M740="Opportunity", H740="Yes", H740=TRUE, G740="Yes", G740=TRUE, O740&gt;0), "YES", "NO")</f>
        <v>YES</v>
      </c>
    </row>
    <row r="741" spans="1:16" ht="13" x14ac:dyDescent="0.15">
      <c r="A741" s="4" t="s">
        <v>3363</v>
      </c>
      <c r="B741" s="3" t="str">
        <f t="shared" si="37"/>
        <v>Yes</v>
      </c>
      <c r="C741" s="3">
        <f t="shared" si="38"/>
        <v>446</v>
      </c>
      <c r="D741" s="5">
        <v>3567</v>
      </c>
      <c r="E741" s="4" t="s">
        <v>3364</v>
      </c>
      <c r="F741" s="4" t="s">
        <v>3365</v>
      </c>
      <c r="G741" s="4"/>
      <c r="H741" s="4" t="s">
        <v>34</v>
      </c>
      <c r="I741" s="4" t="s">
        <v>3366</v>
      </c>
      <c r="J741" s="6" t="s">
        <v>3367</v>
      </c>
      <c r="K741" s="4"/>
      <c r="L741" s="4" t="s">
        <v>3368</v>
      </c>
      <c r="M741" s="4" t="s">
        <v>38</v>
      </c>
      <c r="N741" s="4"/>
      <c r="O741" s="4"/>
      <c r="P741" s="4" t="str">
        <f t="shared" si="40"/>
        <v>YES</v>
      </c>
    </row>
    <row r="742" spans="1:16" ht="13" x14ac:dyDescent="0.15">
      <c r="A742" s="4" t="s">
        <v>3369</v>
      </c>
      <c r="B742" s="3" t="str">
        <f t="shared" si="37"/>
        <v>Yes</v>
      </c>
      <c r="C742" s="3">
        <f t="shared" si="38"/>
        <v>446</v>
      </c>
      <c r="D742" s="5">
        <v>11512927904</v>
      </c>
      <c r="E742" s="4" t="s">
        <v>3370</v>
      </c>
      <c r="F742" s="4" t="s">
        <v>3371</v>
      </c>
      <c r="G742" s="4"/>
      <c r="H742" s="4" t="s">
        <v>34</v>
      </c>
      <c r="I742" s="4" t="s">
        <v>3372</v>
      </c>
      <c r="J742" s="6" t="s">
        <v>3373</v>
      </c>
      <c r="K742" s="4"/>
      <c r="L742" s="4" t="s">
        <v>3374</v>
      </c>
      <c r="M742" s="4" t="s">
        <v>38</v>
      </c>
      <c r="N742" s="4"/>
      <c r="O742" s="4"/>
      <c r="P742" s="4" t="str">
        <f t="shared" si="40"/>
        <v>YES</v>
      </c>
    </row>
    <row r="743" spans="1:16" ht="13" x14ac:dyDescent="0.15">
      <c r="A743" s="4" t="s">
        <v>3375</v>
      </c>
      <c r="B743" s="3" t="str">
        <f t="shared" si="37"/>
        <v>Yes</v>
      </c>
      <c r="C743" s="3">
        <f t="shared" si="38"/>
        <v>446</v>
      </c>
      <c r="D743" s="5">
        <v>2011</v>
      </c>
      <c r="E743" s="4" t="s">
        <v>3376</v>
      </c>
      <c r="F743" s="4" t="s">
        <v>3377</v>
      </c>
      <c r="G743" s="4"/>
      <c r="H743" s="4" t="s">
        <v>34</v>
      </c>
      <c r="I743" s="4" t="s">
        <v>3378</v>
      </c>
      <c r="J743" s="6" t="s">
        <v>3379</v>
      </c>
      <c r="K743" s="4"/>
      <c r="L743" s="4" t="s">
        <v>3380</v>
      </c>
      <c r="M743" s="4" t="s">
        <v>38</v>
      </c>
      <c r="N743" s="4"/>
      <c r="O743" s="4"/>
      <c r="P743" s="4" t="str">
        <f t="shared" si="40"/>
        <v>YES</v>
      </c>
    </row>
    <row r="744" spans="1:16" ht="13" x14ac:dyDescent="0.15">
      <c r="A744" s="4" t="s">
        <v>3381</v>
      </c>
      <c r="B744" s="3" t="str">
        <f t="shared" si="37"/>
        <v>Yes</v>
      </c>
      <c r="C744" s="3">
        <f t="shared" si="38"/>
        <v>446</v>
      </c>
      <c r="D744" s="5">
        <v>11513921189</v>
      </c>
      <c r="E744" s="4" t="s">
        <v>1465</v>
      </c>
      <c r="F744" s="4" t="s">
        <v>604</v>
      </c>
      <c r="G744" s="4"/>
      <c r="H744" s="4" t="s">
        <v>34</v>
      </c>
      <c r="I744" s="4" t="s">
        <v>3382</v>
      </c>
      <c r="J744" s="4" t="s">
        <v>3383</v>
      </c>
      <c r="K744" s="4"/>
      <c r="L744" s="4" t="s">
        <v>3384</v>
      </c>
      <c r="M744" s="4" t="s">
        <v>38</v>
      </c>
      <c r="N744" s="4"/>
      <c r="O744" s="4"/>
      <c r="P744" s="4" t="str">
        <f t="shared" si="40"/>
        <v>YES</v>
      </c>
    </row>
    <row r="745" spans="1:16" ht="13" x14ac:dyDescent="0.15">
      <c r="A745" s="4" t="s">
        <v>3385</v>
      </c>
      <c r="B745" s="3" t="str">
        <f t="shared" si="37"/>
        <v>Yes</v>
      </c>
      <c r="C745" s="3">
        <f t="shared" si="38"/>
        <v>446</v>
      </c>
      <c r="D745" s="5">
        <v>11512269191</v>
      </c>
      <c r="E745" s="4" t="s">
        <v>3386</v>
      </c>
      <c r="F745" s="4" t="s">
        <v>3387</v>
      </c>
      <c r="G745" s="4"/>
      <c r="H745" s="4" t="s">
        <v>34</v>
      </c>
      <c r="I745" s="4" t="s">
        <v>3388</v>
      </c>
      <c r="J745" s="6" t="s">
        <v>3389</v>
      </c>
      <c r="K745" s="4"/>
      <c r="L745" s="4" t="s">
        <v>3390</v>
      </c>
      <c r="M745" s="4" t="s">
        <v>38</v>
      </c>
      <c r="N745" s="4"/>
      <c r="O745" s="4"/>
      <c r="P745" s="4" t="str">
        <f t="shared" si="40"/>
        <v>YES</v>
      </c>
    </row>
    <row r="746" spans="1:16" ht="15" x14ac:dyDescent="0.2">
      <c r="A746" s="2" t="s">
        <v>3391</v>
      </c>
      <c r="B746" s="3" t="str">
        <f t="shared" si="37"/>
        <v>mbrown@icadmed.com</v>
      </c>
      <c r="C746" s="3">
        <f t="shared" si="38"/>
        <v>1</v>
      </c>
      <c r="D746" s="2" t="s">
        <v>3392</v>
      </c>
      <c r="E746" s="2" t="s">
        <v>207</v>
      </c>
      <c r="F746" s="2" t="s">
        <v>604</v>
      </c>
      <c r="I746" s="2" t="s">
        <v>3393</v>
      </c>
      <c r="L746" s="2" t="s">
        <v>132</v>
      </c>
      <c r="M746" s="2" t="s">
        <v>45</v>
      </c>
    </row>
    <row r="747" spans="1:16" ht="13" x14ac:dyDescent="0.15">
      <c r="A747" s="4" t="s">
        <v>3394</v>
      </c>
      <c r="B747" s="3" t="str">
        <f t="shared" si="37"/>
        <v>Yes</v>
      </c>
      <c r="C747" s="3">
        <f t="shared" si="38"/>
        <v>446</v>
      </c>
      <c r="D747" s="5">
        <v>11514176035</v>
      </c>
      <c r="E747" s="4" t="s">
        <v>119</v>
      </c>
      <c r="F747" s="4" t="s">
        <v>3342</v>
      </c>
      <c r="G747" s="4"/>
      <c r="H747" s="4" t="s">
        <v>34</v>
      </c>
      <c r="I747" s="4" t="s">
        <v>3395</v>
      </c>
      <c r="J747" s="6" t="s">
        <v>3396</v>
      </c>
      <c r="K747" s="4"/>
      <c r="L747" s="4" t="s">
        <v>3397</v>
      </c>
      <c r="M747" s="4" t="s">
        <v>38</v>
      </c>
      <c r="N747" s="4"/>
      <c r="O747" s="4"/>
      <c r="P747" s="4" t="str">
        <f>IF(OR(M747="Customer", M747="Opportunity", H747="Yes", H747=TRUE, G747="Yes", G747=TRUE, O747&gt;0), "YES", "NO")</f>
        <v>YES</v>
      </c>
    </row>
    <row r="748" spans="1:16" ht="13" x14ac:dyDescent="0.15">
      <c r="A748" s="4" t="s">
        <v>3398</v>
      </c>
      <c r="B748" s="3" t="str">
        <f t="shared" si="37"/>
        <v>No</v>
      </c>
      <c r="C748" s="3">
        <f t="shared" si="38"/>
        <v>2</v>
      </c>
      <c r="D748" s="5">
        <v>11493886863</v>
      </c>
      <c r="E748" s="4" t="s">
        <v>3399</v>
      </c>
      <c r="F748" s="4" t="s">
        <v>3400</v>
      </c>
      <c r="G748" s="4" t="s">
        <v>34</v>
      </c>
      <c r="H748" s="4" t="s">
        <v>26</v>
      </c>
      <c r="I748" s="4" t="s">
        <v>3401</v>
      </c>
      <c r="J748" s="6" t="s">
        <v>3396</v>
      </c>
      <c r="K748" s="4"/>
      <c r="L748" s="4" t="s">
        <v>3402</v>
      </c>
      <c r="M748" s="4" t="s">
        <v>38</v>
      </c>
      <c r="N748" s="4"/>
      <c r="O748" s="4"/>
      <c r="P748" s="4" t="str">
        <f>IF(OR(M748="Customer", M748="Opportunity", H748="Yes", H748=TRUE, G748="Yes", G748=TRUE, O748&gt;0), "YES", "NO")</f>
        <v>YES</v>
      </c>
    </row>
    <row r="749" spans="1:16" ht="13" x14ac:dyDescent="0.15">
      <c r="A749" s="4" t="s">
        <v>3403</v>
      </c>
      <c r="B749" s="3" t="str">
        <f t="shared" si="37"/>
        <v>Yes</v>
      </c>
      <c r="C749" s="3">
        <f t="shared" si="38"/>
        <v>446</v>
      </c>
      <c r="D749" s="5">
        <v>5752</v>
      </c>
      <c r="E749" s="4" t="s">
        <v>3404</v>
      </c>
      <c r="F749" s="4" t="s">
        <v>3405</v>
      </c>
      <c r="G749" s="4"/>
      <c r="H749" s="4" t="s">
        <v>34</v>
      </c>
      <c r="I749" s="4" t="s">
        <v>3406</v>
      </c>
      <c r="J749" s="6" t="s">
        <v>3407</v>
      </c>
      <c r="K749" s="4"/>
      <c r="L749" s="4" t="s">
        <v>3408</v>
      </c>
      <c r="M749" s="4" t="s">
        <v>38</v>
      </c>
      <c r="N749" s="4"/>
      <c r="O749" s="4"/>
      <c r="P749" s="4" t="str">
        <f>IF(OR(M749="Customer", M749="Opportunity", H749="Yes", H749=TRUE, G749="Yes", G749=TRUE, O749&gt;0), "YES", "NO")</f>
        <v>YES</v>
      </c>
    </row>
    <row r="750" spans="1:16" ht="13" x14ac:dyDescent="0.15">
      <c r="A750" s="4" t="s">
        <v>3409</v>
      </c>
      <c r="B750" s="3" t="str">
        <f t="shared" si="37"/>
        <v>Yes</v>
      </c>
      <c r="C750" s="3">
        <f t="shared" si="38"/>
        <v>446</v>
      </c>
      <c r="D750" s="5">
        <v>11512202061</v>
      </c>
      <c r="E750" s="4" t="s">
        <v>3410</v>
      </c>
      <c r="F750" s="4" t="s">
        <v>3411</v>
      </c>
      <c r="G750" s="4"/>
      <c r="H750" s="4" t="s">
        <v>34</v>
      </c>
      <c r="I750" s="4" t="s">
        <v>3412</v>
      </c>
      <c r="J750" s="6" t="s">
        <v>3413</v>
      </c>
      <c r="K750" s="4"/>
      <c r="L750" s="4" t="s">
        <v>3414</v>
      </c>
      <c r="M750" s="4" t="s">
        <v>38</v>
      </c>
      <c r="N750" s="4"/>
      <c r="O750" s="4"/>
      <c r="P750" s="4" t="str">
        <f>IF(OR(M750="Customer", M750="Opportunity", H750="Yes", H750=TRUE, G750="Yes", G750=TRUE, O750&gt;0), "YES", "NO")</f>
        <v>YES</v>
      </c>
    </row>
    <row r="751" spans="1:16" ht="13" x14ac:dyDescent="0.15">
      <c r="A751" s="4" t="s">
        <v>3415</v>
      </c>
      <c r="B751" s="3" t="str">
        <f t="shared" si="37"/>
        <v>Yes</v>
      </c>
      <c r="C751" s="3">
        <f t="shared" si="38"/>
        <v>446</v>
      </c>
      <c r="D751" s="5">
        <v>11512789667</v>
      </c>
      <c r="E751" s="4" t="s">
        <v>492</v>
      </c>
      <c r="F751" s="4" t="s">
        <v>584</v>
      </c>
      <c r="G751" s="4"/>
      <c r="H751" s="4" t="s">
        <v>34</v>
      </c>
      <c r="I751" s="4" t="s">
        <v>3416</v>
      </c>
      <c r="J751" s="6" t="s">
        <v>3417</v>
      </c>
      <c r="K751" s="4"/>
      <c r="L751" s="4" t="s">
        <v>3418</v>
      </c>
      <c r="M751" s="4" t="s">
        <v>38</v>
      </c>
      <c r="N751" s="4"/>
      <c r="O751" s="4"/>
      <c r="P751" s="4" t="str">
        <f>IF(OR(M751="Customer", M751="Opportunity", H751="Yes", H751=TRUE, G751="Yes", G751=TRUE, O751&gt;0), "YES", "NO")</f>
        <v>YES</v>
      </c>
    </row>
    <row r="752" spans="1:16" ht="15" x14ac:dyDescent="0.2">
      <c r="A752" s="2" t="s">
        <v>3419</v>
      </c>
      <c r="B752" s="3" t="str">
        <f t="shared" si="37"/>
        <v>johnn@inarimedical.com</v>
      </c>
      <c r="C752" s="3">
        <f t="shared" si="38"/>
        <v>1</v>
      </c>
      <c r="D752" s="2" t="s">
        <v>3420</v>
      </c>
      <c r="E752" s="2" t="s">
        <v>187</v>
      </c>
      <c r="F752" s="2" t="s">
        <v>3421</v>
      </c>
      <c r="I752" s="2" t="s">
        <v>3422</v>
      </c>
      <c r="L752" s="2" t="s">
        <v>3423</v>
      </c>
      <c r="M752" s="2" t="s">
        <v>45</v>
      </c>
    </row>
    <row r="753" spans="1:16" ht="15" x14ac:dyDescent="0.2">
      <c r="A753" s="2" t="s">
        <v>3419</v>
      </c>
      <c r="B753" s="3" t="str">
        <f t="shared" si="37"/>
        <v>vincent.pierlot@inarimedical.com</v>
      </c>
      <c r="C753" s="3">
        <f t="shared" si="38"/>
        <v>1</v>
      </c>
      <c r="D753" s="2" t="s">
        <v>3424</v>
      </c>
      <c r="E753" s="2" t="s">
        <v>2820</v>
      </c>
      <c r="F753" s="2" t="s">
        <v>3425</v>
      </c>
      <c r="I753" s="2" t="s">
        <v>3426</v>
      </c>
      <c r="L753" s="2" t="s">
        <v>1790</v>
      </c>
      <c r="M753" s="2" t="s">
        <v>45</v>
      </c>
    </row>
    <row r="754" spans="1:16" ht="13" x14ac:dyDescent="0.15">
      <c r="A754" s="6" t="s">
        <v>3427</v>
      </c>
      <c r="B754" s="3" t="str">
        <f t="shared" si="37"/>
        <v>Yes</v>
      </c>
      <c r="C754" s="3">
        <f t="shared" si="38"/>
        <v>446</v>
      </c>
      <c r="D754" s="5">
        <v>11514947191</v>
      </c>
      <c r="E754" s="4" t="s">
        <v>1455</v>
      </c>
      <c r="F754" s="4" t="s">
        <v>3428</v>
      </c>
      <c r="G754" s="4"/>
      <c r="H754" s="4" t="s">
        <v>34</v>
      </c>
      <c r="I754" s="4" t="s">
        <v>3429</v>
      </c>
      <c r="J754" s="6" t="s">
        <v>3430</v>
      </c>
      <c r="K754" s="4"/>
      <c r="L754" s="4" t="s">
        <v>3431</v>
      </c>
      <c r="M754" s="4" t="s">
        <v>38</v>
      </c>
      <c r="N754" s="4"/>
      <c r="O754" s="4"/>
      <c r="P754" s="4" t="str">
        <f>IF(OR(M754="Customer", M754="Opportunity", H754="Yes", H754=TRUE, G754="Yes", G754=TRUE, O754&gt;0), "YES", "NO")</f>
        <v>YES</v>
      </c>
    </row>
    <row r="755" spans="1:16" ht="13" x14ac:dyDescent="0.15">
      <c r="A755" s="4" t="s">
        <v>3432</v>
      </c>
      <c r="B755" s="3" t="str">
        <f t="shared" si="37"/>
        <v>Yes</v>
      </c>
      <c r="C755" s="3">
        <f t="shared" si="38"/>
        <v>446</v>
      </c>
      <c r="D755" s="5">
        <v>11515742886</v>
      </c>
      <c r="E755" s="4" t="s">
        <v>3433</v>
      </c>
      <c r="F755" s="4" t="s">
        <v>3434</v>
      </c>
      <c r="G755" s="4"/>
      <c r="H755" s="4" t="s">
        <v>34</v>
      </c>
      <c r="I755" s="4" t="s">
        <v>3435</v>
      </c>
      <c r="J755" s="6" t="s">
        <v>3436</v>
      </c>
      <c r="K755" s="4"/>
      <c r="L755" s="4" t="s">
        <v>3437</v>
      </c>
      <c r="M755" s="4" t="s">
        <v>38</v>
      </c>
      <c r="N755" s="4"/>
      <c r="O755" s="4"/>
      <c r="P755" s="4" t="str">
        <f>IF(OR(M755="Customer", M755="Opportunity", H755="Yes", H755=TRUE, G755="Yes", G755=TRUE, O755&gt;0), "YES", "NO")</f>
        <v>YES</v>
      </c>
    </row>
    <row r="756" spans="1:16" ht="13" x14ac:dyDescent="0.15">
      <c r="A756" s="4" t="s">
        <v>3438</v>
      </c>
      <c r="B756" s="3" t="str">
        <f t="shared" si="37"/>
        <v>Yes</v>
      </c>
      <c r="C756" s="3">
        <f t="shared" si="38"/>
        <v>446</v>
      </c>
      <c r="D756" s="5">
        <v>11513992746</v>
      </c>
      <c r="E756" s="4" t="s">
        <v>3439</v>
      </c>
      <c r="F756" s="4" t="s">
        <v>2589</v>
      </c>
      <c r="G756" s="4"/>
      <c r="H756" s="4" t="s">
        <v>34</v>
      </c>
      <c r="I756" s="4" t="s">
        <v>3440</v>
      </c>
      <c r="J756" s="6" t="s">
        <v>3441</v>
      </c>
      <c r="K756" s="4"/>
      <c r="L756" s="4" t="s">
        <v>3442</v>
      </c>
      <c r="M756" s="4" t="s">
        <v>38</v>
      </c>
      <c r="N756" s="4"/>
      <c r="O756" s="4"/>
      <c r="P756" s="4" t="str">
        <f>IF(OR(M756="Customer", M756="Opportunity", H756="Yes", H756=TRUE, G756="Yes", G756=TRUE, O756&gt;0), "YES", "NO")</f>
        <v>YES</v>
      </c>
    </row>
    <row r="757" spans="1:16" ht="13" x14ac:dyDescent="0.15">
      <c r="A757" s="4" t="s">
        <v>3443</v>
      </c>
      <c r="B757" s="3" t="str">
        <f t="shared" si="37"/>
        <v>parampal.randhawa@integralife.com</v>
      </c>
      <c r="C757" s="3">
        <f t="shared" si="38"/>
        <v>1</v>
      </c>
      <c r="D757" s="5">
        <v>70724393365</v>
      </c>
      <c r="E757" s="4" t="s">
        <v>3444</v>
      </c>
      <c r="F757" s="4" t="s">
        <v>3445</v>
      </c>
      <c r="G757" s="4"/>
      <c r="H757" s="4"/>
      <c r="I757" s="4" t="s">
        <v>3446</v>
      </c>
      <c r="J757" s="6" t="s">
        <v>3447</v>
      </c>
      <c r="K757" s="7">
        <v>45601.595138888886</v>
      </c>
      <c r="L757" s="4" t="s">
        <v>3448</v>
      </c>
      <c r="M757" s="4" t="s">
        <v>1033</v>
      </c>
      <c r="N757" s="4"/>
      <c r="O757" s="5">
        <v>1</v>
      </c>
      <c r="P757" s="4" t="str">
        <f>IF(OR(M757="Customer", M757="Opportunity", H757="Yes", H757=TRUE, G757="Yes", G757=TRUE, O757&gt;0), "YES", "NO")</f>
        <v>YES</v>
      </c>
    </row>
    <row r="758" spans="1:16" ht="15" x14ac:dyDescent="0.2">
      <c r="A758" s="2" t="s">
        <v>3449</v>
      </c>
      <c r="B758" s="3" t="str">
        <f t="shared" si="37"/>
        <v>jaron.blake@intermountainhealthcare.org</v>
      </c>
      <c r="C758" s="3">
        <f t="shared" si="38"/>
        <v>1</v>
      </c>
      <c r="D758" s="2" t="s">
        <v>3450</v>
      </c>
      <c r="E758" s="2" t="s">
        <v>3451</v>
      </c>
      <c r="F758" s="2" t="s">
        <v>1977</v>
      </c>
      <c r="I758" s="2" t="s">
        <v>3452</v>
      </c>
      <c r="L758" s="2" t="s">
        <v>3453</v>
      </c>
      <c r="M758" s="2" t="s">
        <v>45</v>
      </c>
    </row>
    <row r="759" spans="1:16" ht="15" x14ac:dyDescent="0.2">
      <c r="A759" s="2" t="s">
        <v>3449</v>
      </c>
      <c r="B759" s="3" t="str">
        <f t="shared" si="37"/>
        <v>johnathan.parkes@intermountainhealthcare.org</v>
      </c>
      <c r="C759" s="3">
        <f t="shared" si="38"/>
        <v>1</v>
      </c>
      <c r="D759" s="2" t="s">
        <v>3454</v>
      </c>
      <c r="E759" s="2" t="s">
        <v>3455</v>
      </c>
      <c r="F759" s="2" t="s">
        <v>3456</v>
      </c>
      <c r="I759" s="2" t="s">
        <v>3457</v>
      </c>
      <c r="L759" s="2" t="s">
        <v>3458</v>
      </c>
      <c r="M759" s="2" t="s">
        <v>22</v>
      </c>
    </row>
    <row r="760" spans="1:16" ht="15" x14ac:dyDescent="0.2">
      <c r="A760" s="2" t="s">
        <v>3449</v>
      </c>
      <c r="B760" s="3" t="str">
        <f t="shared" si="37"/>
        <v>jayce.barnes@intermountainhealthcare.org</v>
      </c>
      <c r="C760" s="3">
        <f t="shared" si="38"/>
        <v>1</v>
      </c>
      <c r="D760" s="2" t="s">
        <v>3459</v>
      </c>
      <c r="E760" s="2" t="s">
        <v>3460</v>
      </c>
      <c r="F760" s="2" t="s">
        <v>1792</v>
      </c>
      <c r="I760" s="2" t="s">
        <v>3461</v>
      </c>
      <c r="L760" s="2" t="s">
        <v>3462</v>
      </c>
      <c r="M760" s="2" t="s">
        <v>22</v>
      </c>
    </row>
    <row r="761" spans="1:16" ht="15" x14ac:dyDescent="0.2">
      <c r="A761" s="2" t="s">
        <v>3449</v>
      </c>
      <c r="B761" s="3" t="str">
        <f t="shared" si="37"/>
        <v>kris.kromer@intermountainhealthcare.org</v>
      </c>
      <c r="C761" s="3">
        <f t="shared" si="38"/>
        <v>1</v>
      </c>
      <c r="D761" s="2" t="s">
        <v>3463</v>
      </c>
      <c r="E761" s="2" t="s">
        <v>3464</v>
      </c>
      <c r="F761" s="2" t="s">
        <v>3465</v>
      </c>
      <c r="I761" s="2" t="s">
        <v>3466</v>
      </c>
      <c r="L761" s="2" t="s">
        <v>3467</v>
      </c>
      <c r="M761" s="2" t="s">
        <v>22</v>
      </c>
    </row>
    <row r="762" spans="1:16" ht="15" x14ac:dyDescent="0.2">
      <c r="A762" s="2" t="s">
        <v>3449</v>
      </c>
      <c r="B762" s="3" t="str">
        <f t="shared" si="37"/>
        <v>john.mcclain@intermountainhealthcare.org</v>
      </c>
      <c r="C762" s="3">
        <f t="shared" si="38"/>
        <v>1</v>
      </c>
      <c r="D762" s="2" t="s">
        <v>3468</v>
      </c>
      <c r="E762" s="2" t="s">
        <v>187</v>
      </c>
      <c r="F762" s="2" t="s">
        <v>3469</v>
      </c>
      <c r="I762" s="2" t="s">
        <v>3470</v>
      </c>
      <c r="L762" s="2" t="s">
        <v>132</v>
      </c>
      <c r="M762" s="2" t="s">
        <v>22</v>
      </c>
    </row>
    <row r="763" spans="1:16" ht="15" x14ac:dyDescent="0.2">
      <c r="A763" s="2" t="s">
        <v>3449</v>
      </c>
      <c r="B763" s="3" t="str">
        <f t="shared" si="37"/>
        <v>jeff.johnson@intermountainhealthcare.org</v>
      </c>
      <c r="C763" s="3">
        <f t="shared" si="38"/>
        <v>1</v>
      </c>
      <c r="D763" s="2" t="s">
        <v>3471</v>
      </c>
      <c r="E763" s="2" t="s">
        <v>1075</v>
      </c>
      <c r="F763" s="2" t="s">
        <v>188</v>
      </c>
      <c r="I763" s="2" t="s">
        <v>3472</v>
      </c>
      <c r="L763" s="2" t="s">
        <v>3473</v>
      </c>
      <c r="M763" s="2" t="s">
        <v>45</v>
      </c>
    </row>
    <row r="764" spans="1:16" ht="15" x14ac:dyDescent="0.2">
      <c r="A764" s="2" t="s">
        <v>3449</v>
      </c>
      <c r="B764" s="3" t="str">
        <f t="shared" si="37"/>
        <v>nyles.durfey@intermountainhealthcare.org</v>
      </c>
      <c r="C764" s="3">
        <f t="shared" si="38"/>
        <v>1</v>
      </c>
      <c r="D764" s="2" t="s">
        <v>3474</v>
      </c>
      <c r="E764" s="2" t="s">
        <v>3475</v>
      </c>
      <c r="F764" s="2" t="s">
        <v>3476</v>
      </c>
      <c r="I764" s="2" t="s">
        <v>3477</v>
      </c>
      <c r="L764" s="2" t="s">
        <v>309</v>
      </c>
      <c r="M764" s="2" t="s">
        <v>22</v>
      </c>
    </row>
    <row r="765" spans="1:16" ht="15" x14ac:dyDescent="0.2">
      <c r="A765" s="2" t="s">
        <v>3449</v>
      </c>
      <c r="B765" s="3" t="str">
        <f t="shared" si="37"/>
        <v>david.clawson@intermountainhealthcare.org</v>
      </c>
      <c r="C765" s="3">
        <f t="shared" si="38"/>
        <v>1</v>
      </c>
      <c r="D765" s="2" t="s">
        <v>3478</v>
      </c>
      <c r="E765" s="2" t="s">
        <v>119</v>
      </c>
      <c r="F765" s="2" t="s">
        <v>3479</v>
      </c>
      <c r="I765" s="2" t="s">
        <v>3480</v>
      </c>
      <c r="L765" s="2" t="s">
        <v>3481</v>
      </c>
      <c r="M765" s="2" t="s">
        <v>45</v>
      </c>
    </row>
    <row r="766" spans="1:16" ht="15" x14ac:dyDescent="0.2">
      <c r="A766" s="2" t="s">
        <v>3449</v>
      </c>
      <c r="B766" s="3" t="str">
        <f t="shared" si="37"/>
        <v>mallory.hill@intermountainhealthcare.org</v>
      </c>
      <c r="C766" s="3">
        <f t="shared" si="38"/>
        <v>1</v>
      </c>
      <c r="D766" s="2" t="s">
        <v>3482</v>
      </c>
      <c r="E766" s="2" t="s">
        <v>3483</v>
      </c>
      <c r="F766" s="2" t="s">
        <v>3484</v>
      </c>
      <c r="I766" s="2" t="s">
        <v>3485</v>
      </c>
      <c r="L766" s="2" t="s">
        <v>132</v>
      </c>
      <c r="M766" s="2" t="s">
        <v>45</v>
      </c>
    </row>
    <row r="767" spans="1:16" ht="15" x14ac:dyDescent="0.2">
      <c r="A767" s="2" t="s">
        <v>3449</v>
      </c>
      <c r="B767" s="3" t="str">
        <f t="shared" si="37"/>
        <v>tom.steele@intermountainhealthcare.org</v>
      </c>
      <c r="C767" s="3">
        <f t="shared" si="38"/>
        <v>1</v>
      </c>
      <c r="D767" s="2" t="s">
        <v>3486</v>
      </c>
      <c r="E767" s="2" t="s">
        <v>945</v>
      </c>
      <c r="F767" s="2" t="s">
        <v>2431</v>
      </c>
      <c r="I767" s="2" t="s">
        <v>3487</v>
      </c>
      <c r="L767" s="2" t="s">
        <v>1682</v>
      </c>
      <c r="M767" s="2" t="s">
        <v>22</v>
      </c>
    </row>
    <row r="768" spans="1:16" ht="15" x14ac:dyDescent="0.2">
      <c r="A768" s="2" t="s">
        <v>3449</v>
      </c>
      <c r="B768" s="3" t="str">
        <f t="shared" si="37"/>
        <v>jeremy.hansen@intermountainhealthcare.org</v>
      </c>
      <c r="C768" s="3">
        <f t="shared" si="38"/>
        <v>1</v>
      </c>
      <c r="D768" s="2" t="s">
        <v>3488</v>
      </c>
      <c r="E768" s="2" t="s">
        <v>454</v>
      </c>
      <c r="F768" s="2" t="s">
        <v>3489</v>
      </c>
      <c r="I768" s="2" t="s">
        <v>3490</v>
      </c>
      <c r="L768" s="2" t="s">
        <v>819</v>
      </c>
      <c r="M768" s="2" t="s">
        <v>22</v>
      </c>
    </row>
    <row r="769" spans="1:16" ht="15" x14ac:dyDescent="0.2">
      <c r="A769" s="2" t="s">
        <v>3449</v>
      </c>
      <c r="B769" s="3" t="str">
        <f t="shared" si="37"/>
        <v>cory.braithwaite@intermountainhealthcare.org</v>
      </c>
      <c r="C769" s="3">
        <f t="shared" si="38"/>
        <v>1</v>
      </c>
      <c r="D769" s="2" t="s">
        <v>3491</v>
      </c>
      <c r="E769" s="2" t="s">
        <v>3492</v>
      </c>
      <c r="F769" s="2" t="s">
        <v>3493</v>
      </c>
      <c r="I769" s="2" t="s">
        <v>3494</v>
      </c>
      <c r="L769" s="2" t="s">
        <v>3495</v>
      </c>
      <c r="M769" s="2" t="s">
        <v>22</v>
      </c>
    </row>
    <row r="770" spans="1:16" ht="15" x14ac:dyDescent="0.2">
      <c r="A770" s="2" t="s">
        <v>3449</v>
      </c>
      <c r="B770" s="3" t="str">
        <f t="shared" ref="B770:B833" si="41">IF(H770&lt;&gt;"",H770,I770)</f>
        <v>robert.healy@intermountainhealthcare.org</v>
      </c>
      <c r="C770" s="3">
        <f t="shared" ref="C770:C833" si="42">COUNTIF($B$2:$B$1586,B770)</f>
        <v>1</v>
      </c>
      <c r="D770" s="2" t="s">
        <v>3496</v>
      </c>
      <c r="E770" s="2" t="s">
        <v>531</v>
      </c>
      <c r="F770" s="2" t="s">
        <v>3497</v>
      </c>
      <c r="I770" s="2" t="s">
        <v>3498</v>
      </c>
      <c r="L770" s="2" t="s">
        <v>3499</v>
      </c>
      <c r="M770" s="2" t="s">
        <v>45</v>
      </c>
    </row>
    <row r="771" spans="1:16" ht="15" x14ac:dyDescent="0.2">
      <c r="A771" s="2" t="s">
        <v>3449</v>
      </c>
      <c r="B771" s="3" t="str">
        <f t="shared" si="41"/>
        <v>josh.pattison@intermountainhealthcare.org</v>
      </c>
      <c r="C771" s="3">
        <f t="shared" si="42"/>
        <v>1</v>
      </c>
      <c r="D771" s="2" t="s">
        <v>3500</v>
      </c>
      <c r="E771" s="2" t="s">
        <v>1118</v>
      </c>
      <c r="F771" s="2" t="s">
        <v>3501</v>
      </c>
      <c r="I771" s="2" t="s">
        <v>3502</v>
      </c>
      <c r="L771" s="2" t="s">
        <v>3503</v>
      </c>
      <c r="M771" s="2" t="s">
        <v>22</v>
      </c>
    </row>
    <row r="772" spans="1:16" ht="15" x14ac:dyDescent="0.2">
      <c r="A772" s="2" t="s">
        <v>3449</v>
      </c>
      <c r="B772" s="3" t="str">
        <f t="shared" si="41"/>
        <v>richard.price@intermountainhealthcare.org</v>
      </c>
      <c r="C772" s="3">
        <f t="shared" si="42"/>
        <v>1</v>
      </c>
      <c r="D772" s="2" t="s">
        <v>3504</v>
      </c>
      <c r="E772" s="2" t="s">
        <v>2100</v>
      </c>
      <c r="F772" s="2" t="s">
        <v>3505</v>
      </c>
      <c r="I772" s="2" t="s">
        <v>3506</v>
      </c>
      <c r="L772" s="2" t="s">
        <v>3507</v>
      </c>
      <c r="M772" s="2" t="s">
        <v>22</v>
      </c>
    </row>
    <row r="773" spans="1:16" ht="13" x14ac:dyDescent="0.15">
      <c r="A773" s="4" t="s">
        <v>3508</v>
      </c>
      <c r="B773" s="3" t="str">
        <f t="shared" si="41"/>
        <v>Yes</v>
      </c>
      <c r="C773" s="3">
        <f t="shared" si="42"/>
        <v>446</v>
      </c>
      <c r="D773" s="5">
        <v>3116</v>
      </c>
      <c r="E773" s="4" t="s">
        <v>2623</v>
      </c>
      <c r="F773" s="4" t="s">
        <v>3509</v>
      </c>
      <c r="G773" s="4"/>
      <c r="H773" s="4" t="s">
        <v>34</v>
      </c>
      <c r="I773" s="4" t="s">
        <v>3510</v>
      </c>
      <c r="J773" s="6" t="s">
        <v>3511</v>
      </c>
      <c r="K773" s="4"/>
      <c r="L773" s="4" t="s">
        <v>2748</v>
      </c>
      <c r="M773" s="4" t="s">
        <v>38</v>
      </c>
      <c r="N773" s="4"/>
      <c r="O773" s="4"/>
      <c r="P773" s="4" t="str">
        <f t="shared" ref="P773:P778" si="43">IF(OR(M773="Customer", M773="Opportunity", H773="Yes", H773=TRUE, G773="Yes", G773=TRUE, O773&gt;0), "YES", "NO")</f>
        <v>YES</v>
      </c>
    </row>
    <row r="774" spans="1:16" ht="13" x14ac:dyDescent="0.15">
      <c r="A774" s="4" t="s">
        <v>3512</v>
      </c>
      <c r="B774" s="3" t="str">
        <f t="shared" si="41"/>
        <v>Yes</v>
      </c>
      <c r="C774" s="3">
        <f t="shared" si="42"/>
        <v>446</v>
      </c>
      <c r="D774" s="5">
        <v>11511443263</v>
      </c>
      <c r="E774" s="4" t="s">
        <v>3513</v>
      </c>
      <c r="F774" s="4" t="s">
        <v>3514</v>
      </c>
      <c r="G774" s="4"/>
      <c r="H774" s="4" t="s">
        <v>34</v>
      </c>
      <c r="I774" s="4" t="s">
        <v>3515</v>
      </c>
      <c r="J774" s="6" t="s">
        <v>3516</v>
      </c>
      <c r="K774" s="4"/>
      <c r="L774" s="4" t="s">
        <v>657</v>
      </c>
      <c r="M774" s="4" t="s">
        <v>38</v>
      </c>
      <c r="N774" s="4"/>
      <c r="O774" s="4"/>
      <c r="P774" s="4" t="str">
        <f t="shared" si="43"/>
        <v>YES</v>
      </c>
    </row>
    <row r="775" spans="1:16" ht="13" x14ac:dyDescent="0.15">
      <c r="A775" s="4" t="s">
        <v>3517</v>
      </c>
      <c r="B775" s="3" t="str">
        <f t="shared" si="41"/>
        <v>mita.hartland@invitae.com</v>
      </c>
      <c r="C775" s="3">
        <f t="shared" si="42"/>
        <v>1</v>
      </c>
      <c r="D775" s="5">
        <v>25013908521</v>
      </c>
      <c r="E775" s="4" t="s">
        <v>3518</v>
      </c>
      <c r="F775" s="4" t="s">
        <v>3519</v>
      </c>
      <c r="G775" s="4" t="s">
        <v>34</v>
      </c>
      <c r="H775" s="4"/>
      <c r="I775" s="4" t="s">
        <v>3520</v>
      </c>
      <c r="J775" s="6" t="s">
        <v>3521</v>
      </c>
      <c r="K775" s="4"/>
      <c r="L775" s="4" t="s">
        <v>3522</v>
      </c>
      <c r="M775" s="4"/>
      <c r="N775" s="4"/>
      <c r="O775" s="4"/>
      <c r="P775" s="4" t="str">
        <f t="shared" si="43"/>
        <v>YES</v>
      </c>
    </row>
    <row r="776" spans="1:16" ht="13" x14ac:dyDescent="0.15">
      <c r="A776" s="4" t="s">
        <v>3523</v>
      </c>
      <c r="B776" s="3" t="str">
        <f t="shared" si="41"/>
        <v>Yes</v>
      </c>
      <c r="C776" s="3">
        <f t="shared" si="42"/>
        <v>446</v>
      </c>
      <c r="D776" s="5">
        <v>11514740017</v>
      </c>
      <c r="E776" s="4" t="s">
        <v>3524</v>
      </c>
      <c r="F776" s="4" t="s">
        <v>3525</v>
      </c>
      <c r="G776" s="4"/>
      <c r="H776" s="4" t="s">
        <v>34</v>
      </c>
      <c r="I776" s="4" t="s">
        <v>3526</v>
      </c>
      <c r="J776" s="6" t="s">
        <v>3527</v>
      </c>
      <c r="K776" s="4"/>
      <c r="L776" s="4" t="s">
        <v>3528</v>
      </c>
      <c r="M776" s="4" t="s">
        <v>38</v>
      </c>
      <c r="N776" s="4"/>
      <c r="O776" s="4"/>
      <c r="P776" s="4" t="str">
        <f t="shared" si="43"/>
        <v>YES</v>
      </c>
    </row>
    <row r="777" spans="1:16" ht="13" x14ac:dyDescent="0.15">
      <c r="A777" s="4" t="s">
        <v>3529</v>
      </c>
      <c r="B777" s="3" t="str">
        <f t="shared" si="41"/>
        <v>Yes</v>
      </c>
      <c r="C777" s="3">
        <f t="shared" si="42"/>
        <v>446</v>
      </c>
      <c r="D777" s="5">
        <v>11491769678</v>
      </c>
      <c r="E777" s="4" t="s">
        <v>3530</v>
      </c>
      <c r="F777" s="4" t="s">
        <v>2484</v>
      </c>
      <c r="G777" s="4"/>
      <c r="H777" s="4" t="s">
        <v>34</v>
      </c>
      <c r="I777" s="4" t="s">
        <v>3531</v>
      </c>
      <c r="J777" s="6" t="s">
        <v>3532</v>
      </c>
      <c r="K777" s="4"/>
      <c r="L777" s="4" t="s">
        <v>3533</v>
      </c>
      <c r="M777" s="4" t="s">
        <v>38</v>
      </c>
      <c r="N777" s="4"/>
      <c r="O777" s="4"/>
      <c r="P777" s="4" t="str">
        <f t="shared" si="43"/>
        <v>YES</v>
      </c>
    </row>
    <row r="778" spans="1:16" ht="13" x14ac:dyDescent="0.15">
      <c r="A778" s="4" t="s">
        <v>3534</v>
      </c>
      <c r="B778" s="3" t="str">
        <f t="shared" si="41"/>
        <v>Yes</v>
      </c>
      <c r="C778" s="3">
        <f t="shared" si="42"/>
        <v>446</v>
      </c>
      <c r="D778" s="5">
        <v>11514678182</v>
      </c>
      <c r="E778" s="4" t="s">
        <v>3535</v>
      </c>
      <c r="F778" s="4" t="s">
        <v>3536</v>
      </c>
      <c r="G778" s="4"/>
      <c r="H778" s="4" t="s">
        <v>34</v>
      </c>
      <c r="I778" s="4" t="s">
        <v>3537</v>
      </c>
      <c r="J778" s="6" t="s">
        <v>3538</v>
      </c>
      <c r="K778" s="4"/>
      <c r="L778" s="4" t="s">
        <v>3539</v>
      </c>
      <c r="M778" s="4" t="s">
        <v>38</v>
      </c>
      <c r="N778" s="4" t="s">
        <v>3540</v>
      </c>
      <c r="O778" s="4"/>
      <c r="P778" s="4" t="str">
        <f t="shared" si="43"/>
        <v>YES</v>
      </c>
    </row>
    <row r="779" spans="1:16" ht="15" x14ac:dyDescent="0.2">
      <c r="A779" s="2" t="s">
        <v>3541</v>
      </c>
      <c r="B779" s="3" t="str">
        <f t="shared" si="41"/>
        <v>ian.lewis@iqvia.com</v>
      </c>
      <c r="C779" s="3">
        <f t="shared" si="42"/>
        <v>1</v>
      </c>
      <c r="D779" s="2" t="s">
        <v>3542</v>
      </c>
      <c r="E779" s="2" t="s">
        <v>3235</v>
      </c>
      <c r="F779" s="2" t="s">
        <v>441</v>
      </c>
      <c r="I779" s="2" t="s">
        <v>3543</v>
      </c>
      <c r="L779" s="2" t="s">
        <v>3544</v>
      </c>
      <c r="M779" s="2" t="s">
        <v>45</v>
      </c>
    </row>
    <row r="780" spans="1:16" ht="15" x14ac:dyDescent="0.2">
      <c r="A780" s="2" t="s">
        <v>3541</v>
      </c>
      <c r="B780" s="3" t="str">
        <f t="shared" si="41"/>
        <v>jason.duvall@iqvia.com</v>
      </c>
      <c r="C780" s="3">
        <f t="shared" si="42"/>
        <v>1</v>
      </c>
      <c r="D780" s="2" t="s">
        <v>3545</v>
      </c>
      <c r="E780" s="2" t="s">
        <v>405</v>
      </c>
      <c r="F780" s="2" t="s">
        <v>3546</v>
      </c>
      <c r="I780" s="2" t="s">
        <v>3547</v>
      </c>
      <c r="L780" s="2" t="s">
        <v>3548</v>
      </c>
      <c r="M780" s="2" t="s">
        <v>45</v>
      </c>
    </row>
    <row r="781" spans="1:16" ht="13" x14ac:dyDescent="0.15">
      <c r="A781" s="4" t="s">
        <v>3549</v>
      </c>
      <c r="B781" s="3" t="str">
        <f t="shared" si="41"/>
        <v>Yes</v>
      </c>
      <c r="C781" s="3">
        <f t="shared" si="42"/>
        <v>446</v>
      </c>
      <c r="D781" s="5">
        <v>11496431279</v>
      </c>
      <c r="E781" s="4" t="s">
        <v>3550</v>
      </c>
      <c r="F781" s="4" t="s">
        <v>584</v>
      </c>
      <c r="G781" s="4"/>
      <c r="H781" s="4" t="s">
        <v>34</v>
      </c>
      <c r="I781" s="4" t="s">
        <v>3551</v>
      </c>
      <c r="J781" s="6" t="s">
        <v>3552</v>
      </c>
      <c r="K781" s="4"/>
      <c r="L781" s="4" t="s">
        <v>3553</v>
      </c>
      <c r="M781" s="4" t="s">
        <v>38</v>
      </c>
      <c r="N781" s="4"/>
      <c r="O781" s="4"/>
      <c r="P781" s="4" t="str">
        <f>IF(OR(M781="Customer", M781="Opportunity", H781="Yes", H781=TRUE, G781="Yes", G781=TRUE, O781&gt;0), "YES", "NO")</f>
        <v>YES</v>
      </c>
    </row>
    <row r="782" spans="1:16" ht="15" x14ac:dyDescent="0.2">
      <c r="A782" s="2" t="s">
        <v>3554</v>
      </c>
      <c r="B782" s="3" t="str">
        <f t="shared" si="41"/>
        <v>gjain@jacksonhealthcare.com</v>
      </c>
      <c r="C782" s="3">
        <f t="shared" si="42"/>
        <v>1</v>
      </c>
      <c r="D782" s="2" t="s">
        <v>3555</v>
      </c>
      <c r="E782" s="2" t="s">
        <v>3556</v>
      </c>
      <c r="F782" s="2" t="s">
        <v>3400</v>
      </c>
      <c r="I782" s="2" t="s">
        <v>3557</v>
      </c>
      <c r="L782" s="2" t="s">
        <v>309</v>
      </c>
      <c r="M782" s="2" t="s">
        <v>45</v>
      </c>
    </row>
    <row r="783" spans="1:16" ht="13" x14ac:dyDescent="0.15">
      <c r="A783" s="4" t="s">
        <v>3558</v>
      </c>
      <c r="B783" s="3" t="str">
        <f t="shared" si="41"/>
        <v>Yes</v>
      </c>
      <c r="C783" s="3">
        <f t="shared" si="42"/>
        <v>446</v>
      </c>
      <c r="D783" s="5">
        <v>2375</v>
      </c>
      <c r="E783" s="4" t="s">
        <v>3559</v>
      </c>
      <c r="F783" s="4" t="s">
        <v>3560</v>
      </c>
      <c r="G783" s="4"/>
      <c r="H783" s="4" t="s">
        <v>34</v>
      </c>
      <c r="I783" s="4" t="s">
        <v>3561</v>
      </c>
      <c r="J783" s="6" t="s">
        <v>3562</v>
      </c>
      <c r="K783" s="4"/>
      <c r="L783" s="4" t="s">
        <v>3563</v>
      </c>
      <c r="M783" s="4" t="s">
        <v>38</v>
      </c>
      <c r="N783" s="4"/>
      <c r="O783" s="4"/>
      <c r="P783" s="4" t="str">
        <f>IF(OR(M783="Customer", M783="Opportunity", H783="Yes", H783=TRUE, G783="Yes", G783=TRUE, O783&gt;0), "YES", "NO")</f>
        <v>YES</v>
      </c>
    </row>
    <row r="784" spans="1:16" ht="13" x14ac:dyDescent="0.15">
      <c r="A784" s="4" t="s">
        <v>3564</v>
      </c>
      <c r="B784" s="3" t="str">
        <f t="shared" si="41"/>
        <v>anthony.weiss@jefferson.edu</v>
      </c>
      <c r="C784" s="3">
        <f t="shared" si="42"/>
        <v>1</v>
      </c>
      <c r="D784" s="5">
        <v>25013295418</v>
      </c>
      <c r="E784" s="4" t="s">
        <v>358</v>
      </c>
      <c r="F784" s="4" t="s">
        <v>3565</v>
      </c>
      <c r="G784" s="4" t="s">
        <v>34</v>
      </c>
      <c r="H784" s="4"/>
      <c r="I784" s="4" t="s">
        <v>3566</v>
      </c>
      <c r="J784" s="6" t="s">
        <v>3567</v>
      </c>
      <c r="K784" s="4"/>
      <c r="L784" s="4" t="s">
        <v>3568</v>
      </c>
      <c r="M784" s="4"/>
      <c r="N784" s="4"/>
      <c r="O784" s="4"/>
      <c r="P784" s="4" t="str">
        <f>IF(OR(M784="Customer", M784="Opportunity", H784="Yes", H784=TRUE, G784="Yes", G784=TRUE, O784&gt;0), "YES", "NO")</f>
        <v>YES</v>
      </c>
    </row>
    <row r="785" spans="1:16" ht="13" x14ac:dyDescent="0.15">
      <c r="A785" s="4" t="s">
        <v>3564</v>
      </c>
      <c r="B785" s="3" t="str">
        <f t="shared" si="41"/>
        <v>aym430@jefferson.edu</v>
      </c>
      <c r="C785" s="3">
        <f t="shared" si="42"/>
        <v>1</v>
      </c>
      <c r="D785" s="5">
        <v>23773321326</v>
      </c>
      <c r="E785" s="4" t="s">
        <v>3569</v>
      </c>
      <c r="F785" s="4" t="s">
        <v>3342</v>
      </c>
      <c r="G785" s="4" t="s">
        <v>34</v>
      </c>
      <c r="H785" s="4"/>
      <c r="I785" s="4" t="s">
        <v>3570</v>
      </c>
      <c r="J785" s="6" t="s">
        <v>3567</v>
      </c>
      <c r="K785" s="4"/>
      <c r="L785" s="4" t="s">
        <v>1423</v>
      </c>
      <c r="M785" s="4" t="s">
        <v>1042</v>
      </c>
      <c r="N785" s="4"/>
      <c r="O785" s="4"/>
      <c r="P785" s="4" t="str">
        <f>IF(OR(M785="Customer", M785="Opportunity", H785="Yes", H785=TRUE, G785="Yes", G785=TRUE, O785&gt;0), "YES", "NO")</f>
        <v>YES</v>
      </c>
    </row>
    <row r="786" spans="1:16" ht="15" x14ac:dyDescent="0.2">
      <c r="A786" s="2" t="s">
        <v>3571</v>
      </c>
      <c r="B786" s="3" t="str">
        <f t="shared" si="41"/>
        <v>rweis@jeffersonhealthcare.org</v>
      </c>
      <c r="C786" s="3">
        <f t="shared" si="42"/>
        <v>1</v>
      </c>
      <c r="D786" s="2" t="s">
        <v>3572</v>
      </c>
      <c r="E786" s="2" t="s">
        <v>2707</v>
      </c>
      <c r="F786" s="2" t="s">
        <v>3573</v>
      </c>
      <c r="I786" s="2" t="s">
        <v>3574</v>
      </c>
      <c r="L786" s="2" t="s">
        <v>3575</v>
      </c>
      <c r="M786" s="2" t="s">
        <v>45</v>
      </c>
    </row>
    <row r="787" spans="1:16" ht="15" x14ac:dyDescent="0.2">
      <c r="A787" s="2" t="s">
        <v>3571</v>
      </c>
      <c r="B787" s="3" t="str">
        <f t="shared" si="41"/>
        <v>abirdsall@jeffersonhealthcare.org</v>
      </c>
      <c r="C787" s="3">
        <f t="shared" si="42"/>
        <v>1</v>
      </c>
      <c r="D787" s="2" t="s">
        <v>3576</v>
      </c>
      <c r="E787" s="2" t="s">
        <v>75</v>
      </c>
      <c r="F787" s="2" t="s">
        <v>3577</v>
      </c>
      <c r="I787" s="2" t="s">
        <v>3578</v>
      </c>
      <c r="L787" s="2" t="s">
        <v>3579</v>
      </c>
      <c r="M787" s="2" t="s">
        <v>45</v>
      </c>
    </row>
    <row r="788" spans="1:16" ht="13" x14ac:dyDescent="0.15">
      <c r="A788" s="6" t="s">
        <v>3580</v>
      </c>
      <c r="B788" s="3" t="str">
        <f t="shared" si="41"/>
        <v>Yes</v>
      </c>
      <c r="C788" s="3">
        <f t="shared" si="42"/>
        <v>446</v>
      </c>
      <c r="D788" s="5">
        <v>2756</v>
      </c>
      <c r="E788" s="4" t="s">
        <v>187</v>
      </c>
      <c r="F788" s="4" t="s">
        <v>3581</v>
      </c>
      <c r="G788" s="4"/>
      <c r="H788" s="4" t="s">
        <v>34</v>
      </c>
      <c r="I788" s="4" t="s">
        <v>3582</v>
      </c>
      <c r="J788" s="6" t="s">
        <v>3583</v>
      </c>
      <c r="K788" s="4"/>
      <c r="L788" s="4" t="s">
        <v>1388</v>
      </c>
      <c r="M788" s="4" t="s">
        <v>38</v>
      </c>
      <c r="N788" s="4"/>
      <c r="O788" s="4"/>
      <c r="P788" s="4" t="str">
        <f>IF(OR(M788="Customer", M788="Opportunity", H788="Yes", H788=TRUE, G788="Yes", G788=TRUE, O788&gt;0), "YES", "NO")</f>
        <v>YES</v>
      </c>
    </row>
    <row r="789" spans="1:16" ht="13" x14ac:dyDescent="0.15">
      <c r="A789" s="4" t="s">
        <v>3584</v>
      </c>
      <c r="B789" s="3" t="str">
        <f t="shared" si="41"/>
        <v>gharbiso@its.jnj.com</v>
      </c>
      <c r="C789" s="3">
        <f t="shared" si="42"/>
        <v>1</v>
      </c>
      <c r="D789" s="5">
        <v>25005888909</v>
      </c>
      <c r="E789" s="4" t="s">
        <v>603</v>
      </c>
      <c r="F789" s="4" t="s">
        <v>3585</v>
      </c>
      <c r="G789" s="4" t="s">
        <v>34</v>
      </c>
      <c r="H789" s="4"/>
      <c r="I789" s="4" t="s">
        <v>3586</v>
      </c>
      <c r="J789" s="6" t="s">
        <v>3587</v>
      </c>
      <c r="K789" s="4"/>
      <c r="L789" s="4" t="s">
        <v>681</v>
      </c>
      <c r="M789" s="4"/>
      <c r="N789" s="4"/>
      <c r="O789" s="4"/>
      <c r="P789" s="4" t="str">
        <f>IF(OR(M789="Customer", M789="Opportunity", H789="Yes", H789=TRUE, G789="Yes", G789=TRUE, O789&gt;0), "YES", "NO")</f>
        <v>YES</v>
      </c>
    </row>
    <row r="790" spans="1:16" ht="13" x14ac:dyDescent="0.15">
      <c r="A790" s="4" t="s">
        <v>3584</v>
      </c>
      <c r="B790" s="3" t="str">
        <f t="shared" si="41"/>
        <v>amancuso@its.jnj.com</v>
      </c>
      <c r="C790" s="3">
        <f t="shared" si="42"/>
        <v>1</v>
      </c>
      <c r="D790" s="5">
        <v>25021567519</v>
      </c>
      <c r="E790" s="4" t="s">
        <v>75</v>
      </c>
      <c r="F790" s="4" t="s">
        <v>3588</v>
      </c>
      <c r="G790" s="4" t="s">
        <v>34</v>
      </c>
      <c r="H790" s="4"/>
      <c r="I790" s="4" t="s">
        <v>3589</v>
      </c>
      <c r="J790" s="6" t="s">
        <v>3587</v>
      </c>
      <c r="K790" s="4"/>
      <c r="L790" s="4" t="s">
        <v>3590</v>
      </c>
      <c r="M790" s="4"/>
      <c r="N790" s="4"/>
      <c r="O790" s="4"/>
      <c r="P790" s="4" t="str">
        <f>IF(OR(M790="Customer", M790="Opportunity", H790="Yes", H790=TRUE, G790="Yes", G790=TRUE, O790&gt;0), "YES", "NO")</f>
        <v>YES</v>
      </c>
    </row>
    <row r="791" spans="1:16" ht="13" x14ac:dyDescent="0.15">
      <c r="A791" s="4" t="s">
        <v>3584</v>
      </c>
      <c r="B791" s="3" t="str">
        <f t="shared" si="41"/>
        <v>rhaack@its.jnj.com</v>
      </c>
      <c r="C791" s="3">
        <f t="shared" si="42"/>
        <v>1</v>
      </c>
      <c r="D791" s="5">
        <v>25011873686</v>
      </c>
      <c r="E791" s="4" t="s">
        <v>3591</v>
      </c>
      <c r="F791" s="4" t="s">
        <v>3592</v>
      </c>
      <c r="G791" s="4" t="s">
        <v>34</v>
      </c>
      <c r="H791" s="4"/>
      <c r="I791" s="4" t="s">
        <v>3593</v>
      </c>
      <c r="J791" s="6" t="s">
        <v>3587</v>
      </c>
      <c r="K791" s="4"/>
      <c r="L791" s="4" t="s">
        <v>3594</v>
      </c>
      <c r="M791" s="4"/>
      <c r="N791" s="4"/>
      <c r="O791" s="4"/>
      <c r="P791" s="4" t="str">
        <f>IF(OR(M791="Customer", M791="Opportunity", H791="Yes", H791=TRUE, G791="Yes", G791=TRUE, O791&gt;0), "YES", "NO")</f>
        <v>YES</v>
      </c>
    </row>
    <row r="792" spans="1:16" ht="15" x14ac:dyDescent="0.2">
      <c r="A792" s="2" t="s">
        <v>3584</v>
      </c>
      <c r="B792" s="3" t="str">
        <f t="shared" si="41"/>
        <v>mmartori@jnj.com</v>
      </c>
      <c r="C792" s="3">
        <f t="shared" si="42"/>
        <v>1</v>
      </c>
      <c r="D792" s="2" t="s">
        <v>3595</v>
      </c>
      <c r="E792" s="2" t="s">
        <v>3596</v>
      </c>
      <c r="F792" s="2" t="s">
        <v>3597</v>
      </c>
      <c r="I792" s="2" t="s">
        <v>3598</v>
      </c>
      <c r="L792" s="2" t="s">
        <v>3599</v>
      </c>
      <c r="M792" s="2" t="s">
        <v>45</v>
      </c>
    </row>
    <row r="793" spans="1:16" ht="15" x14ac:dyDescent="0.2">
      <c r="A793" s="2" t="s">
        <v>3584</v>
      </c>
      <c r="B793" s="3" t="str">
        <f t="shared" si="41"/>
        <v>pkostenbader@jnj.com</v>
      </c>
      <c r="C793" s="3">
        <f t="shared" si="42"/>
        <v>1</v>
      </c>
      <c r="D793" s="2" t="s">
        <v>3600</v>
      </c>
      <c r="E793" s="2" t="s">
        <v>3601</v>
      </c>
      <c r="F793" s="2" t="s">
        <v>3602</v>
      </c>
      <c r="I793" s="2" t="s">
        <v>3603</v>
      </c>
      <c r="L793" s="2" t="s">
        <v>3604</v>
      </c>
      <c r="M793" s="2" t="s">
        <v>45</v>
      </c>
    </row>
    <row r="794" spans="1:16" ht="15" x14ac:dyDescent="0.2">
      <c r="A794" s="2" t="s">
        <v>3584</v>
      </c>
      <c r="B794" s="3" t="str">
        <f t="shared" si="41"/>
        <v>rrahimi@jnj.com</v>
      </c>
      <c r="C794" s="3">
        <f t="shared" si="42"/>
        <v>1</v>
      </c>
      <c r="D794" s="2" t="s">
        <v>3605</v>
      </c>
      <c r="E794" s="2" t="s">
        <v>3606</v>
      </c>
      <c r="F794" s="2" t="s">
        <v>3607</v>
      </c>
      <c r="I794" s="2" t="s">
        <v>3608</v>
      </c>
      <c r="L794" s="2" t="s">
        <v>3609</v>
      </c>
      <c r="M794" s="2" t="s">
        <v>45</v>
      </c>
    </row>
    <row r="795" spans="1:16" ht="15" x14ac:dyDescent="0.2">
      <c r="A795" s="2" t="s">
        <v>3584</v>
      </c>
      <c r="B795" s="3" t="str">
        <f t="shared" si="41"/>
        <v>kesbeck@jnj.com</v>
      </c>
      <c r="C795" s="3">
        <f t="shared" si="42"/>
        <v>1</v>
      </c>
      <c r="D795" s="2" t="s">
        <v>3610</v>
      </c>
      <c r="E795" s="2" t="s">
        <v>3611</v>
      </c>
      <c r="F795" s="2" t="s">
        <v>3612</v>
      </c>
      <c r="I795" s="2" t="s">
        <v>3613</v>
      </c>
      <c r="L795" s="2" t="s">
        <v>3614</v>
      </c>
      <c r="M795" s="2" t="s">
        <v>45</v>
      </c>
    </row>
    <row r="796" spans="1:16" ht="15" x14ac:dyDescent="0.2">
      <c r="A796" s="2" t="s">
        <v>3584</v>
      </c>
      <c r="B796" s="3" t="str">
        <f t="shared" si="41"/>
        <v>ewalsh@jnj.com</v>
      </c>
      <c r="C796" s="3">
        <f t="shared" si="42"/>
        <v>1</v>
      </c>
      <c r="D796" s="2" t="s">
        <v>3615</v>
      </c>
      <c r="E796" s="2" t="s">
        <v>3616</v>
      </c>
      <c r="F796" s="2" t="s">
        <v>2971</v>
      </c>
      <c r="I796" s="2" t="s">
        <v>3617</v>
      </c>
      <c r="L796" s="2" t="s">
        <v>3618</v>
      </c>
      <c r="M796" s="2" t="s">
        <v>45</v>
      </c>
    </row>
    <row r="797" spans="1:16" ht="15" x14ac:dyDescent="0.2">
      <c r="A797" s="2" t="s">
        <v>3584</v>
      </c>
      <c r="B797" s="3" t="str">
        <f t="shared" si="41"/>
        <v>bmccarty@jnj.com</v>
      </c>
      <c r="C797" s="3">
        <f t="shared" si="42"/>
        <v>1</v>
      </c>
      <c r="D797" s="2" t="s">
        <v>3619</v>
      </c>
      <c r="E797" s="2" t="s">
        <v>3620</v>
      </c>
      <c r="F797" s="2" t="s">
        <v>3621</v>
      </c>
      <c r="I797" s="2" t="s">
        <v>3622</v>
      </c>
      <c r="L797" s="2" t="s">
        <v>3623</v>
      </c>
      <c r="M797" s="2" t="s">
        <v>45</v>
      </c>
    </row>
    <row r="798" spans="1:16" ht="15" x14ac:dyDescent="0.2">
      <c r="A798" s="2" t="s">
        <v>3584</v>
      </c>
      <c r="B798" s="3" t="str">
        <f t="shared" si="41"/>
        <v>ltremper@jnj.com</v>
      </c>
      <c r="C798" s="3">
        <f t="shared" si="42"/>
        <v>1</v>
      </c>
      <c r="D798" s="2" t="s">
        <v>3624</v>
      </c>
      <c r="E798" s="2" t="s">
        <v>3625</v>
      </c>
      <c r="F798" s="2" t="s">
        <v>3626</v>
      </c>
      <c r="I798" s="2" t="s">
        <v>3627</v>
      </c>
      <c r="L798" s="2" t="s">
        <v>3628</v>
      </c>
      <c r="M798" s="2" t="s">
        <v>45</v>
      </c>
    </row>
    <row r="799" spans="1:16" ht="15" x14ac:dyDescent="0.2">
      <c r="A799" s="2" t="s">
        <v>3584</v>
      </c>
      <c r="B799" s="3" t="str">
        <f t="shared" si="41"/>
        <v>dmaina@jnj.com</v>
      </c>
      <c r="C799" s="3">
        <f t="shared" si="42"/>
        <v>1</v>
      </c>
      <c r="D799" s="2" t="s">
        <v>3629</v>
      </c>
      <c r="E799" s="2" t="s">
        <v>119</v>
      </c>
      <c r="F799" s="2" t="s">
        <v>3630</v>
      </c>
      <c r="I799" s="2" t="s">
        <v>3631</v>
      </c>
      <c r="L799" s="2" t="s">
        <v>3632</v>
      </c>
      <c r="M799" s="2" t="s">
        <v>45</v>
      </c>
    </row>
    <row r="800" spans="1:16" ht="15" x14ac:dyDescent="0.2">
      <c r="A800" s="2" t="s">
        <v>3584</v>
      </c>
      <c r="B800" s="3" t="str">
        <f t="shared" si="41"/>
        <v>jtalley@jnj.com</v>
      </c>
      <c r="C800" s="3">
        <f t="shared" si="42"/>
        <v>1</v>
      </c>
      <c r="D800" s="2" t="s">
        <v>3633</v>
      </c>
      <c r="E800" s="2" t="s">
        <v>3634</v>
      </c>
      <c r="F800" s="2" t="s">
        <v>3635</v>
      </c>
      <c r="I800" s="2" t="s">
        <v>3636</v>
      </c>
      <c r="L800" s="2" t="s">
        <v>3637</v>
      </c>
      <c r="M800" s="2" t="s">
        <v>45</v>
      </c>
    </row>
    <row r="801" spans="1:13" ht="15" x14ac:dyDescent="0.2">
      <c r="A801" s="2" t="s">
        <v>3584</v>
      </c>
      <c r="B801" s="3" t="str">
        <f t="shared" si="41"/>
        <v>zgardner@jnj.com</v>
      </c>
      <c r="C801" s="3">
        <f t="shared" si="42"/>
        <v>1</v>
      </c>
      <c r="D801" s="2" t="s">
        <v>3638</v>
      </c>
      <c r="E801" s="2" t="s">
        <v>1460</v>
      </c>
      <c r="F801" s="2" t="s">
        <v>2059</v>
      </c>
      <c r="I801" s="2" t="s">
        <v>3639</v>
      </c>
      <c r="L801" s="2" t="s">
        <v>3640</v>
      </c>
      <c r="M801" s="2" t="s">
        <v>45</v>
      </c>
    </row>
    <row r="802" spans="1:13" ht="15" x14ac:dyDescent="0.2">
      <c r="A802" s="2" t="s">
        <v>3584</v>
      </c>
      <c r="B802" s="3" t="str">
        <f t="shared" si="41"/>
        <v>cvuppalamarthi@jnj.com</v>
      </c>
      <c r="C802" s="3">
        <f t="shared" si="42"/>
        <v>1</v>
      </c>
      <c r="D802" s="2" t="s">
        <v>3641</v>
      </c>
      <c r="E802" s="2" t="s">
        <v>3642</v>
      </c>
      <c r="F802" s="2" t="s">
        <v>3643</v>
      </c>
      <c r="I802" s="2" t="s">
        <v>3644</v>
      </c>
      <c r="L802" s="2" t="s">
        <v>3645</v>
      </c>
      <c r="M802" s="2" t="s">
        <v>45</v>
      </c>
    </row>
    <row r="803" spans="1:13" ht="15" x14ac:dyDescent="0.2">
      <c r="A803" s="2" t="s">
        <v>3584</v>
      </c>
      <c r="B803" s="3" t="str">
        <f t="shared" si="41"/>
        <v>mcushman@jnj.com</v>
      </c>
      <c r="C803" s="3">
        <f t="shared" si="42"/>
        <v>1</v>
      </c>
      <c r="D803" s="2" t="s">
        <v>3646</v>
      </c>
      <c r="E803" s="2" t="s">
        <v>59</v>
      </c>
      <c r="F803" s="2" t="s">
        <v>3647</v>
      </c>
      <c r="I803" s="2" t="s">
        <v>3648</v>
      </c>
      <c r="L803" s="2" t="s">
        <v>3649</v>
      </c>
      <c r="M803" s="2" t="s">
        <v>45</v>
      </c>
    </row>
    <row r="804" spans="1:13" ht="15" x14ac:dyDescent="0.2">
      <c r="A804" s="2" t="s">
        <v>3584</v>
      </c>
      <c r="B804" s="3" t="str">
        <f t="shared" si="41"/>
        <v>athomas@jnj.com</v>
      </c>
      <c r="C804" s="3">
        <f t="shared" si="42"/>
        <v>1</v>
      </c>
      <c r="D804" s="2" t="s">
        <v>3650</v>
      </c>
      <c r="E804" s="2" t="s">
        <v>293</v>
      </c>
      <c r="F804" s="2" t="s">
        <v>1126</v>
      </c>
      <c r="I804" s="2" t="s">
        <v>3651</v>
      </c>
      <c r="L804" s="2" t="s">
        <v>73</v>
      </c>
      <c r="M804" s="2" t="s">
        <v>45</v>
      </c>
    </row>
    <row r="805" spans="1:13" ht="15" x14ac:dyDescent="0.2">
      <c r="A805" s="2" t="s">
        <v>3584</v>
      </c>
      <c r="B805" s="3" t="str">
        <f t="shared" si="41"/>
        <v>amorgan@jnj.com</v>
      </c>
      <c r="C805" s="3">
        <f t="shared" si="42"/>
        <v>1</v>
      </c>
      <c r="D805" s="2" t="s">
        <v>3652</v>
      </c>
      <c r="E805" s="2" t="s">
        <v>2614</v>
      </c>
      <c r="F805" s="2" t="s">
        <v>389</v>
      </c>
      <c r="I805" s="2" t="s">
        <v>3653</v>
      </c>
      <c r="L805" s="2" t="s">
        <v>3654</v>
      </c>
      <c r="M805" s="2" t="s">
        <v>45</v>
      </c>
    </row>
    <row r="806" spans="1:13" ht="15" x14ac:dyDescent="0.2">
      <c r="A806" s="2" t="s">
        <v>3584</v>
      </c>
      <c r="B806" s="3" t="str">
        <f t="shared" si="41"/>
        <v>dking@jnj.com</v>
      </c>
      <c r="C806" s="3">
        <f t="shared" si="42"/>
        <v>1</v>
      </c>
      <c r="D806" s="2" t="s">
        <v>3655</v>
      </c>
      <c r="E806" s="2" t="s">
        <v>3656</v>
      </c>
      <c r="F806" s="2" t="s">
        <v>3657</v>
      </c>
      <c r="I806" s="2" t="s">
        <v>3658</v>
      </c>
      <c r="L806" s="2" t="s">
        <v>3659</v>
      </c>
      <c r="M806" s="2" t="s">
        <v>45</v>
      </c>
    </row>
    <row r="807" spans="1:13" ht="15" x14ac:dyDescent="0.2">
      <c r="A807" s="2" t="s">
        <v>3584</v>
      </c>
      <c r="B807" s="3" t="str">
        <f t="shared" si="41"/>
        <v>saustin@jnj.com</v>
      </c>
      <c r="C807" s="3">
        <f t="shared" si="42"/>
        <v>1</v>
      </c>
      <c r="D807" s="2" t="s">
        <v>3660</v>
      </c>
      <c r="E807" s="2" t="s">
        <v>3661</v>
      </c>
      <c r="F807" s="2" t="s">
        <v>1493</v>
      </c>
      <c r="I807" s="2" t="s">
        <v>3662</v>
      </c>
      <c r="L807" s="2" t="s">
        <v>3663</v>
      </c>
      <c r="M807" s="2" t="s">
        <v>22</v>
      </c>
    </row>
    <row r="808" spans="1:13" ht="15" x14ac:dyDescent="0.2">
      <c r="A808" s="2" t="s">
        <v>3584</v>
      </c>
      <c r="B808" s="3" t="str">
        <f t="shared" si="41"/>
        <v>ckuonen@jnj.com</v>
      </c>
      <c r="C808" s="3">
        <f t="shared" si="42"/>
        <v>1</v>
      </c>
      <c r="D808" s="2" t="s">
        <v>3664</v>
      </c>
      <c r="E808" s="2" t="s">
        <v>1652</v>
      </c>
      <c r="F808" s="2" t="s">
        <v>3665</v>
      </c>
      <c r="I808" s="2" t="s">
        <v>3666</v>
      </c>
      <c r="L808" s="2" t="s">
        <v>3667</v>
      </c>
      <c r="M808" s="2" t="s">
        <v>45</v>
      </c>
    </row>
    <row r="809" spans="1:13" ht="15" x14ac:dyDescent="0.2">
      <c r="A809" s="2" t="s">
        <v>3584</v>
      </c>
      <c r="B809" s="3" t="str">
        <f t="shared" si="41"/>
        <v>prangaraj@jnj.com</v>
      </c>
      <c r="C809" s="3">
        <f t="shared" si="42"/>
        <v>1</v>
      </c>
      <c r="D809" s="2" t="s">
        <v>3668</v>
      </c>
      <c r="E809" s="2" t="s">
        <v>3669</v>
      </c>
      <c r="F809" s="2" t="s">
        <v>3670</v>
      </c>
      <c r="I809" s="2" t="s">
        <v>3671</v>
      </c>
      <c r="L809" s="2" t="s">
        <v>3672</v>
      </c>
      <c r="M809" s="2" t="s">
        <v>45</v>
      </c>
    </row>
    <row r="810" spans="1:13" ht="15" x14ac:dyDescent="0.2">
      <c r="A810" s="2" t="s">
        <v>3584</v>
      </c>
      <c r="B810" s="3" t="str">
        <f t="shared" si="41"/>
        <v>kdavis-fletcher@jnj.com</v>
      </c>
      <c r="C810" s="3">
        <f t="shared" si="42"/>
        <v>1</v>
      </c>
      <c r="D810" s="2" t="s">
        <v>3673</v>
      </c>
      <c r="E810" s="2" t="s">
        <v>3674</v>
      </c>
      <c r="F810" s="2" t="s">
        <v>3675</v>
      </c>
      <c r="I810" s="2" t="s">
        <v>3676</v>
      </c>
      <c r="L810" s="2" t="s">
        <v>3677</v>
      </c>
      <c r="M810" s="2" t="s">
        <v>45</v>
      </c>
    </row>
    <row r="811" spans="1:13" ht="15" x14ac:dyDescent="0.2">
      <c r="A811" s="2" t="s">
        <v>3584</v>
      </c>
      <c r="B811" s="3" t="str">
        <f t="shared" si="41"/>
        <v>qoliver@jnj.com</v>
      </c>
      <c r="C811" s="3">
        <f t="shared" si="42"/>
        <v>1</v>
      </c>
      <c r="D811" s="2" t="s">
        <v>3678</v>
      </c>
      <c r="E811" s="2" t="s">
        <v>3679</v>
      </c>
      <c r="F811" s="2" t="s">
        <v>2202</v>
      </c>
      <c r="I811" s="2" t="s">
        <v>3680</v>
      </c>
      <c r="L811" s="2" t="s">
        <v>132</v>
      </c>
      <c r="M811" s="2" t="s">
        <v>45</v>
      </c>
    </row>
    <row r="812" spans="1:13" ht="15" x14ac:dyDescent="0.2">
      <c r="A812" s="2" t="s">
        <v>3584</v>
      </c>
      <c r="B812" s="3" t="str">
        <f t="shared" si="41"/>
        <v>cfrye@jnj.com</v>
      </c>
      <c r="C812" s="3">
        <f t="shared" si="42"/>
        <v>1</v>
      </c>
      <c r="D812" s="2" t="s">
        <v>3681</v>
      </c>
      <c r="E812" s="2" t="s">
        <v>70</v>
      </c>
      <c r="F812" s="2" t="s">
        <v>3682</v>
      </c>
      <c r="I812" s="2" t="s">
        <v>3683</v>
      </c>
      <c r="L812" s="2" t="s">
        <v>3684</v>
      </c>
      <c r="M812" s="2" t="s">
        <v>45</v>
      </c>
    </row>
    <row r="813" spans="1:13" ht="15" x14ac:dyDescent="0.2">
      <c r="A813" s="2" t="s">
        <v>3584</v>
      </c>
      <c r="B813" s="3" t="str">
        <f t="shared" si="41"/>
        <v>bkrauss@jnj.com</v>
      </c>
      <c r="C813" s="3">
        <f t="shared" si="42"/>
        <v>1</v>
      </c>
      <c r="D813" s="2" t="s">
        <v>3685</v>
      </c>
      <c r="E813" s="2" t="s">
        <v>1849</v>
      </c>
      <c r="F813" s="2" t="s">
        <v>3686</v>
      </c>
      <c r="I813" s="2" t="s">
        <v>3687</v>
      </c>
      <c r="L813" s="2" t="s">
        <v>3688</v>
      </c>
      <c r="M813" s="2" t="s">
        <v>45</v>
      </c>
    </row>
    <row r="814" spans="1:13" ht="15" x14ac:dyDescent="0.2">
      <c r="A814" s="2" t="s">
        <v>3584</v>
      </c>
      <c r="B814" s="3" t="str">
        <f t="shared" si="41"/>
        <v>wdoyle@jnj.com</v>
      </c>
      <c r="C814" s="3">
        <f t="shared" si="42"/>
        <v>1</v>
      </c>
      <c r="D814" s="2" t="s">
        <v>3689</v>
      </c>
      <c r="E814" s="2" t="s">
        <v>18</v>
      </c>
      <c r="F814" s="2" t="s">
        <v>3690</v>
      </c>
      <c r="I814" s="2" t="s">
        <v>3691</v>
      </c>
      <c r="L814" s="2" t="s">
        <v>3692</v>
      </c>
      <c r="M814" s="2" t="s">
        <v>45</v>
      </c>
    </row>
    <row r="815" spans="1:13" ht="15" x14ac:dyDescent="0.2">
      <c r="A815" s="2" t="s">
        <v>3584</v>
      </c>
      <c r="B815" s="3" t="str">
        <f t="shared" si="41"/>
        <v>ekruse@jnj.com</v>
      </c>
      <c r="C815" s="3">
        <f t="shared" si="42"/>
        <v>1</v>
      </c>
      <c r="D815" s="2" t="s">
        <v>3693</v>
      </c>
      <c r="E815" s="2" t="s">
        <v>109</v>
      </c>
      <c r="F815" s="2" t="s">
        <v>1153</v>
      </c>
      <c r="I815" s="2" t="s">
        <v>3694</v>
      </c>
      <c r="L815" s="2" t="s">
        <v>3695</v>
      </c>
      <c r="M815" s="2" t="s">
        <v>45</v>
      </c>
    </row>
    <row r="816" spans="1:13" ht="15" x14ac:dyDescent="0.2">
      <c r="A816" s="2" t="s">
        <v>3584</v>
      </c>
      <c r="B816" s="3" t="str">
        <f t="shared" si="41"/>
        <v>rburgos@jnj.com</v>
      </c>
      <c r="C816" s="3">
        <f t="shared" si="42"/>
        <v>1</v>
      </c>
      <c r="D816" s="2" t="s">
        <v>3696</v>
      </c>
      <c r="E816" s="2" t="s">
        <v>3697</v>
      </c>
      <c r="F816" s="2" t="s">
        <v>3698</v>
      </c>
      <c r="I816" s="2" t="s">
        <v>3699</v>
      </c>
      <c r="L816" s="2" t="s">
        <v>3700</v>
      </c>
      <c r="M816" s="2" t="s">
        <v>45</v>
      </c>
    </row>
    <row r="817" spans="1:13" ht="15" x14ac:dyDescent="0.2">
      <c r="A817" s="2" t="s">
        <v>3584</v>
      </c>
      <c r="B817" s="3" t="str">
        <f t="shared" si="41"/>
        <v>scunningham@jnj.com</v>
      </c>
      <c r="C817" s="3">
        <f t="shared" si="42"/>
        <v>1</v>
      </c>
      <c r="D817" s="2" t="s">
        <v>3701</v>
      </c>
      <c r="E817" s="2" t="s">
        <v>3702</v>
      </c>
      <c r="F817" s="2" t="s">
        <v>3703</v>
      </c>
      <c r="I817" s="2" t="s">
        <v>3704</v>
      </c>
      <c r="L817" s="2" t="s">
        <v>3705</v>
      </c>
      <c r="M817" s="2" t="s">
        <v>45</v>
      </c>
    </row>
    <row r="818" spans="1:13" ht="15" x14ac:dyDescent="0.2">
      <c r="A818" s="2" t="s">
        <v>3584</v>
      </c>
      <c r="B818" s="3" t="str">
        <f t="shared" si="41"/>
        <v>asnyder@jnj.com</v>
      </c>
      <c r="C818" s="3">
        <f t="shared" si="42"/>
        <v>1</v>
      </c>
      <c r="D818" s="2" t="s">
        <v>3706</v>
      </c>
      <c r="E818" s="2" t="s">
        <v>417</v>
      </c>
      <c r="F818" s="2" t="s">
        <v>3707</v>
      </c>
      <c r="I818" s="2" t="s">
        <v>3708</v>
      </c>
      <c r="L818" s="2" t="s">
        <v>3709</v>
      </c>
      <c r="M818" s="2" t="s">
        <v>45</v>
      </c>
    </row>
    <row r="819" spans="1:13" ht="15" x14ac:dyDescent="0.2">
      <c r="A819" s="2" t="s">
        <v>3584</v>
      </c>
      <c r="B819" s="3" t="str">
        <f t="shared" si="41"/>
        <v>rthakkar@jnj.com</v>
      </c>
      <c r="C819" s="3">
        <f t="shared" si="42"/>
        <v>1</v>
      </c>
      <c r="D819" s="2" t="s">
        <v>3710</v>
      </c>
      <c r="E819" s="2" t="s">
        <v>3711</v>
      </c>
      <c r="F819" s="2" t="s">
        <v>3712</v>
      </c>
      <c r="I819" s="2" t="s">
        <v>3713</v>
      </c>
      <c r="L819" s="2" t="s">
        <v>3714</v>
      </c>
      <c r="M819" s="2" t="s">
        <v>45</v>
      </c>
    </row>
    <row r="820" spans="1:13" ht="15" x14ac:dyDescent="0.2">
      <c r="A820" s="2" t="s">
        <v>3584</v>
      </c>
      <c r="B820" s="3" t="str">
        <f t="shared" si="41"/>
        <v>sayers@jnj.com</v>
      </c>
      <c r="C820" s="3">
        <f t="shared" si="42"/>
        <v>1</v>
      </c>
      <c r="D820" s="2" t="s">
        <v>3715</v>
      </c>
      <c r="E820" s="2" t="s">
        <v>3716</v>
      </c>
      <c r="F820" s="2" t="s">
        <v>3717</v>
      </c>
      <c r="I820" s="2" t="s">
        <v>3718</v>
      </c>
      <c r="L820" s="2" t="s">
        <v>3719</v>
      </c>
      <c r="M820" s="2" t="s">
        <v>45</v>
      </c>
    </row>
    <row r="821" spans="1:13" ht="15" x14ac:dyDescent="0.2">
      <c r="A821" s="2" t="s">
        <v>3584</v>
      </c>
      <c r="B821" s="3" t="str">
        <f t="shared" si="41"/>
        <v>lforrest@jnj.com</v>
      </c>
      <c r="C821" s="3">
        <f t="shared" si="42"/>
        <v>1</v>
      </c>
      <c r="D821" s="2" t="s">
        <v>3720</v>
      </c>
      <c r="E821" s="2" t="s">
        <v>774</v>
      </c>
      <c r="F821" s="2" t="s">
        <v>3721</v>
      </c>
      <c r="I821" s="2" t="s">
        <v>3722</v>
      </c>
      <c r="L821" s="2" t="s">
        <v>195</v>
      </c>
      <c r="M821" s="2" t="s">
        <v>45</v>
      </c>
    </row>
    <row r="822" spans="1:13" ht="15" x14ac:dyDescent="0.2">
      <c r="A822" s="2" t="s">
        <v>3584</v>
      </c>
      <c r="B822" s="3" t="str">
        <f t="shared" si="41"/>
        <v>dbaumlin@jnj.com</v>
      </c>
      <c r="C822" s="3">
        <f t="shared" si="42"/>
        <v>1</v>
      </c>
      <c r="D822" s="2" t="s">
        <v>3723</v>
      </c>
      <c r="E822" s="2" t="s">
        <v>1465</v>
      </c>
      <c r="F822" s="2" t="s">
        <v>3724</v>
      </c>
      <c r="I822" s="2" t="s">
        <v>3725</v>
      </c>
      <c r="L822" s="2" t="s">
        <v>3726</v>
      </c>
      <c r="M822" s="2" t="s">
        <v>45</v>
      </c>
    </row>
    <row r="823" spans="1:13" ht="15" x14ac:dyDescent="0.2">
      <c r="A823" s="2" t="s">
        <v>3584</v>
      </c>
      <c r="B823" s="3" t="str">
        <f t="shared" si="41"/>
        <v>mramesh@jnj.com</v>
      </c>
      <c r="C823" s="3">
        <f t="shared" si="42"/>
        <v>1</v>
      </c>
      <c r="D823" s="2" t="s">
        <v>3727</v>
      </c>
      <c r="E823" s="2" t="s">
        <v>3728</v>
      </c>
      <c r="F823" s="2" t="s">
        <v>460</v>
      </c>
      <c r="I823" s="2" t="s">
        <v>3729</v>
      </c>
      <c r="L823" s="2" t="s">
        <v>3730</v>
      </c>
      <c r="M823" s="2" t="s">
        <v>45</v>
      </c>
    </row>
    <row r="824" spans="1:13" ht="15" x14ac:dyDescent="0.2">
      <c r="A824" s="2" t="s">
        <v>3584</v>
      </c>
      <c r="B824" s="3" t="str">
        <f t="shared" si="41"/>
        <v>escott@jnj.com</v>
      </c>
      <c r="C824" s="3">
        <f t="shared" si="42"/>
        <v>1</v>
      </c>
      <c r="D824" s="2" t="s">
        <v>3731</v>
      </c>
      <c r="E824" s="2" t="s">
        <v>3732</v>
      </c>
      <c r="F824" s="2" t="s">
        <v>794</v>
      </c>
      <c r="I824" s="2" t="s">
        <v>3733</v>
      </c>
      <c r="L824" s="2" t="s">
        <v>3734</v>
      </c>
      <c r="M824" s="2" t="s">
        <v>45</v>
      </c>
    </row>
    <row r="825" spans="1:13" ht="15" x14ac:dyDescent="0.2">
      <c r="A825" s="2" t="s">
        <v>3584</v>
      </c>
      <c r="B825" s="3" t="str">
        <f t="shared" si="41"/>
        <v>basaha@jnj.com</v>
      </c>
      <c r="C825" s="3">
        <f t="shared" si="42"/>
        <v>1</v>
      </c>
      <c r="D825" s="2" t="s">
        <v>3735</v>
      </c>
      <c r="E825" s="2" t="s">
        <v>3736</v>
      </c>
      <c r="F825" s="2" t="s">
        <v>3737</v>
      </c>
      <c r="I825" s="2" t="s">
        <v>3738</v>
      </c>
      <c r="L825" s="2" t="s">
        <v>3739</v>
      </c>
      <c r="M825" s="2" t="s">
        <v>45</v>
      </c>
    </row>
    <row r="826" spans="1:13" ht="15" x14ac:dyDescent="0.2">
      <c r="A826" s="2" t="s">
        <v>3584</v>
      </c>
      <c r="B826" s="3" t="str">
        <f t="shared" si="41"/>
        <v>wkoba@jnj.com</v>
      </c>
      <c r="C826" s="3">
        <f t="shared" si="42"/>
        <v>1</v>
      </c>
      <c r="D826" s="2" t="s">
        <v>3740</v>
      </c>
      <c r="E826" s="2" t="s">
        <v>1317</v>
      </c>
      <c r="F826" s="2" t="s">
        <v>3741</v>
      </c>
      <c r="I826" s="2" t="s">
        <v>3742</v>
      </c>
      <c r="L826" s="2" t="s">
        <v>3743</v>
      </c>
      <c r="M826" s="2" t="s">
        <v>45</v>
      </c>
    </row>
    <row r="827" spans="1:13" ht="15" x14ac:dyDescent="0.2">
      <c r="A827" s="2" t="s">
        <v>3584</v>
      </c>
      <c r="B827" s="3" t="str">
        <f t="shared" si="41"/>
        <v>amunuswamy@jnj.com</v>
      </c>
      <c r="C827" s="3">
        <f t="shared" si="42"/>
        <v>1</v>
      </c>
      <c r="D827" s="2" t="s">
        <v>3744</v>
      </c>
      <c r="E827" s="2" t="s">
        <v>3745</v>
      </c>
      <c r="F827" s="2" t="s">
        <v>3746</v>
      </c>
      <c r="I827" s="2" t="s">
        <v>3747</v>
      </c>
      <c r="L827" s="2" t="s">
        <v>3748</v>
      </c>
      <c r="M827" s="2" t="s">
        <v>45</v>
      </c>
    </row>
    <row r="828" spans="1:13" ht="15" x14ac:dyDescent="0.2">
      <c r="A828" s="2" t="s">
        <v>3584</v>
      </c>
      <c r="B828" s="3" t="str">
        <f t="shared" si="41"/>
        <v>kdellapietro@jnj.com</v>
      </c>
      <c r="C828" s="3">
        <f t="shared" si="42"/>
        <v>1</v>
      </c>
      <c r="D828" s="2" t="s">
        <v>3749</v>
      </c>
      <c r="E828" s="2" t="s">
        <v>2585</v>
      </c>
      <c r="F828" s="2" t="s">
        <v>3750</v>
      </c>
      <c r="I828" s="2" t="s">
        <v>3751</v>
      </c>
      <c r="L828" s="2" t="s">
        <v>3752</v>
      </c>
      <c r="M828" s="2" t="s">
        <v>45</v>
      </c>
    </row>
    <row r="829" spans="1:13" ht="15" x14ac:dyDescent="0.2">
      <c r="A829" s="2" t="s">
        <v>3584</v>
      </c>
      <c r="B829" s="3" t="str">
        <f t="shared" si="41"/>
        <v>cwolfe@jnj.com</v>
      </c>
      <c r="C829" s="3">
        <f t="shared" si="42"/>
        <v>1</v>
      </c>
      <c r="D829" s="2" t="s">
        <v>3753</v>
      </c>
      <c r="E829" s="2" t="s">
        <v>3405</v>
      </c>
      <c r="F829" s="2" t="s">
        <v>3754</v>
      </c>
      <c r="I829" s="2" t="s">
        <v>3755</v>
      </c>
      <c r="L829" s="2" t="s">
        <v>3756</v>
      </c>
      <c r="M829" s="2" t="s">
        <v>45</v>
      </c>
    </row>
    <row r="830" spans="1:13" ht="15" x14ac:dyDescent="0.2">
      <c r="A830" s="2" t="s">
        <v>3584</v>
      </c>
      <c r="B830" s="3" t="str">
        <f t="shared" si="41"/>
        <v>vgalante@jnj.com</v>
      </c>
      <c r="C830" s="3">
        <f t="shared" si="42"/>
        <v>1</v>
      </c>
      <c r="D830" s="2" t="s">
        <v>3757</v>
      </c>
      <c r="E830" s="2" t="s">
        <v>3758</v>
      </c>
      <c r="F830" s="2" t="s">
        <v>3759</v>
      </c>
      <c r="I830" s="2" t="s">
        <v>3760</v>
      </c>
      <c r="L830" s="2" t="s">
        <v>3761</v>
      </c>
      <c r="M830" s="2" t="s">
        <v>45</v>
      </c>
    </row>
    <row r="831" spans="1:13" ht="15" x14ac:dyDescent="0.2">
      <c r="A831" s="2" t="s">
        <v>3584</v>
      </c>
      <c r="B831" s="3" t="str">
        <f t="shared" si="41"/>
        <v>jgross@jnj.com</v>
      </c>
      <c r="C831" s="3">
        <f t="shared" si="42"/>
        <v>1</v>
      </c>
      <c r="D831" s="2" t="s">
        <v>3762</v>
      </c>
      <c r="E831" s="2" t="s">
        <v>1075</v>
      </c>
      <c r="F831" s="2" t="s">
        <v>3763</v>
      </c>
      <c r="I831" s="2" t="s">
        <v>3764</v>
      </c>
      <c r="L831" s="2" t="s">
        <v>3765</v>
      </c>
      <c r="M831" s="2" t="s">
        <v>45</v>
      </c>
    </row>
    <row r="832" spans="1:13" ht="15" x14ac:dyDescent="0.2">
      <c r="A832" s="2" t="s">
        <v>3584</v>
      </c>
      <c r="B832" s="3" t="str">
        <f t="shared" si="41"/>
        <v>pkadakia@jnj.com</v>
      </c>
      <c r="C832" s="3">
        <f t="shared" si="42"/>
        <v>1</v>
      </c>
      <c r="D832" s="2" t="s">
        <v>3766</v>
      </c>
      <c r="E832" s="2" t="s">
        <v>3767</v>
      </c>
      <c r="F832" s="2" t="s">
        <v>3768</v>
      </c>
      <c r="I832" s="2" t="s">
        <v>3769</v>
      </c>
      <c r="L832" s="2" t="s">
        <v>3770</v>
      </c>
      <c r="M832" s="2" t="s">
        <v>45</v>
      </c>
    </row>
    <row r="833" spans="1:13" ht="15" x14ac:dyDescent="0.2">
      <c r="A833" s="2" t="s">
        <v>3584</v>
      </c>
      <c r="B833" s="3" t="str">
        <f t="shared" si="41"/>
        <v>jolds@jnj.com</v>
      </c>
      <c r="C833" s="3">
        <f t="shared" si="42"/>
        <v>1</v>
      </c>
      <c r="D833" s="2" t="s">
        <v>3771</v>
      </c>
      <c r="E833" s="2" t="s">
        <v>139</v>
      </c>
      <c r="F833" s="2" t="s">
        <v>3772</v>
      </c>
      <c r="I833" s="2" t="s">
        <v>3773</v>
      </c>
      <c r="L833" s="2" t="s">
        <v>3774</v>
      </c>
      <c r="M833" s="2" t="s">
        <v>45</v>
      </c>
    </row>
    <row r="834" spans="1:13" ht="15" x14ac:dyDescent="0.2">
      <c r="A834" s="2" t="s">
        <v>3584</v>
      </c>
      <c r="B834" s="3" t="str">
        <f t="shared" ref="B834:B897" si="44">IF(H834&lt;&gt;"",H834,I834)</f>
        <v>shussain@jnj.com</v>
      </c>
      <c r="C834" s="3">
        <f t="shared" ref="C834:C897" si="45">COUNTIF($B$2:$B$1586,B834)</f>
        <v>1</v>
      </c>
      <c r="D834" s="2" t="s">
        <v>3775</v>
      </c>
      <c r="E834" s="2" t="s">
        <v>3776</v>
      </c>
      <c r="F834" s="2" t="s">
        <v>3777</v>
      </c>
      <c r="I834" s="2" t="s">
        <v>3778</v>
      </c>
      <c r="L834" s="2" t="s">
        <v>68</v>
      </c>
      <c r="M834" s="2" t="s">
        <v>45</v>
      </c>
    </row>
    <row r="835" spans="1:13" ht="15" x14ac:dyDescent="0.2">
      <c r="A835" s="2" t="s">
        <v>3584</v>
      </c>
      <c r="B835" s="3" t="str">
        <f t="shared" si="44"/>
        <v>bochei@jnj.com</v>
      </c>
      <c r="C835" s="3">
        <f t="shared" si="45"/>
        <v>1</v>
      </c>
      <c r="D835" s="2" t="s">
        <v>3779</v>
      </c>
      <c r="E835" s="2" t="s">
        <v>1552</v>
      </c>
      <c r="F835" s="2" t="s">
        <v>3780</v>
      </c>
      <c r="I835" s="2" t="s">
        <v>3781</v>
      </c>
      <c r="L835" s="2" t="s">
        <v>68</v>
      </c>
      <c r="M835" s="2" t="s">
        <v>45</v>
      </c>
    </row>
    <row r="836" spans="1:13" ht="15" x14ac:dyDescent="0.2">
      <c r="A836" s="2" t="s">
        <v>3584</v>
      </c>
      <c r="B836" s="3" t="str">
        <f t="shared" si="44"/>
        <v>sshaikh@jnj.com</v>
      </c>
      <c r="C836" s="3">
        <f t="shared" si="45"/>
        <v>1</v>
      </c>
      <c r="D836" s="2" t="s">
        <v>3782</v>
      </c>
      <c r="E836" s="2" t="s">
        <v>3783</v>
      </c>
      <c r="F836" s="2" t="s">
        <v>3784</v>
      </c>
      <c r="I836" s="2" t="s">
        <v>3785</v>
      </c>
      <c r="L836" s="2" t="s">
        <v>3786</v>
      </c>
      <c r="M836" s="2" t="s">
        <v>45</v>
      </c>
    </row>
    <row r="837" spans="1:13" ht="15" x14ac:dyDescent="0.2">
      <c r="A837" s="2" t="s">
        <v>3584</v>
      </c>
      <c r="B837" s="3" t="str">
        <f t="shared" si="44"/>
        <v>bsatish@jnj.com</v>
      </c>
      <c r="C837" s="3">
        <f t="shared" si="45"/>
        <v>1</v>
      </c>
      <c r="D837" s="2" t="s">
        <v>3787</v>
      </c>
      <c r="E837" s="2" t="s">
        <v>3788</v>
      </c>
      <c r="F837" s="2" t="s">
        <v>3789</v>
      </c>
      <c r="I837" s="2" t="s">
        <v>3790</v>
      </c>
      <c r="L837" s="2" t="s">
        <v>132</v>
      </c>
      <c r="M837" s="2" t="s">
        <v>45</v>
      </c>
    </row>
    <row r="838" spans="1:13" ht="15" x14ac:dyDescent="0.2">
      <c r="A838" s="2" t="s">
        <v>3584</v>
      </c>
      <c r="B838" s="3" t="str">
        <f t="shared" si="44"/>
        <v>jvroom@jnj.com</v>
      </c>
      <c r="C838" s="3">
        <f t="shared" si="45"/>
        <v>1</v>
      </c>
      <c r="D838" s="2" t="s">
        <v>3791</v>
      </c>
      <c r="E838" s="2" t="s">
        <v>3792</v>
      </c>
      <c r="F838" s="2" t="s">
        <v>3793</v>
      </c>
      <c r="I838" s="2" t="s">
        <v>3794</v>
      </c>
      <c r="L838" s="2" t="s">
        <v>3795</v>
      </c>
      <c r="M838" s="2" t="s">
        <v>45</v>
      </c>
    </row>
    <row r="839" spans="1:13" ht="15" x14ac:dyDescent="0.2">
      <c r="A839" s="2" t="s">
        <v>3584</v>
      </c>
      <c r="B839" s="3" t="str">
        <f t="shared" si="44"/>
        <v>sswenson@jnj.com</v>
      </c>
      <c r="C839" s="3">
        <f t="shared" si="45"/>
        <v>1</v>
      </c>
      <c r="D839" s="2" t="s">
        <v>3796</v>
      </c>
      <c r="E839" s="2" t="s">
        <v>3797</v>
      </c>
      <c r="F839" s="2" t="s">
        <v>3798</v>
      </c>
      <c r="I839" s="2" t="s">
        <v>3799</v>
      </c>
      <c r="L839" s="2" t="s">
        <v>3800</v>
      </c>
      <c r="M839" s="2" t="s">
        <v>45</v>
      </c>
    </row>
    <row r="840" spans="1:13" ht="15" x14ac:dyDescent="0.2">
      <c r="A840" s="2" t="s">
        <v>3584</v>
      </c>
      <c r="B840" s="3" t="str">
        <f t="shared" si="44"/>
        <v>wlai@jnj.com</v>
      </c>
      <c r="C840" s="3">
        <f t="shared" si="45"/>
        <v>1</v>
      </c>
      <c r="D840" s="2" t="s">
        <v>3801</v>
      </c>
      <c r="E840" s="2" t="s">
        <v>3045</v>
      </c>
      <c r="F840" s="2" t="s">
        <v>3802</v>
      </c>
      <c r="I840" s="2" t="s">
        <v>3803</v>
      </c>
      <c r="L840" s="2" t="s">
        <v>3804</v>
      </c>
      <c r="M840" s="2" t="s">
        <v>45</v>
      </c>
    </row>
    <row r="841" spans="1:13" ht="15" x14ac:dyDescent="0.2">
      <c r="A841" s="2" t="s">
        <v>3584</v>
      </c>
      <c r="B841" s="3" t="str">
        <f t="shared" si="44"/>
        <v>psoltis@jnj.com</v>
      </c>
      <c r="C841" s="3">
        <f t="shared" si="45"/>
        <v>1</v>
      </c>
      <c r="D841" s="2" t="s">
        <v>3805</v>
      </c>
      <c r="E841" s="2" t="s">
        <v>3175</v>
      </c>
      <c r="F841" s="2" t="s">
        <v>3806</v>
      </c>
      <c r="I841" s="2" t="s">
        <v>3807</v>
      </c>
      <c r="L841" s="2" t="s">
        <v>3730</v>
      </c>
      <c r="M841" s="2" t="s">
        <v>45</v>
      </c>
    </row>
    <row r="842" spans="1:13" ht="15" x14ac:dyDescent="0.2">
      <c r="A842" s="2" t="s">
        <v>3584</v>
      </c>
      <c r="B842" s="3" t="str">
        <f t="shared" si="44"/>
        <v>vnair@jnj.com</v>
      </c>
      <c r="C842" s="3">
        <f t="shared" si="45"/>
        <v>1</v>
      </c>
      <c r="D842" s="2" t="s">
        <v>3808</v>
      </c>
      <c r="E842" s="2" t="s">
        <v>3809</v>
      </c>
      <c r="F842" s="2" t="s">
        <v>3810</v>
      </c>
      <c r="I842" s="2" t="s">
        <v>3811</v>
      </c>
      <c r="L842" s="2" t="s">
        <v>3812</v>
      </c>
      <c r="M842" s="2" t="s">
        <v>45</v>
      </c>
    </row>
    <row r="843" spans="1:13" ht="15" x14ac:dyDescent="0.2">
      <c r="A843" s="2" t="s">
        <v>3584</v>
      </c>
      <c r="B843" s="3" t="str">
        <f t="shared" si="44"/>
        <v>ascovill@jnj.com</v>
      </c>
      <c r="C843" s="3">
        <f t="shared" si="45"/>
        <v>1</v>
      </c>
      <c r="D843" s="2" t="s">
        <v>3813</v>
      </c>
      <c r="E843" s="2" t="s">
        <v>831</v>
      </c>
      <c r="F843" s="2" t="s">
        <v>3814</v>
      </c>
      <c r="I843" s="2" t="s">
        <v>3815</v>
      </c>
      <c r="L843" s="2" t="s">
        <v>3816</v>
      </c>
      <c r="M843" s="2" t="s">
        <v>45</v>
      </c>
    </row>
    <row r="844" spans="1:13" ht="15" x14ac:dyDescent="0.2">
      <c r="A844" s="2" t="s">
        <v>3584</v>
      </c>
      <c r="B844" s="3" t="str">
        <f t="shared" si="44"/>
        <v>mamorim@jnj.com</v>
      </c>
      <c r="C844" s="3">
        <f t="shared" si="45"/>
        <v>1</v>
      </c>
      <c r="D844" s="2" t="s">
        <v>3817</v>
      </c>
      <c r="E844" s="2" t="s">
        <v>59</v>
      </c>
      <c r="F844" s="2" t="s">
        <v>3818</v>
      </c>
      <c r="I844" s="2" t="s">
        <v>3819</v>
      </c>
      <c r="L844" s="2" t="s">
        <v>1225</v>
      </c>
      <c r="M844" s="2" t="s">
        <v>45</v>
      </c>
    </row>
    <row r="845" spans="1:13" ht="15" x14ac:dyDescent="0.2">
      <c r="A845" s="2" t="s">
        <v>3584</v>
      </c>
      <c r="B845" s="3" t="str">
        <f t="shared" si="44"/>
        <v>asouza@jnj.com</v>
      </c>
      <c r="C845" s="3">
        <f t="shared" si="45"/>
        <v>1</v>
      </c>
      <c r="D845" s="2" t="s">
        <v>3820</v>
      </c>
      <c r="E845" s="2" t="s">
        <v>831</v>
      </c>
      <c r="F845" s="2" t="s">
        <v>3821</v>
      </c>
      <c r="I845" s="2" t="s">
        <v>3822</v>
      </c>
      <c r="L845" s="2" t="s">
        <v>3823</v>
      </c>
      <c r="M845" s="2" t="s">
        <v>45</v>
      </c>
    </row>
    <row r="846" spans="1:13" ht="15" x14ac:dyDescent="0.2">
      <c r="A846" s="2" t="s">
        <v>3584</v>
      </c>
      <c r="B846" s="3" t="str">
        <f t="shared" si="44"/>
        <v>rgundy@jnj.com</v>
      </c>
      <c r="C846" s="3">
        <f t="shared" si="45"/>
        <v>1</v>
      </c>
      <c r="D846" s="2" t="s">
        <v>3824</v>
      </c>
      <c r="E846" s="2" t="s">
        <v>3825</v>
      </c>
      <c r="F846" s="2" t="s">
        <v>3826</v>
      </c>
      <c r="I846" s="2" t="s">
        <v>3827</v>
      </c>
      <c r="L846" s="2" t="s">
        <v>3828</v>
      </c>
      <c r="M846" s="2" t="s">
        <v>45</v>
      </c>
    </row>
    <row r="847" spans="1:13" ht="15" x14ac:dyDescent="0.2">
      <c r="A847" s="2" t="s">
        <v>3584</v>
      </c>
      <c r="B847" s="3" t="str">
        <f t="shared" si="44"/>
        <v>mbarrett@jnj.com</v>
      </c>
      <c r="C847" s="3">
        <f t="shared" si="45"/>
        <v>1</v>
      </c>
      <c r="D847" s="2" t="s">
        <v>3829</v>
      </c>
      <c r="E847" s="2" t="s">
        <v>1727</v>
      </c>
      <c r="F847" s="2" t="s">
        <v>3830</v>
      </c>
      <c r="I847" s="2" t="s">
        <v>3831</v>
      </c>
      <c r="L847" s="2" t="s">
        <v>3832</v>
      </c>
      <c r="M847" s="2" t="s">
        <v>22</v>
      </c>
    </row>
    <row r="848" spans="1:13" ht="15" x14ac:dyDescent="0.2">
      <c r="A848" s="2" t="s">
        <v>3584</v>
      </c>
      <c r="B848" s="3" t="str">
        <f t="shared" si="44"/>
        <v>rrodriguez@jnj.com</v>
      </c>
      <c r="C848" s="3">
        <f t="shared" si="45"/>
        <v>1</v>
      </c>
      <c r="D848" s="2" t="s">
        <v>3833</v>
      </c>
      <c r="E848" s="2" t="s">
        <v>3825</v>
      </c>
      <c r="F848" s="2" t="s">
        <v>859</v>
      </c>
      <c r="I848" s="2" t="s">
        <v>3834</v>
      </c>
      <c r="L848" s="2" t="s">
        <v>3835</v>
      </c>
      <c r="M848" s="2" t="s">
        <v>45</v>
      </c>
    </row>
    <row r="849" spans="1:16" ht="15" x14ac:dyDescent="0.2">
      <c r="A849" s="2" t="s">
        <v>3584</v>
      </c>
      <c r="B849" s="3" t="str">
        <f t="shared" si="44"/>
        <v>khossen@jnj.com</v>
      </c>
      <c r="C849" s="3">
        <f t="shared" si="45"/>
        <v>1</v>
      </c>
      <c r="D849" s="2" t="s">
        <v>3836</v>
      </c>
      <c r="E849" s="2" t="s">
        <v>3837</v>
      </c>
      <c r="F849" s="2" t="s">
        <v>3838</v>
      </c>
      <c r="I849" s="2" t="s">
        <v>3839</v>
      </c>
      <c r="L849" s="2" t="s">
        <v>3840</v>
      </c>
      <c r="M849" s="2" t="s">
        <v>45</v>
      </c>
    </row>
    <row r="850" spans="1:16" ht="15" x14ac:dyDescent="0.2">
      <c r="A850" s="2" t="s">
        <v>3584</v>
      </c>
      <c r="B850" s="3" t="str">
        <f t="shared" si="44"/>
        <v>ssingh@jnj.com</v>
      </c>
      <c r="C850" s="3">
        <f t="shared" si="45"/>
        <v>1</v>
      </c>
      <c r="D850" s="2" t="s">
        <v>3841</v>
      </c>
      <c r="E850" s="2" t="s">
        <v>2069</v>
      </c>
      <c r="F850" s="2" t="s">
        <v>1039</v>
      </c>
      <c r="I850" s="2" t="s">
        <v>3842</v>
      </c>
      <c r="L850" s="2" t="s">
        <v>3843</v>
      </c>
      <c r="M850" s="2" t="s">
        <v>45</v>
      </c>
    </row>
    <row r="851" spans="1:16" ht="15" x14ac:dyDescent="0.2">
      <c r="A851" s="2" t="s">
        <v>3584</v>
      </c>
      <c r="B851" s="3" t="str">
        <f t="shared" si="44"/>
        <v>mparanto@jnj.com</v>
      </c>
      <c r="C851" s="3">
        <f t="shared" si="45"/>
        <v>1</v>
      </c>
      <c r="D851" s="2" t="s">
        <v>3844</v>
      </c>
      <c r="E851" s="2" t="s">
        <v>192</v>
      </c>
      <c r="F851" s="2" t="s">
        <v>3845</v>
      </c>
      <c r="I851" s="2" t="s">
        <v>3846</v>
      </c>
      <c r="L851" s="2" t="s">
        <v>3847</v>
      </c>
      <c r="M851" s="2" t="s">
        <v>45</v>
      </c>
    </row>
    <row r="852" spans="1:16" ht="15" x14ac:dyDescent="0.2">
      <c r="A852" s="2" t="s">
        <v>3584</v>
      </c>
      <c r="B852" s="3" t="str">
        <f t="shared" si="44"/>
        <v>atomaro@jnj.com</v>
      </c>
      <c r="C852" s="3">
        <f t="shared" si="45"/>
        <v>1</v>
      </c>
      <c r="D852" s="2" t="s">
        <v>3848</v>
      </c>
      <c r="E852" s="2" t="s">
        <v>3849</v>
      </c>
      <c r="F852" s="2" t="s">
        <v>3850</v>
      </c>
      <c r="I852" s="2" t="s">
        <v>3851</v>
      </c>
      <c r="L852" s="2" t="s">
        <v>3852</v>
      </c>
      <c r="M852" s="2" t="s">
        <v>45</v>
      </c>
    </row>
    <row r="853" spans="1:16" ht="15" x14ac:dyDescent="0.2">
      <c r="A853" s="2" t="s">
        <v>3584</v>
      </c>
      <c r="B853" s="3" t="str">
        <f t="shared" si="44"/>
        <v>ooyeniran@jnj.com</v>
      </c>
      <c r="C853" s="3">
        <f t="shared" si="45"/>
        <v>1</v>
      </c>
      <c r="D853" s="2" t="s">
        <v>3853</v>
      </c>
      <c r="E853" s="2" t="s">
        <v>3854</v>
      </c>
      <c r="F853" s="2" t="s">
        <v>3855</v>
      </c>
      <c r="I853" s="2" t="s">
        <v>3856</v>
      </c>
      <c r="L853" s="2" t="s">
        <v>3857</v>
      </c>
      <c r="M853" s="2" t="s">
        <v>45</v>
      </c>
    </row>
    <row r="854" spans="1:16" ht="15" x14ac:dyDescent="0.2">
      <c r="A854" s="2" t="s">
        <v>3584</v>
      </c>
      <c r="B854" s="3" t="str">
        <f t="shared" si="44"/>
        <v>mambaw@jnj.com</v>
      </c>
      <c r="C854" s="3">
        <f t="shared" si="45"/>
        <v>1</v>
      </c>
      <c r="D854" s="2" t="s">
        <v>3858</v>
      </c>
      <c r="E854" s="2" t="s">
        <v>3859</v>
      </c>
      <c r="F854" s="2" t="s">
        <v>3860</v>
      </c>
      <c r="I854" s="2" t="s">
        <v>3861</v>
      </c>
      <c r="L854" s="2" t="s">
        <v>3862</v>
      </c>
      <c r="M854" s="2" t="s">
        <v>45</v>
      </c>
    </row>
    <row r="855" spans="1:16" ht="15" x14ac:dyDescent="0.2">
      <c r="A855" s="2" t="s">
        <v>3584</v>
      </c>
      <c r="B855" s="3" t="str">
        <f t="shared" si="44"/>
        <v>mdorne@jnj.com</v>
      </c>
      <c r="C855" s="3">
        <f t="shared" si="45"/>
        <v>1</v>
      </c>
      <c r="D855" s="2" t="s">
        <v>3863</v>
      </c>
      <c r="E855" s="2" t="s">
        <v>3864</v>
      </c>
      <c r="F855" s="2" t="s">
        <v>3865</v>
      </c>
      <c r="I855" s="2" t="s">
        <v>3866</v>
      </c>
      <c r="L855" s="2" t="s">
        <v>3867</v>
      </c>
      <c r="M855" s="2" t="s">
        <v>45</v>
      </c>
    </row>
    <row r="856" spans="1:16" ht="15" x14ac:dyDescent="0.2">
      <c r="A856" s="2" t="s">
        <v>3584</v>
      </c>
      <c r="B856" s="3" t="str">
        <f t="shared" si="44"/>
        <v>mnaidu@jnj.com</v>
      </c>
      <c r="C856" s="3">
        <f t="shared" si="45"/>
        <v>1</v>
      </c>
      <c r="D856" s="2" t="s">
        <v>3868</v>
      </c>
      <c r="E856" s="2" t="s">
        <v>3869</v>
      </c>
      <c r="F856" s="2" t="s">
        <v>3870</v>
      </c>
      <c r="I856" s="2" t="s">
        <v>3871</v>
      </c>
      <c r="L856" s="2" t="s">
        <v>3872</v>
      </c>
      <c r="M856" s="2" t="s">
        <v>45</v>
      </c>
    </row>
    <row r="857" spans="1:16" ht="15" x14ac:dyDescent="0.2">
      <c r="A857" s="2" t="s">
        <v>3584</v>
      </c>
      <c r="B857" s="3" t="str">
        <f t="shared" si="44"/>
        <v>ehendricks@jnj.com</v>
      </c>
      <c r="C857" s="3">
        <f t="shared" si="45"/>
        <v>1</v>
      </c>
      <c r="D857" s="2" t="s">
        <v>3873</v>
      </c>
      <c r="E857" s="2" t="s">
        <v>109</v>
      </c>
      <c r="F857" s="2" t="s">
        <v>3874</v>
      </c>
      <c r="I857" s="2" t="s">
        <v>3875</v>
      </c>
      <c r="L857" s="2" t="s">
        <v>3876</v>
      </c>
      <c r="M857" s="2" t="s">
        <v>45</v>
      </c>
    </row>
    <row r="858" spans="1:16" ht="15" x14ac:dyDescent="0.2">
      <c r="A858" s="2" t="s">
        <v>3584</v>
      </c>
      <c r="B858" s="3" t="str">
        <f t="shared" si="44"/>
        <v>nnurun@jnj.com</v>
      </c>
      <c r="C858" s="3">
        <f t="shared" si="45"/>
        <v>1</v>
      </c>
      <c r="D858" s="2" t="s">
        <v>3877</v>
      </c>
      <c r="E858" s="2" t="s">
        <v>3878</v>
      </c>
      <c r="F858" s="2" t="s">
        <v>3879</v>
      </c>
      <c r="I858" s="2" t="s">
        <v>3880</v>
      </c>
      <c r="L858" s="2" t="s">
        <v>3881</v>
      </c>
      <c r="M858" s="2" t="s">
        <v>45</v>
      </c>
    </row>
    <row r="859" spans="1:16" ht="15" x14ac:dyDescent="0.2">
      <c r="A859" s="2" t="s">
        <v>3584</v>
      </c>
      <c r="B859" s="3" t="str">
        <f t="shared" si="44"/>
        <v>nrivers@its.jnj.com</v>
      </c>
      <c r="C859" s="3">
        <f t="shared" si="45"/>
        <v>1</v>
      </c>
      <c r="D859" s="2" t="s">
        <v>3882</v>
      </c>
      <c r="E859" s="2" t="s">
        <v>3883</v>
      </c>
      <c r="F859" s="2" t="s">
        <v>3884</v>
      </c>
      <c r="I859" s="2" t="s">
        <v>3885</v>
      </c>
      <c r="L859" s="2" t="s">
        <v>3886</v>
      </c>
      <c r="M859" s="2" t="s">
        <v>45</v>
      </c>
    </row>
    <row r="860" spans="1:16" ht="15" x14ac:dyDescent="0.2">
      <c r="A860" s="2" t="s">
        <v>3584</v>
      </c>
      <c r="B860" s="3" t="str">
        <f t="shared" si="44"/>
        <v>gmahesh@its.jnj.com</v>
      </c>
      <c r="C860" s="3">
        <f t="shared" si="45"/>
        <v>1</v>
      </c>
      <c r="D860" s="2" t="s">
        <v>3887</v>
      </c>
      <c r="E860" s="2" t="s">
        <v>3888</v>
      </c>
      <c r="F860" s="2" t="s">
        <v>3889</v>
      </c>
      <c r="I860" s="2" t="s">
        <v>3890</v>
      </c>
      <c r="L860" s="2" t="s">
        <v>3891</v>
      </c>
      <c r="M860" s="2" t="s">
        <v>45</v>
      </c>
    </row>
    <row r="861" spans="1:16" ht="15" x14ac:dyDescent="0.2">
      <c r="A861" s="2" t="s">
        <v>3584</v>
      </c>
      <c r="B861" s="3" t="str">
        <f t="shared" si="44"/>
        <v>cmyers3@its.jnj.com</v>
      </c>
      <c r="C861" s="3">
        <f t="shared" si="45"/>
        <v>1</v>
      </c>
      <c r="D861" s="2" t="s">
        <v>3892</v>
      </c>
      <c r="E861" s="2" t="s">
        <v>1652</v>
      </c>
      <c r="F861" s="2" t="s">
        <v>3893</v>
      </c>
      <c r="I861" s="2" t="s">
        <v>3894</v>
      </c>
      <c r="L861" s="2" t="s">
        <v>3895</v>
      </c>
      <c r="M861" s="2" t="s">
        <v>463</v>
      </c>
    </row>
    <row r="862" spans="1:16" ht="15" x14ac:dyDescent="0.2">
      <c r="A862" s="2" t="s">
        <v>3584</v>
      </c>
      <c r="B862" s="3" t="str">
        <f t="shared" si="44"/>
        <v>afoley2@its.jnj.com</v>
      </c>
      <c r="C862" s="3">
        <f t="shared" si="45"/>
        <v>1</v>
      </c>
      <c r="D862" s="2" t="s">
        <v>3896</v>
      </c>
      <c r="E862" s="2" t="s">
        <v>910</v>
      </c>
      <c r="F862" s="2" t="s">
        <v>910</v>
      </c>
      <c r="I862" s="2" t="s">
        <v>3897</v>
      </c>
      <c r="L862" s="2" t="s">
        <v>3895</v>
      </c>
      <c r="M862" s="2" t="s">
        <v>45</v>
      </c>
    </row>
    <row r="863" spans="1:16" ht="13" x14ac:dyDescent="0.15">
      <c r="A863" s="4" t="s">
        <v>3898</v>
      </c>
      <c r="B863" s="3" t="str">
        <f t="shared" si="44"/>
        <v>Yes</v>
      </c>
      <c r="C863" s="3">
        <f t="shared" si="45"/>
        <v>446</v>
      </c>
      <c r="D863" s="5">
        <v>11514388003</v>
      </c>
      <c r="E863" s="4" t="s">
        <v>3899</v>
      </c>
      <c r="F863" s="4" t="s">
        <v>3900</v>
      </c>
      <c r="G863" s="4"/>
      <c r="H863" s="4" t="s">
        <v>34</v>
      </c>
      <c r="I863" s="4" t="s">
        <v>3901</v>
      </c>
      <c r="J863" s="6" t="s">
        <v>3902</v>
      </c>
      <c r="K863" s="4"/>
      <c r="L863" s="4" t="s">
        <v>1402</v>
      </c>
      <c r="M863" s="4" t="s">
        <v>38</v>
      </c>
      <c r="N863" s="4"/>
      <c r="O863" s="4"/>
      <c r="P863" s="4" t="str">
        <f t="shared" ref="P863:P873" si="46">IF(OR(M863="Customer", M863="Opportunity", H863="Yes", H863=TRUE, G863="Yes", G863=TRUE, O863&gt;0), "YES", "NO")</f>
        <v>YES</v>
      </c>
    </row>
    <row r="864" spans="1:16" ht="13" x14ac:dyDescent="0.15">
      <c r="A864" s="4" t="s">
        <v>3903</v>
      </c>
      <c r="B864" s="3" t="str">
        <f t="shared" si="44"/>
        <v>Yes</v>
      </c>
      <c r="C864" s="3">
        <f t="shared" si="45"/>
        <v>446</v>
      </c>
      <c r="D864" s="5">
        <v>11512219563</v>
      </c>
      <c r="E864" s="4" t="s">
        <v>3904</v>
      </c>
      <c r="F864" s="4" t="s">
        <v>3905</v>
      </c>
      <c r="G864" s="4"/>
      <c r="H864" s="4" t="s">
        <v>34</v>
      </c>
      <c r="I864" s="4" t="s">
        <v>3906</v>
      </c>
      <c r="J864" s="6" t="s">
        <v>3907</v>
      </c>
      <c r="K864" s="4"/>
      <c r="L864" s="4" t="s">
        <v>3908</v>
      </c>
      <c r="M864" s="4" t="s">
        <v>38</v>
      </c>
      <c r="N864" s="4"/>
      <c r="O864" s="4"/>
      <c r="P864" s="4" t="str">
        <f t="shared" si="46"/>
        <v>YES</v>
      </c>
    </row>
    <row r="865" spans="1:16" ht="13" x14ac:dyDescent="0.15">
      <c r="A865" s="4" t="s">
        <v>3909</v>
      </c>
      <c r="B865" s="3" t="str">
        <f t="shared" si="44"/>
        <v>Yes</v>
      </c>
      <c r="C865" s="3">
        <f t="shared" si="45"/>
        <v>446</v>
      </c>
      <c r="D865" s="5">
        <v>11513861705</v>
      </c>
      <c r="E865" s="4" t="s">
        <v>3910</v>
      </c>
      <c r="F865" s="4" t="s">
        <v>3911</v>
      </c>
      <c r="G865" s="4"/>
      <c r="H865" s="4" t="s">
        <v>34</v>
      </c>
      <c r="I865" s="4" t="s">
        <v>3912</v>
      </c>
      <c r="J865" s="6" t="s">
        <v>3913</v>
      </c>
      <c r="K865" s="4"/>
      <c r="L865" s="4" t="s">
        <v>3914</v>
      </c>
      <c r="M865" s="4" t="s">
        <v>38</v>
      </c>
      <c r="N865" s="4"/>
      <c r="O865" s="4"/>
      <c r="P865" s="4" t="str">
        <f t="shared" si="46"/>
        <v>YES</v>
      </c>
    </row>
    <row r="866" spans="1:16" ht="13" x14ac:dyDescent="0.15">
      <c r="A866" s="4" t="s">
        <v>3915</v>
      </c>
      <c r="B866" s="3" t="str">
        <f t="shared" si="44"/>
        <v>Yes</v>
      </c>
      <c r="C866" s="3">
        <f t="shared" si="45"/>
        <v>446</v>
      </c>
      <c r="D866" s="5">
        <v>11511443259</v>
      </c>
      <c r="E866" s="4" t="s">
        <v>3464</v>
      </c>
      <c r="F866" s="4" t="s">
        <v>3916</v>
      </c>
      <c r="G866" s="4"/>
      <c r="H866" s="4" t="s">
        <v>34</v>
      </c>
      <c r="I866" s="4" t="s">
        <v>3917</v>
      </c>
      <c r="J866" s="6" t="s">
        <v>3918</v>
      </c>
      <c r="K866" s="4"/>
      <c r="L866" s="4" t="s">
        <v>2671</v>
      </c>
      <c r="M866" s="4" t="s">
        <v>38</v>
      </c>
      <c r="N866" s="4"/>
      <c r="O866" s="4"/>
      <c r="P866" s="4" t="str">
        <f t="shared" si="46"/>
        <v>YES</v>
      </c>
    </row>
    <row r="867" spans="1:16" ht="13" x14ac:dyDescent="0.15">
      <c r="A867" s="4" t="s">
        <v>3919</v>
      </c>
      <c r="B867" s="3" t="str">
        <f t="shared" si="44"/>
        <v>Yes</v>
      </c>
      <c r="C867" s="3">
        <f t="shared" si="45"/>
        <v>446</v>
      </c>
      <c r="D867" s="5">
        <v>11510907736</v>
      </c>
      <c r="E867" s="4" t="s">
        <v>3319</v>
      </c>
      <c r="F867" s="4" t="s">
        <v>3920</v>
      </c>
      <c r="G867" s="4"/>
      <c r="H867" s="4" t="s">
        <v>34</v>
      </c>
      <c r="I867" s="4" t="s">
        <v>3921</v>
      </c>
      <c r="J867" s="6" t="s">
        <v>3922</v>
      </c>
      <c r="K867" s="4"/>
      <c r="L867" s="4" t="s">
        <v>3923</v>
      </c>
      <c r="M867" s="4" t="s">
        <v>38</v>
      </c>
      <c r="N867" s="4"/>
      <c r="O867" s="4"/>
      <c r="P867" s="4" t="str">
        <f t="shared" si="46"/>
        <v>YES</v>
      </c>
    </row>
    <row r="868" spans="1:16" ht="13" x14ac:dyDescent="0.15">
      <c r="A868" s="4" t="s">
        <v>3924</v>
      </c>
      <c r="B868" s="3" t="str">
        <f t="shared" si="44"/>
        <v>jasonn@kentimaging.com</v>
      </c>
      <c r="C868" s="3">
        <f t="shared" si="45"/>
        <v>1</v>
      </c>
      <c r="D868" s="5">
        <v>15106485867</v>
      </c>
      <c r="E868" s="4" t="s">
        <v>405</v>
      </c>
      <c r="F868" s="4" t="s">
        <v>3925</v>
      </c>
      <c r="G868" s="4"/>
      <c r="H868" s="4"/>
      <c r="I868" s="4" t="s">
        <v>3926</v>
      </c>
      <c r="J868" s="6" t="s">
        <v>3927</v>
      </c>
      <c r="K868" s="7">
        <v>45449.65347222222</v>
      </c>
      <c r="L868" s="4"/>
      <c r="M868" s="4" t="s">
        <v>716</v>
      </c>
      <c r="N868" s="4"/>
      <c r="O868" s="5">
        <v>1</v>
      </c>
      <c r="P868" s="4" t="str">
        <f t="shared" si="46"/>
        <v>YES</v>
      </c>
    </row>
    <row r="869" spans="1:16" ht="13" x14ac:dyDescent="0.15">
      <c r="A869" s="4" t="s">
        <v>3924</v>
      </c>
      <c r="B869" s="3" t="str">
        <f t="shared" si="44"/>
        <v>liz@kentimaging.com</v>
      </c>
      <c r="C869" s="3">
        <f t="shared" si="45"/>
        <v>1</v>
      </c>
      <c r="D869" s="5">
        <v>15130775135</v>
      </c>
      <c r="E869" s="4" t="s">
        <v>3928</v>
      </c>
      <c r="F869" s="4" t="s">
        <v>3929</v>
      </c>
      <c r="G869" s="4"/>
      <c r="H869" s="4"/>
      <c r="I869" s="4" t="s">
        <v>3930</v>
      </c>
      <c r="J869" s="6" t="s">
        <v>3927</v>
      </c>
      <c r="K869" s="7">
        <v>45449.65347222222</v>
      </c>
      <c r="L869" s="4" t="s">
        <v>3931</v>
      </c>
      <c r="M869" s="4" t="s">
        <v>716</v>
      </c>
      <c r="N869" s="4" t="s">
        <v>3932</v>
      </c>
      <c r="O869" s="5">
        <v>1</v>
      </c>
      <c r="P869" s="4" t="str">
        <f t="shared" si="46"/>
        <v>YES</v>
      </c>
    </row>
    <row r="870" spans="1:16" ht="13" x14ac:dyDescent="0.15">
      <c r="A870" s="4" t="s">
        <v>3924</v>
      </c>
      <c r="B870" s="3" t="str">
        <f t="shared" si="44"/>
        <v>jacob@kentimaging.com</v>
      </c>
      <c r="C870" s="3">
        <f t="shared" si="45"/>
        <v>1</v>
      </c>
      <c r="D870" s="5">
        <v>15121768768</v>
      </c>
      <c r="E870" s="4" t="s">
        <v>1175</v>
      </c>
      <c r="F870" s="4" t="s">
        <v>3933</v>
      </c>
      <c r="G870" s="4"/>
      <c r="H870" s="4"/>
      <c r="I870" s="4" t="s">
        <v>3934</v>
      </c>
      <c r="J870" s="6" t="s">
        <v>3927</v>
      </c>
      <c r="K870" s="4"/>
      <c r="L870" s="4"/>
      <c r="M870" s="4" t="s">
        <v>716</v>
      </c>
      <c r="N870" s="4"/>
      <c r="O870" s="4"/>
      <c r="P870" s="4" t="str">
        <f t="shared" si="46"/>
        <v>YES</v>
      </c>
    </row>
    <row r="871" spans="1:16" ht="13" x14ac:dyDescent="0.15">
      <c r="A871" s="4" t="s">
        <v>3924</v>
      </c>
      <c r="B871" s="3" t="str">
        <f t="shared" si="44"/>
        <v>alexv@kentimaging.com</v>
      </c>
      <c r="C871" s="3">
        <f t="shared" si="45"/>
        <v>1</v>
      </c>
      <c r="D871" s="5">
        <v>15128959379</v>
      </c>
      <c r="E871" s="4" t="s">
        <v>831</v>
      </c>
      <c r="F871" s="4" t="s">
        <v>3935</v>
      </c>
      <c r="G871" s="4"/>
      <c r="H871" s="4"/>
      <c r="I871" s="4" t="s">
        <v>3936</v>
      </c>
      <c r="J871" s="6" t="s">
        <v>3927</v>
      </c>
      <c r="K871" s="4"/>
      <c r="L871" s="4"/>
      <c r="M871" s="4" t="s">
        <v>716</v>
      </c>
      <c r="N871" s="4"/>
      <c r="O871" s="4"/>
      <c r="P871" s="4" t="str">
        <f t="shared" si="46"/>
        <v>YES</v>
      </c>
    </row>
    <row r="872" spans="1:16" ht="13" x14ac:dyDescent="0.15">
      <c r="A872" s="4" t="s">
        <v>3924</v>
      </c>
      <c r="B872" s="3" t="str">
        <f t="shared" si="44"/>
        <v>keith@kentimaging.com</v>
      </c>
      <c r="C872" s="3">
        <f t="shared" si="45"/>
        <v>1</v>
      </c>
      <c r="D872" s="5">
        <v>17238</v>
      </c>
      <c r="E872" s="4" t="s">
        <v>298</v>
      </c>
      <c r="F872" s="4" t="s">
        <v>3937</v>
      </c>
      <c r="G872" s="4"/>
      <c r="H872" s="4"/>
      <c r="I872" s="4" t="s">
        <v>3938</v>
      </c>
      <c r="J872" s="6" t="s">
        <v>3927</v>
      </c>
      <c r="K872" s="7">
        <v>45449.65347222222</v>
      </c>
      <c r="L872" s="4" t="s">
        <v>3939</v>
      </c>
      <c r="M872" s="4" t="s">
        <v>716</v>
      </c>
      <c r="N872" s="4"/>
      <c r="O872" s="5">
        <v>1</v>
      </c>
      <c r="P872" s="4" t="str">
        <f t="shared" si="46"/>
        <v>YES</v>
      </c>
    </row>
    <row r="873" spans="1:16" ht="13" x14ac:dyDescent="0.15">
      <c r="A873" s="4" t="s">
        <v>3940</v>
      </c>
      <c r="B873" s="3" t="str">
        <f t="shared" si="44"/>
        <v>Yes</v>
      </c>
      <c r="C873" s="3">
        <f t="shared" si="45"/>
        <v>446</v>
      </c>
      <c r="D873" s="5">
        <v>11510888781</v>
      </c>
      <c r="E873" s="4" t="s">
        <v>3941</v>
      </c>
      <c r="F873" s="4" t="s">
        <v>3942</v>
      </c>
      <c r="G873" s="4"/>
      <c r="H873" s="4" t="s">
        <v>34</v>
      </c>
      <c r="I873" s="4" t="s">
        <v>3943</v>
      </c>
      <c r="J873" s="6" t="s">
        <v>3944</v>
      </c>
      <c r="K873" s="4"/>
      <c r="L873" s="4" t="s">
        <v>1402</v>
      </c>
      <c r="M873" s="4" t="s">
        <v>38</v>
      </c>
      <c r="N873" s="4"/>
      <c r="O873" s="4"/>
      <c r="P873" s="4" t="str">
        <f t="shared" si="46"/>
        <v>YES</v>
      </c>
    </row>
    <row r="874" spans="1:16" ht="15" x14ac:dyDescent="0.2">
      <c r="A874" s="2" t="s">
        <v>3945</v>
      </c>
      <c r="B874" s="3" t="str">
        <f t="shared" si="44"/>
        <v>rob.harvey@kindredhealthcare.com</v>
      </c>
      <c r="C874" s="3">
        <f t="shared" si="45"/>
        <v>1</v>
      </c>
      <c r="D874" s="2" t="s">
        <v>3946</v>
      </c>
      <c r="E874" s="2" t="s">
        <v>2707</v>
      </c>
      <c r="F874" s="2" t="s">
        <v>3947</v>
      </c>
      <c r="I874" s="2" t="s">
        <v>3948</v>
      </c>
      <c r="L874" s="2" t="s">
        <v>3949</v>
      </c>
      <c r="M874" s="2" t="s">
        <v>22</v>
      </c>
    </row>
    <row r="875" spans="1:16" ht="13" x14ac:dyDescent="0.15">
      <c r="A875" s="4" t="s">
        <v>3950</v>
      </c>
      <c r="B875" s="3" t="str">
        <f t="shared" si="44"/>
        <v>Yes</v>
      </c>
      <c r="C875" s="3">
        <f t="shared" si="45"/>
        <v>446</v>
      </c>
      <c r="D875" s="5">
        <v>1569</v>
      </c>
      <c r="E875" s="4" t="s">
        <v>3951</v>
      </c>
      <c r="F875" s="4" t="s">
        <v>3952</v>
      </c>
      <c r="G875" s="4"/>
      <c r="H875" s="4" t="s">
        <v>34</v>
      </c>
      <c r="I875" s="4" t="s">
        <v>3953</v>
      </c>
      <c r="J875" s="6" t="s">
        <v>3954</v>
      </c>
      <c r="K875" s="4"/>
      <c r="L875" s="4" t="s">
        <v>3955</v>
      </c>
      <c r="M875" s="4" t="s">
        <v>38</v>
      </c>
      <c r="N875" s="4"/>
      <c r="O875" s="4"/>
      <c r="P875" s="4" t="str">
        <f>IF(OR(M875="Customer", M875="Opportunity", H875="Yes", H875=TRUE, G875="Yes", G875=TRUE, O875&gt;0), "YES", "NO")</f>
        <v>YES</v>
      </c>
    </row>
    <row r="876" spans="1:16" ht="13" x14ac:dyDescent="0.15">
      <c r="A876" s="4" t="s">
        <v>3956</v>
      </c>
      <c r="B876" s="3" t="str">
        <f t="shared" si="44"/>
        <v>Yes</v>
      </c>
      <c r="C876" s="3">
        <f t="shared" si="45"/>
        <v>446</v>
      </c>
      <c r="D876" s="5">
        <v>11514965903</v>
      </c>
      <c r="E876" s="4" t="s">
        <v>3957</v>
      </c>
      <c r="F876" s="4" t="s">
        <v>3958</v>
      </c>
      <c r="G876" s="4"/>
      <c r="H876" s="4" t="s">
        <v>34</v>
      </c>
      <c r="I876" s="4" t="s">
        <v>3959</v>
      </c>
      <c r="J876" s="6" t="s">
        <v>3960</v>
      </c>
      <c r="K876" s="4"/>
      <c r="L876" s="4" t="s">
        <v>3961</v>
      </c>
      <c r="M876" s="4" t="s">
        <v>38</v>
      </c>
      <c r="N876" s="4"/>
      <c r="O876" s="4"/>
      <c r="P876" s="4" t="str">
        <f>IF(OR(M876="Customer", M876="Opportunity", H876="Yes", H876=TRUE, G876="Yes", G876=TRUE, O876&gt;0), "YES", "NO")</f>
        <v>YES</v>
      </c>
    </row>
    <row r="877" spans="1:16" ht="13" x14ac:dyDescent="0.15">
      <c r="A877" s="4" t="s">
        <v>3962</v>
      </c>
      <c r="B877" s="3" t="str">
        <f t="shared" si="44"/>
        <v>Yes</v>
      </c>
      <c r="C877" s="3">
        <f t="shared" si="45"/>
        <v>446</v>
      </c>
      <c r="D877" s="5">
        <v>11513147166</v>
      </c>
      <c r="E877" s="4" t="s">
        <v>3963</v>
      </c>
      <c r="F877" s="4" t="s">
        <v>3964</v>
      </c>
      <c r="G877" s="4"/>
      <c r="H877" s="4" t="s">
        <v>34</v>
      </c>
      <c r="I877" s="4" t="s">
        <v>3965</v>
      </c>
      <c r="J877" s="4" t="s">
        <v>3966</v>
      </c>
      <c r="K877" s="4"/>
      <c r="L877" s="4" t="s">
        <v>1388</v>
      </c>
      <c r="M877" s="4" t="s">
        <v>38</v>
      </c>
      <c r="N877" s="4"/>
      <c r="O877" s="4"/>
      <c r="P877" s="4" t="str">
        <f>IF(OR(M877="Customer", M877="Opportunity", H877="Yes", H877=TRUE, G877="Yes", G877=TRUE, O877&gt;0), "YES", "NO")</f>
        <v>YES</v>
      </c>
    </row>
    <row r="878" spans="1:16" ht="15" x14ac:dyDescent="0.2">
      <c r="A878" s="2" t="s">
        <v>3967</v>
      </c>
      <c r="B878" s="3" t="str">
        <f t="shared" si="44"/>
        <v>eschnitzius@kvhealthcare.org</v>
      </c>
      <c r="C878" s="3">
        <f t="shared" si="45"/>
        <v>1</v>
      </c>
      <c r="D878" s="2" t="s">
        <v>3968</v>
      </c>
      <c r="E878" s="2" t="s">
        <v>608</v>
      </c>
      <c r="F878" s="2" t="s">
        <v>3969</v>
      </c>
      <c r="I878" s="2" t="s">
        <v>3970</v>
      </c>
      <c r="L878" s="2" t="s">
        <v>1225</v>
      </c>
      <c r="M878" s="2" t="s">
        <v>45</v>
      </c>
    </row>
    <row r="879" spans="1:16" ht="13" x14ac:dyDescent="0.15">
      <c r="A879" s="4" t="s">
        <v>3971</v>
      </c>
      <c r="B879" s="3" t="str">
        <f t="shared" si="44"/>
        <v>Yes</v>
      </c>
      <c r="C879" s="3">
        <f t="shared" si="45"/>
        <v>446</v>
      </c>
      <c r="D879" s="5">
        <v>820</v>
      </c>
      <c r="E879" s="4" t="s">
        <v>3972</v>
      </c>
      <c r="F879" s="4" t="s">
        <v>3973</v>
      </c>
      <c r="G879" s="4"/>
      <c r="H879" s="4" t="s">
        <v>34</v>
      </c>
      <c r="I879" s="4" t="s">
        <v>3974</v>
      </c>
      <c r="J879" s="6" t="s">
        <v>3975</v>
      </c>
      <c r="K879" s="4"/>
      <c r="L879" s="4" t="s">
        <v>3976</v>
      </c>
      <c r="M879" s="4" t="s">
        <v>38</v>
      </c>
      <c r="N879" s="4"/>
      <c r="O879" s="4"/>
      <c r="P879" s="4" t="str">
        <f t="shared" ref="P879:P887" si="47">IF(OR(M879="Customer", M879="Opportunity", H879="Yes", H879=TRUE, G879="Yes", G879=TRUE, O879&gt;0), "YES", "NO")</f>
        <v>YES</v>
      </c>
    </row>
    <row r="880" spans="1:16" ht="13" x14ac:dyDescent="0.15">
      <c r="A880" s="4" t="s">
        <v>3977</v>
      </c>
      <c r="B880" s="3" t="str">
        <f t="shared" si="44"/>
        <v>Yes</v>
      </c>
      <c r="C880" s="3">
        <f t="shared" si="45"/>
        <v>446</v>
      </c>
      <c r="D880" s="5">
        <v>11514661949</v>
      </c>
      <c r="E880" s="4" t="s">
        <v>3978</v>
      </c>
      <c r="F880" s="4" t="s">
        <v>3979</v>
      </c>
      <c r="G880" s="4"/>
      <c r="H880" s="4" t="s">
        <v>34</v>
      </c>
      <c r="I880" s="4" t="s">
        <v>3980</v>
      </c>
      <c r="J880" s="6" t="s">
        <v>3981</v>
      </c>
      <c r="K880" s="4"/>
      <c r="L880" s="4" t="s">
        <v>657</v>
      </c>
      <c r="M880" s="4" t="s">
        <v>38</v>
      </c>
      <c r="N880" s="4"/>
      <c r="O880" s="4"/>
      <c r="P880" s="4" t="str">
        <f t="shared" si="47"/>
        <v>YES</v>
      </c>
    </row>
    <row r="881" spans="1:16" ht="13" x14ac:dyDescent="0.15">
      <c r="A881" s="4" t="s">
        <v>3982</v>
      </c>
      <c r="B881" s="3" t="str">
        <f t="shared" si="44"/>
        <v>Yes</v>
      </c>
      <c r="C881" s="3">
        <f t="shared" si="45"/>
        <v>446</v>
      </c>
      <c r="D881" s="5">
        <v>11511250012</v>
      </c>
      <c r="E881" s="4" t="s">
        <v>3983</v>
      </c>
      <c r="F881" s="4" t="s">
        <v>3984</v>
      </c>
      <c r="G881" s="4"/>
      <c r="H881" s="4" t="s">
        <v>34</v>
      </c>
      <c r="I881" s="4" t="s">
        <v>3985</v>
      </c>
      <c r="J881" s="6" t="s">
        <v>3986</v>
      </c>
      <c r="K881" s="4"/>
      <c r="L881" s="4" t="s">
        <v>3987</v>
      </c>
      <c r="M881" s="4" t="s">
        <v>38</v>
      </c>
      <c r="N881" s="4"/>
      <c r="O881" s="4"/>
      <c r="P881" s="4" t="str">
        <f t="shared" si="47"/>
        <v>YES</v>
      </c>
    </row>
    <row r="882" spans="1:16" ht="13" x14ac:dyDescent="0.15">
      <c r="A882" s="4" t="s">
        <v>3988</v>
      </c>
      <c r="B882" s="3" t="str">
        <f t="shared" si="44"/>
        <v>Yes</v>
      </c>
      <c r="C882" s="3">
        <f t="shared" si="45"/>
        <v>446</v>
      </c>
      <c r="D882" s="5">
        <v>11515742880</v>
      </c>
      <c r="E882" s="4" t="s">
        <v>3989</v>
      </c>
      <c r="F882" s="4" t="s">
        <v>3990</v>
      </c>
      <c r="G882" s="4"/>
      <c r="H882" s="4" t="s">
        <v>34</v>
      </c>
      <c r="I882" s="4" t="s">
        <v>3991</v>
      </c>
      <c r="J882" s="6" t="s">
        <v>995</v>
      </c>
      <c r="K882" s="4"/>
      <c r="L882" s="4" t="s">
        <v>3992</v>
      </c>
      <c r="M882" s="4" t="s">
        <v>38</v>
      </c>
      <c r="N882" s="4"/>
      <c r="O882" s="4"/>
      <c r="P882" s="4" t="str">
        <f t="shared" si="47"/>
        <v>YES</v>
      </c>
    </row>
    <row r="883" spans="1:16" ht="13" x14ac:dyDescent="0.15">
      <c r="A883" s="4" t="s">
        <v>3993</v>
      </c>
      <c r="B883" s="3" t="str">
        <f t="shared" si="44"/>
        <v>Yes</v>
      </c>
      <c r="C883" s="3">
        <f t="shared" si="45"/>
        <v>446</v>
      </c>
      <c r="D883" s="5">
        <v>159</v>
      </c>
      <c r="E883" s="4" t="s">
        <v>3994</v>
      </c>
      <c r="F883" s="4" t="s">
        <v>3995</v>
      </c>
      <c r="G883" s="4"/>
      <c r="H883" s="4" t="s">
        <v>34</v>
      </c>
      <c r="I883" s="4" t="s">
        <v>3996</v>
      </c>
      <c r="J883" s="6" t="s">
        <v>3997</v>
      </c>
      <c r="K883" s="4"/>
      <c r="L883" s="4" t="s">
        <v>3998</v>
      </c>
      <c r="M883" s="4" t="s">
        <v>38</v>
      </c>
      <c r="N883" s="4"/>
      <c r="O883" s="4"/>
      <c r="P883" s="4" t="str">
        <f t="shared" si="47"/>
        <v>YES</v>
      </c>
    </row>
    <row r="884" spans="1:16" ht="13" x14ac:dyDescent="0.15">
      <c r="A884" s="4" t="s">
        <v>3999</v>
      </c>
      <c r="B884" s="3" t="str">
        <f t="shared" si="44"/>
        <v>Yes</v>
      </c>
      <c r="C884" s="3">
        <f t="shared" si="45"/>
        <v>446</v>
      </c>
      <c r="D884" s="5">
        <v>6054</v>
      </c>
      <c r="E884" s="4" t="s">
        <v>4000</v>
      </c>
      <c r="F884" s="4" t="s">
        <v>4001</v>
      </c>
      <c r="G884" s="4"/>
      <c r="H884" s="4" t="s">
        <v>34</v>
      </c>
      <c r="I884" s="4" t="s">
        <v>4002</v>
      </c>
      <c r="J884" s="6" t="s">
        <v>4003</v>
      </c>
      <c r="K884" s="4"/>
      <c r="L884" s="4" t="s">
        <v>984</v>
      </c>
      <c r="M884" s="4" t="s">
        <v>38</v>
      </c>
      <c r="N884" s="4"/>
      <c r="O884" s="4"/>
      <c r="P884" s="4" t="str">
        <f t="shared" si="47"/>
        <v>YES</v>
      </c>
    </row>
    <row r="885" spans="1:16" ht="13" x14ac:dyDescent="0.15">
      <c r="A885" s="4" t="s">
        <v>4004</v>
      </c>
      <c r="B885" s="3" t="str">
        <f t="shared" si="44"/>
        <v>Yes</v>
      </c>
      <c r="C885" s="3">
        <f t="shared" si="45"/>
        <v>446</v>
      </c>
      <c r="D885" s="5">
        <v>11512947641</v>
      </c>
      <c r="E885" s="4" t="s">
        <v>934</v>
      </c>
      <c r="F885" s="4" t="s">
        <v>4005</v>
      </c>
      <c r="G885" s="4"/>
      <c r="H885" s="4" t="s">
        <v>34</v>
      </c>
      <c r="I885" s="4" t="s">
        <v>4006</v>
      </c>
      <c r="J885" s="6" t="s">
        <v>4007</v>
      </c>
      <c r="K885" s="4"/>
      <c r="L885" s="4" t="s">
        <v>4008</v>
      </c>
      <c r="M885" s="4" t="s">
        <v>38</v>
      </c>
      <c r="N885" s="4"/>
      <c r="O885" s="4"/>
      <c r="P885" s="4" t="str">
        <f t="shared" si="47"/>
        <v>YES</v>
      </c>
    </row>
    <row r="886" spans="1:16" ht="13" x14ac:dyDescent="0.15">
      <c r="A886" s="4" t="s">
        <v>4009</v>
      </c>
      <c r="B886" s="3" t="str">
        <f t="shared" si="44"/>
        <v>david.monteiro@mylrh.org</v>
      </c>
      <c r="C886" s="3">
        <f t="shared" si="45"/>
        <v>1</v>
      </c>
      <c r="D886" s="5">
        <v>25006793649</v>
      </c>
      <c r="E886" s="4" t="s">
        <v>119</v>
      </c>
      <c r="F886" s="4" t="s">
        <v>4010</v>
      </c>
      <c r="G886" s="4" t="s">
        <v>34</v>
      </c>
      <c r="H886" s="4"/>
      <c r="I886" s="4" t="s">
        <v>4011</v>
      </c>
      <c r="J886" s="6" t="s">
        <v>4012</v>
      </c>
      <c r="K886" s="4"/>
      <c r="L886" s="4" t="s">
        <v>1423</v>
      </c>
      <c r="M886" s="4"/>
      <c r="N886" s="4"/>
      <c r="O886" s="4"/>
      <c r="P886" s="4" t="str">
        <f t="shared" si="47"/>
        <v>YES</v>
      </c>
    </row>
    <row r="887" spans="1:16" ht="13" x14ac:dyDescent="0.15">
      <c r="A887" s="4" t="s">
        <v>4013</v>
      </c>
      <c r="B887" s="3" t="str">
        <f t="shared" si="44"/>
        <v>raj@lazamedical.com</v>
      </c>
      <c r="C887" s="3">
        <f t="shared" si="45"/>
        <v>1</v>
      </c>
      <c r="D887" s="5">
        <v>19670291615</v>
      </c>
      <c r="E887" s="4" t="s">
        <v>4014</v>
      </c>
      <c r="F887" s="4" t="s">
        <v>4015</v>
      </c>
      <c r="G887" s="4"/>
      <c r="H887" s="4"/>
      <c r="I887" s="4" t="s">
        <v>4016</v>
      </c>
      <c r="J887" s="6" t="s">
        <v>4017</v>
      </c>
      <c r="K887" s="7">
        <v>45482.775694444441</v>
      </c>
      <c r="L887" s="4" t="s">
        <v>4018</v>
      </c>
      <c r="M887" s="4" t="s">
        <v>1033</v>
      </c>
      <c r="N887" s="4"/>
      <c r="O887" s="5">
        <v>1</v>
      </c>
      <c r="P887" s="4" t="str">
        <f t="shared" si="47"/>
        <v>YES</v>
      </c>
    </row>
    <row r="888" spans="1:16" ht="15" x14ac:dyDescent="0.2">
      <c r="A888" s="2" t="s">
        <v>4019</v>
      </c>
      <c r="B888" s="3" t="str">
        <f t="shared" si="44"/>
        <v>rhix@leonmedicalcenters.com</v>
      </c>
      <c r="C888" s="3">
        <f t="shared" si="45"/>
        <v>1</v>
      </c>
      <c r="D888" s="2" t="s">
        <v>4020</v>
      </c>
      <c r="E888" s="2" t="s">
        <v>4021</v>
      </c>
      <c r="F888" s="2" t="s">
        <v>4022</v>
      </c>
      <c r="I888" s="2" t="s">
        <v>4023</v>
      </c>
      <c r="L888" s="2" t="s">
        <v>4024</v>
      </c>
      <c r="M888" s="2" t="s">
        <v>45</v>
      </c>
    </row>
    <row r="889" spans="1:16" ht="13" x14ac:dyDescent="0.15">
      <c r="A889" s="4" t="s">
        <v>4025</v>
      </c>
      <c r="B889" s="3" t="str">
        <f t="shared" si="44"/>
        <v>Yes</v>
      </c>
      <c r="C889" s="3">
        <f t="shared" si="45"/>
        <v>446</v>
      </c>
      <c r="D889" s="5">
        <v>11493696387</v>
      </c>
      <c r="E889" s="4" t="s">
        <v>2696</v>
      </c>
      <c r="F889" s="4" t="s">
        <v>4026</v>
      </c>
      <c r="G889" s="4"/>
      <c r="H889" s="4" t="s">
        <v>34</v>
      </c>
      <c r="I889" s="4" t="s">
        <v>4027</v>
      </c>
      <c r="J889" s="6" t="s">
        <v>4028</v>
      </c>
      <c r="K889" s="4"/>
      <c r="L889" s="4" t="s">
        <v>990</v>
      </c>
      <c r="M889" s="4" t="s">
        <v>38</v>
      </c>
      <c r="N889" s="4"/>
      <c r="O889" s="4"/>
      <c r="P889" s="4" t="str">
        <f>IF(OR(M889="Customer", M889="Opportunity", H889="Yes", H889=TRUE, G889="Yes", G889=TRUE, O889&gt;0), "YES", "NO")</f>
        <v>YES</v>
      </c>
    </row>
    <row r="890" spans="1:16" ht="13" x14ac:dyDescent="0.15">
      <c r="A890" s="4" t="s">
        <v>4029</v>
      </c>
      <c r="B890" s="3" t="str">
        <f t="shared" si="44"/>
        <v>Yes</v>
      </c>
      <c r="C890" s="3">
        <f t="shared" si="45"/>
        <v>446</v>
      </c>
      <c r="D890" s="5">
        <v>11513897630</v>
      </c>
      <c r="E890" s="4" t="s">
        <v>4030</v>
      </c>
      <c r="F890" s="4" t="s">
        <v>599</v>
      </c>
      <c r="G890" s="4"/>
      <c r="H890" s="4" t="s">
        <v>34</v>
      </c>
      <c r="I890" s="4" t="s">
        <v>4031</v>
      </c>
      <c r="J890" s="6" t="s">
        <v>4032</v>
      </c>
      <c r="K890" s="4"/>
      <c r="L890" s="4" t="s">
        <v>4033</v>
      </c>
      <c r="M890" s="4" t="s">
        <v>38</v>
      </c>
      <c r="N890" s="4"/>
      <c r="O890" s="4"/>
      <c r="P890" s="4" t="str">
        <f>IF(OR(M890="Customer", M890="Opportunity", H890="Yes", H890=TRUE, G890="Yes", G890=TRUE, O890&gt;0), "YES", "NO")</f>
        <v>YES</v>
      </c>
    </row>
    <row r="891" spans="1:16" ht="13" x14ac:dyDescent="0.15">
      <c r="A891" s="4" t="s">
        <v>4034</v>
      </c>
      <c r="B891" s="3" t="str">
        <f t="shared" si="44"/>
        <v>ryan.wetherby@lifepointhealth.net</v>
      </c>
      <c r="C891" s="3">
        <f t="shared" si="45"/>
        <v>1</v>
      </c>
      <c r="D891" s="5">
        <v>25012087921</v>
      </c>
      <c r="E891" s="4" t="s">
        <v>2134</v>
      </c>
      <c r="F891" s="4" t="s">
        <v>4035</v>
      </c>
      <c r="G891" s="4" t="s">
        <v>34</v>
      </c>
      <c r="H891" s="4"/>
      <c r="I891" s="4" t="s">
        <v>4036</v>
      </c>
      <c r="J891" s="6" t="s">
        <v>4037</v>
      </c>
      <c r="K891" s="4"/>
      <c r="L891" s="4" t="s">
        <v>4038</v>
      </c>
      <c r="M891" s="4"/>
      <c r="N891" s="4"/>
      <c r="O891" s="4"/>
      <c r="P891" s="4" t="str">
        <f>IF(OR(M891="Customer", M891="Opportunity", H891="Yes", H891=TRUE, G891="Yes", G891=TRUE, O891&gt;0), "YES", "NO")</f>
        <v>YES</v>
      </c>
    </row>
    <row r="892" spans="1:16" ht="13" x14ac:dyDescent="0.15">
      <c r="A892" s="4" t="s">
        <v>4039</v>
      </c>
      <c r="B892" s="3" t="str">
        <f t="shared" si="44"/>
        <v>Yes</v>
      </c>
      <c r="C892" s="3">
        <f t="shared" si="45"/>
        <v>446</v>
      </c>
      <c r="D892" s="5">
        <v>11515400810</v>
      </c>
      <c r="E892" s="4" t="s">
        <v>4040</v>
      </c>
      <c r="F892" s="4" t="s">
        <v>3565</v>
      </c>
      <c r="G892" s="4"/>
      <c r="H892" s="4" t="s">
        <v>34</v>
      </c>
      <c r="I892" s="4" t="s">
        <v>4041</v>
      </c>
      <c r="J892" s="6" t="s">
        <v>4042</v>
      </c>
      <c r="K892" s="4"/>
      <c r="L892" s="4" t="s">
        <v>4043</v>
      </c>
      <c r="M892" s="4" t="s">
        <v>38</v>
      </c>
      <c r="N892" s="4"/>
      <c r="O892" s="4"/>
      <c r="P892" s="4" t="str">
        <f>IF(OR(M892="Customer", M892="Opportunity", H892="Yes", H892=TRUE, G892="Yes", G892=TRUE, O892&gt;0), "YES", "NO")</f>
        <v>YES</v>
      </c>
    </row>
    <row r="893" spans="1:16" ht="15" x14ac:dyDescent="0.2">
      <c r="A893" s="2" t="s">
        <v>4044</v>
      </c>
      <c r="B893" s="3" t="str">
        <f t="shared" si="44"/>
        <v>brett.thomson@livanova.com</v>
      </c>
      <c r="C893" s="3">
        <f t="shared" si="45"/>
        <v>1</v>
      </c>
      <c r="D893" s="2" t="s">
        <v>4045</v>
      </c>
      <c r="E893" s="2" t="s">
        <v>1907</v>
      </c>
      <c r="F893" s="2" t="s">
        <v>4046</v>
      </c>
      <c r="I893" s="2" t="s">
        <v>4047</v>
      </c>
      <c r="L893" s="2" t="s">
        <v>248</v>
      </c>
      <c r="M893" s="2" t="s">
        <v>463</v>
      </c>
    </row>
    <row r="894" spans="1:16" ht="13" x14ac:dyDescent="0.15">
      <c r="A894" s="4" t="s">
        <v>4048</v>
      </c>
      <c r="B894" s="3" t="str">
        <f t="shared" si="44"/>
        <v>Yes</v>
      </c>
      <c r="C894" s="3">
        <f t="shared" si="45"/>
        <v>446</v>
      </c>
      <c r="D894" s="5">
        <v>2503</v>
      </c>
      <c r="E894" s="4" t="s">
        <v>89</v>
      </c>
      <c r="F894" s="4" t="s">
        <v>4049</v>
      </c>
      <c r="G894" s="4"/>
      <c r="H894" s="4" t="s">
        <v>34</v>
      </c>
      <c r="I894" s="4" t="s">
        <v>4050</v>
      </c>
      <c r="J894" s="6" t="s">
        <v>4051</v>
      </c>
      <c r="K894" s="4"/>
      <c r="L894" s="4" t="s">
        <v>1608</v>
      </c>
      <c r="M894" s="4" t="s">
        <v>38</v>
      </c>
      <c r="N894" s="4"/>
      <c r="O894" s="4"/>
      <c r="P894" s="4" t="str">
        <f t="shared" ref="P894:P902" si="48">IF(OR(M894="Customer", M894="Opportunity", H894="Yes", H894=TRUE, G894="Yes", G894=TRUE, O894&gt;0), "YES", "NO")</f>
        <v>YES</v>
      </c>
    </row>
    <row r="895" spans="1:16" ht="13" x14ac:dyDescent="0.15">
      <c r="A895" s="4" t="s">
        <v>4052</v>
      </c>
      <c r="B895" s="3" t="str">
        <f t="shared" si="44"/>
        <v>tyadu@luminishealth.org</v>
      </c>
      <c r="C895" s="3">
        <f t="shared" si="45"/>
        <v>1</v>
      </c>
      <c r="D895" s="5">
        <v>25005888904</v>
      </c>
      <c r="E895" s="4" t="s">
        <v>4053</v>
      </c>
      <c r="F895" s="4" t="s">
        <v>4054</v>
      </c>
      <c r="G895" s="4" t="s">
        <v>34</v>
      </c>
      <c r="H895" s="4"/>
      <c r="I895" s="4" t="s">
        <v>4055</v>
      </c>
      <c r="J895" s="6" t="s">
        <v>4056</v>
      </c>
      <c r="K895" s="4"/>
      <c r="L895" s="4" t="s">
        <v>4057</v>
      </c>
      <c r="M895" s="4"/>
      <c r="N895" s="4"/>
      <c r="O895" s="4"/>
      <c r="P895" s="4" t="str">
        <f t="shared" si="48"/>
        <v>YES</v>
      </c>
    </row>
    <row r="896" spans="1:16" ht="13" x14ac:dyDescent="0.15">
      <c r="A896" s="4" t="s">
        <v>4058</v>
      </c>
      <c r="B896" s="3" t="str">
        <f t="shared" si="44"/>
        <v>plamoreux@lumoslabs.com</v>
      </c>
      <c r="C896" s="3">
        <f t="shared" si="45"/>
        <v>1</v>
      </c>
      <c r="D896" s="5">
        <v>3271</v>
      </c>
      <c r="E896" s="4" t="s">
        <v>526</v>
      </c>
      <c r="F896" s="4" t="s">
        <v>4059</v>
      </c>
      <c r="G896" s="4"/>
      <c r="H896" s="4"/>
      <c r="I896" s="4" t="s">
        <v>4060</v>
      </c>
      <c r="J896" s="6" t="s">
        <v>4061</v>
      </c>
      <c r="K896" s="7">
        <v>45601.593055555553</v>
      </c>
      <c r="L896" s="4" t="s">
        <v>4062</v>
      </c>
      <c r="M896" s="4" t="s">
        <v>1033</v>
      </c>
      <c r="N896" s="4"/>
      <c r="O896" s="5">
        <v>1</v>
      </c>
      <c r="P896" s="4" t="str">
        <f t="shared" si="48"/>
        <v>YES</v>
      </c>
    </row>
    <row r="897" spans="1:16" ht="13" x14ac:dyDescent="0.15">
      <c r="A897" s="4" t="s">
        <v>4063</v>
      </c>
      <c r="B897" s="3" t="str">
        <f t="shared" si="44"/>
        <v>Yes</v>
      </c>
      <c r="C897" s="3">
        <f t="shared" si="45"/>
        <v>446</v>
      </c>
      <c r="D897" s="5">
        <v>469</v>
      </c>
      <c r="E897" s="4" t="s">
        <v>919</v>
      </c>
      <c r="F897" s="4" t="s">
        <v>4064</v>
      </c>
      <c r="G897" s="4"/>
      <c r="H897" s="4" t="s">
        <v>34</v>
      </c>
      <c r="I897" s="4" t="s">
        <v>4065</v>
      </c>
      <c r="J897" s="6" t="s">
        <v>4061</v>
      </c>
      <c r="K897" s="4"/>
      <c r="L897" s="4" t="s">
        <v>840</v>
      </c>
      <c r="M897" s="4" t="s">
        <v>38</v>
      </c>
      <c r="N897" s="4"/>
      <c r="O897" s="4"/>
      <c r="P897" s="4" t="str">
        <f t="shared" si="48"/>
        <v>YES</v>
      </c>
    </row>
    <row r="898" spans="1:16" ht="13" x14ac:dyDescent="0.15">
      <c r="A898" s="4" t="s">
        <v>4066</v>
      </c>
      <c r="B898" s="3" t="str">
        <f t="shared" ref="B898:B961" si="49">IF(H898&lt;&gt;"",H898,I898)</f>
        <v>Yes</v>
      </c>
      <c r="C898" s="3">
        <f t="shared" ref="C898:C961" si="50">COUNTIF($B$2:$B$1586,B898)</f>
        <v>446</v>
      </c>
      <c r="D898" s="5">
        <v>11511250010</v>
      </c>
      <c r="E898" s="4" t="s">
        <v>4067</v>
      </c>
      <c r="F898" s="4" t="s">
        <v>589</v>
      </c>
      <c r="G898" s="4"/>
      <c r="H898" s="4" t="s">
        <v>34</v>
      </c>
      <c r="I898" s="4" t="s">
        <v>4068</v>
      </c>
      <c r="J898" s="6" t="s">
        <v>4069</v>
      </c>
      <c r="K898" s="4"/>
      <c r="L898" s="4" t="s">
        <v>4070</v>
      </c>
      <c r="M898" s="4" t="s">
        <v>38</v>
      </c>
      <c r="N898" s="4"/>
      <c r="O898" s="4"/>
      <c r="P898" s="4" t="str">
        <f t="shared" si="48"/>
        <v>YES</v>
      </c>
    </row>
    <row r="899" spans="1:16" ht="13" x14ac:dyDescent="0.15">
      <c r="A899" s="4" t="s">
        <v>4071</v>
      </c>
      <c r="B899" s="3" t="str">
        <f t="shared" si="49"/>
        <v>Yes</v>
      </c>
      <c r="C899" s="3">
        <f t="shared" si="50"/>
        <v>446</v>
      </c>
      <c r="D899" s="5">
        <v>2052</v>
      </c>
      <c r="E899" s="4" t="s">
        <v>4072</v>
      </c>
      <c r="F899" s="4" t="s">
        <v>4073</v>
      </c>
      <c r="G899" s="4"/>
      <c r="H899" s="4" t="s">
        <v>34</v>
      </c>
      <c r="I899" s="4" t="s">
        <v>4074</v>
      </c>
      <c r="J899" s="6" t="s">
        <v>4075</v>
      </c>
      <c r="K899" s="4"/>
      <c r="L899" s="4" t="s">
        <v>777</v>
      </c>
      <c r="M899" s="4" t="s">
        <v>38</v>
      </c>
      <c r="N899" s="4"/>
      <c r="O899" s="4"/>
      <c r="P899" s="4" t="str">
        <f t="shared" si="48"/>
        <v>YES</v>
      </c>
    </row>
    <row r="900" spans="1:16" ht="13" x14ac:dyDescent="0.15">
      <c r="A900" s="4" t="s">
        <v>4076</v>
      </c>
      <c r="B900" s="3" t="str">
        <f t="shared" si="49"/>
        <v>Yes</v>
      </c>
      <c r="C900" s="3">
        <f t="shared" si="50"/>
        <v>446</v>
      </c>
      <c r="D900" s="5">
        <v>2755</v>
      </c>
      <c r="E900" s="4" t="s">
        <v>4077</v>
      </c>
      <c r="F900" s="4" t="s">
        <v>4078</v>
      </c>
      <c r="G900" s="4"/>
      <c r="H900" s="4" t="s">
        <v>34</v>
      </c>
      <c r="I900" s="4" t="s">
        <v>4079</v>
      </c>
      <c r="J900" s="6" t="s">
        <v>4080</v>
      </c>
      <c r="K900" s="4"/>
      <c r="L900" s="4" t="s">
        <v>4081</v>
      </c>
      <c r="M900" s="4" t="s">
        <v>38</v>
      </c>
      <c r="N900" s="4"/>
      <c r="O900" s="4"/>
      <c r="P900" s="4" t="str">
        <f t="shared" si="48"/>
        <v>YES</v>
      </c>
    </row>
    <row r="901" spans="1:16" ht="13" x14ac:dyDescent="0.15">
      <c r="A901" s="4" t="s">
        <v>4082</v>
      </c>
      <c r="B901" s="3" t="str">
        <f t="shared" si="49"/>
        <v>Yes</v>
      </c>
      <c r="C901" s="3">
        <f t="shared" si="50"/>
        <v>446</v>
      </c>
      <c r="D901" s="5">
        <v>270</v>
      </c>
      <c r="E901" s="4" t="s">
        <v>119</v>
      </c>
      <c r="F901" s="4" t="s">
        <v>4083</v>
      </c>
      <c r="G901" s="4"/>
      <c r="H901" s="4" t="s">
        <v>34</v>
      </c>
      <c r="I901" s="4" t="s">
        <v>4084</v>
      </c>
      <c r="J901" s="6" t="s">
        <v>4085</v>
      </c>
      <c r="K901" s="4"/>
      <c r="L901" s="4" t="s">
        <v>4086</v>
      </c>
      <c r="M901" s="4" t="s">
        <v>38</v>
      </c>
      <c r="N901" s="4"/>
      <c r="O901" s="4"/>
      <c r="P901" s="4" t="str">
        <f t="shared" si="48"/>
        <v>YES</v>
      </c>
    </row>
    <row r="902" spans="1:16" ht="13" x14ac:dyDescent="0.15">
      <c r="A902" s="4" t="s">
        <v>4087</v>
      </c>
      <c r="B902" s="3" t="str">
        <f t="shared" si="49"/>
        <v>Yes</v>
      </c>
      <c r="C902" s="3">
        <f t="shared" si="50"/>
        <v>446</v>
      </c>
      <c r="D902" s="5">
        <v>11515568281</v>
      </c>
      <c r="E902" s="4" t="s">
        <v>4088</v>
      </c>
      <c r="F902" s="4" t="s">
        <v>4089</v>
      </c>
      <c r="G902" s="4"/>
      <c r="H902" s="4" t="s">
        <v>34</v>
      </c>
      <c r="I902" s="4" t="s">
        <v>4090</v>
      </c>
      <c r="J902" s="6" t="s">
        <v>62</v>
      </c>
      <c r="K902" s="4"/>
      <c r="L902" s="4" t="s">
        <v>2067</v>
      </c>
      <c r="M902" s="4" t="s">
        <v>38</v>
      </c>
      <c r="N902" s="4"/>
      <c r="O902" s="4"/>
      <c r="P902" s="4" t="str">
        <f t="shared" si="48"/>
        <v>YES</v>
      </c>
    </row>
    <row r="903" spans="1:16" ht="15" x14ac:dyDescent="0.2">
      <c r="A903" s="2" t="s">
        <v>4091</v>
      </c>
      <c r="B903" s="3" t="str">
        <f t="shared" si="49"/>
        <v>rboschen@marathon.health</v>
      </c>
      <c r="C903" s="3">
        <f t="shared" si="50"/>
        <v>1</v>
      </c>
      <c r="D903" s="2" t="s">
        <v>4092</v>
      </c>
      <c r="E903" s="2" t="s">
        <v>2707</v>
      </c>
      <c r="F903" s="2" t="s">
        <v>4093</v>
      </c>
      <c r="I903" s="2" t="s">
        <v>4094</v>
      </c>
      <c r="L903" s="2" t="s">
        <v>4095</v>
      </c>
      <c r="M903" s="2" t="s">
        <v>22</v>
      </c>
    </row>
    <row r="904" spans="1:16" ht="15" x14ac:dyDescent="0.2">
      <c r="A904" s="2" t="s">
        <v>4096</v>
      </c>
      <c r="B904" s="3" t="str">
        <f t="shared" si="49"/>
        <v>mdaly@marshallmedical.org</v>
      </c>
      <c r="C904" s="3">
        <f t="shared" si="50"/>
        <v>1</v>
      </c>
      <c r="D904" s="2" t="s">
        <v>4097</v>
      </c>
      <c r="E904" s="2" t="s">
        <v>3319</v>
      </c>
      <c r="F904" s="2" t="s">
        <v>4098</v>
      </c>
      <c r="I904" s="2" t="s">
        <v>4099</v>
      </c>
      <c r="L904" s="2" t="s">
        <v>4100</v>
      </c>
      <c r="M904" s="2" t="s">
        <v>45</v>
      </c>
    </row>
    <row r="905" spans="1:16" ht="13" x14ac:dyDescent="0.15">
      <c r="A905" s="4" t="s">
        <v>4101</v>
      </c>
      <c r="B905" s="3" t="str">
        <f t="shared" si="49"/>
        <v>Yes</v>
      </c>
      <c r="C905" s="3">
        <f t="shared" si="50"/>
        <v>446</v>
      </c>
      <c r="D905" s="5">
        <v>11514947198</v>
      </c>
      <c r="E905" s="4" t="s">
        <v>1465</v>
      </c>
      <c r="F905" s="4" t="s">
        <v>4102</v>
      </c>
      <c r="G905" s="4"/>
      <c r="H905" s="4" t="s">
        <v>34</v>
      </c>
      <c r="I905" s="4" t="s">
        <v>4103</v>
      </c>
      <c r="J905" s="6" t="s">
        <v>4104</v>
      </c>
      <c r="K905" s="4"/>
      <c r="L905" s="4" t="s">
        <v>1790</v>
      </c>
      <c r="M905" s="4" t="s">
        <v>38</v>
      </c>
      <c r="N905" s="4"/>
      <c r="O905" s="4"/>
      <c r="P905" s="4" t="str">
        <f>IF(OR(M905="Customer", M905="Opportunity", H905="Yes", H905=TRUE, G905="Yes", G905=TRUE, O905&gt;0), "YES", "NO")</f>
        <v>YES</v>
      </c>
    </row>
    <row r="906" spans="1:16" ht="15" x14ac:dyDescent="0.2">
      <c r="A906" s="2" t="s">
        <v>4105</v>
      </c>
      <c r="B906" s="3" t="str">
        <f t="shared" si="49"/>
        <v>kkali@mauimedical.com</v>
      </c>
      <c r="C906" s="3">
        <f t="shared" si="50"/>
        <v>1</v>
      </c>
      <c r="D906" s="2" t="s">
        <v>4106</v>
      </c>
      <c r="E906" s="2" t="s">
        <v>4107</v>
      </c>
      <c r="F906" s="2" t="s">
        <v>4108</v>
      </c>
      <c r="I906" s="2" t="s">
        <v>4109</v>
      </c>
      <c r="L906" s="2" t="s">
        <v>4110</v>
      </c>
      <c r="M906" s="2" t="s">
        <v>45</v>
      </c>
    </row>
    <row r="907" spans="1:16" ht="13" x14ac:dyDescent="0.15">
      <c r="A907" s="4" t="s">
        <v>4111</v>
      </c>
      <c r="B907" s="3" t="str">
        <f t="shared" si="49"/>
        <v>Yes</v>
      </c>
      <c r="C907" s="3">
        <f t="shared" si="50"/>
        <v>446</v>
      </c>
      <c r="D907" s="5">
        <v>11493543864</v>
      </c>
      <c r="E907" s="4" t="s">
        <v>4112</v>
      </c>
      <c r="F907" s="4" t="s">
        <v>4113</v>
      </c>
      <c r="G907" s="4"/>
      <c r="H907" s="4" t="s">
        <v>34</v>
      </c>
      <c r="I907" s="4" t="s">
        <v>4114</v>
      </c>
      <c r="J907" s="6" t="s">
        <v>4115</v>
      </c>
      <c r="K907" s="4"/>
      <c r="L907" s="4" t="s">
        <v>4116</v>
      </c>
      <c r="M907" s="4" t="s">
        <v>38</v>
      </c>
      <c r="N907" s="4"/>
      <c r="O907" s="4"/>
      <c r="P907" s="4" t="str">
        <f t="shared" ref="P907:P913" si="51">IF(OR(M907="Customer", M907="Opportunity", H907="Yes", H907=TRUE, G907="Yes", G907=TRUE, O907&gt;0), "YES", "NO")</f>
        <v>YES</v>
      </c>
    </row>
    <row r="908" spans="1:16" ht="13" x14ac:dyDescent="0.15">
      <c r="A908" s="4" t="s">
        <v>4117</v>
      </c>
      <c r="B908" s="3" t="str">
        <f t="shared" si="49"/>
        <v>Yes</v>
      </c>
      <c r="C908" s="3">
        <f t="shared" si="50"/>
        <v>446</v>
      </c>
      <c r="D908" s="5">
        <v>2304</v>
      </c>
      <c r="E908" s="4" t="s">
        <v>4118</v>
      </c>
      <c r="F908" s="4" t="s">
        <v>4119</v>
      </c>
      <c r="G908" s="4"/>
      <c r="H908" s="4" t="s">
        <v>34</v>
      </c>
      <c r="I908" s="4" t="s">
        <v>4120</v>
      </c>
      <c r="J908" s="6" t="s">
        <v>4121</v>
      </c>
      <c r="K908" s="4"/>
      <c r="L908" s="4" t="s">
        <v>4122</v>
      </c>
      <c r="M908" s="4" t="s">
        <v>38</v>
      </c>
      <c r="N908" s="4"/>
      <c r="O908" s="4"/>
      <c r="P908" s="4" t="str">
        <f t="shared" si="51"/>
        <v>YES</v>
      </c>
    </row>
    <row r="909" spans="1:16" ht="13" x14ac:dyDescent="0.15">
      <c r="A909" s="4" t="s">
        <v>4123</v>
      </c>
      <c r="B909" s="3" t="str">
        <f t="shared" si="49"/>
        <v>Yes</v>
      </c>
      <c r="C909" s="3">
        <f t="shared" si="50"/>
        <v>446</v>
      </c>
      <c r="D909" s="5">
        <v>11515173280</v>
      </c>
      <c r="E909" s="4" t="s">
        <v>259</v>
      </c>
      <c r="F909" s="4" t="s">
        <v>4124</v>
      </c>
      <c r="G909" s="4"/>
      <c r="H909" s="4" t="s">
        <v>34</v>
      </c>
      <c r="I909" s="4" t="s">
        <v>4125</v>
      </c>
      <c r="J909" s="6" t="s">
        <v>4121</v>
      </c>
      <c r="K909" s="4"/>
      <c r="L909" s="4" t="s">
        <v>4126</v>
      </c>
      <c r="M909" s="4" t="s">
        <v>38</v>
      </c>
      <c r="N909" s="4"/>
      <c r="O909" s="4"/>
      <c r="P909" s="4" t="str">
        <f t="shared" si="51"/>
        <v>YES</v>
      </c>
    </row>
    <row r="910" spans="1:16" ht="13" x14ac:dyDescent="0.15">
      <c r="A910" s="4" t="s">
        <v>4127</v>
      </c>
      <c r="B910" s="3" t="str">
        <f t="shared" si="49"/>
        <v>Yes</v>
      </c>
      <c r="C910" s="3">
        <f t="shared" si="50"/>
        <v>446</v>
      </c>
      <c r="D910" s="5">
        <v>409</v>
      </c>
      <c r="E910" s="4" t="s">
        <v>4128</v>
      </c>
      <c r="F910" s="4" t="s">
        <v>4129</v>
      </c>
      <c r="G910" s="4"/>
      <c r="H910" s="4" t="s">
        <v>34</v>
      </c>
      <c r="I910" s="4" t="s">
        <v>4130</v>
      </c>
      <c r="J910" s="6" t="s">
        <v>4131</v>
      </c>
      <c r="K910" s="4"/>
      <c r="L910" s="4" t="s">
        <v>2067</v>
      </c>
      <c r="M910" s="4" t="s">
        <v>38</v>
      </c>
      <c r="N910" s="4"/>
      <c r="O910" s="4"/>
      <c r="P910" s="4" t="str">
        <f t="shared" si="51"/>
        <v>YES</v>
      </c>
    </row>
    <row r="911" spans="1:16" ht="13" x14ac:dyDescent="0.15">
      <c r="A911" s="4" t="s">
        <v>4132</v>
      </c>
      <c r="B911" s="3" t="str">
        <f t="shared" si="49"/>
        <v>Yes</v>
      </c>
      <c r="C911" s="3">
        <f t="shared" si="50"/>
        <v>446</v>
      </c>
      <c r="D911" s="5">
        <v>2103</v>
      </c>
      <c r="E911" s="4" t="s">
        <v>4133</v>
      </c>
      <c r="F911" s="4" t="s">
        <v>4134</v>
      </c>
      <c r="G911" s="4"/>
      <c r="H911" s="4" t="s">
        <v>34</v>
      </c>
      <c r="I911" s="4" t="s">
        <v>4135</v>
      </c>
      <c r="J911" s="6" t="s">
        <v>4136</v>
      </c>
      <c r="K911" s="4"/>
      <c r="L911" s="4" t="s">
        <v>4137</v>
      </c>
      <c r="M911" s="4" t="s">
        <v>38</v>
      </c>
      <c r="N911" s="4"/>
      <c r="O911" s="4"/>
      <c r="P911" s="4" t="str">
        <f t="shared" si="51"/>
        <v>YES</v>
      </c>
    </row>
    <row r="912" spans="1:16" ht="13" x14ac:dyDescent="0.15">
      <c r="A912" s="4" t="s">
        <v>4138</v>
      </c>
      <c r="B912" s="3" t="str">
        <f t="shared" si="49"/>
        <v>Yes</v>
      </c>
      <c r="C912" s="3">
        <f t="shared" si="50"/>
        <v>446</v>
      </c>
      <c r="D912" s="5">
        <v>11512908930</v>
      </c>
      <c r="E912" s="4" t="s">
        <v>4139</v>
      </c>
      <c r="F912" s="4" t="s">
        <v>4140</v>
      </c>
      <c r="G912" s="4"/>
      <c r="H912" s="4" t="s">
        <v>34</v>
      </c>
      <c r="I912" s="4" t="s">
        <v>4141</v>
      </c>
      <c r="J912" s="6" t="s">
        <v>4142</v>
      </c>
      <c r="K912" s="4"/>
      <c r="L912" s="4" t="s">
        <v>4143</v>
      </c>
      <c r="M912" s="4" t="s">
        <v>38</v>
      </c>
      <c r="N912" s="4"/>
      <c r="O912" s="4"/>
      <c r="P912" s="4" t="str">
        <f t="shared" si="51"/>
        <v>YES</v>
      </c>
    </row>
    <row r="913" spans="1:16" ht="13" x14ac:dyDescent="0.15">
      <c r="A913" s="4" t="s">
        <v>4144</v>
      </c>
      <c r="B913" s="3" t="str">
        <f t="shared" si="49"/>
        <v>Yes</v>
      </c>
      <c r="C913" s="3">
        <f t="shared" si="50"/>
        <v>446</v>
      </c>
      <c r="D913" s="5">
        <v>11514643525</v>
      </c>
      <c r="E913" s="4" t="s">
        <v>4145</v>
      </c>
      <c r="F913" s="4" t="s">
        <v>4146</v>
      </c>
      <c r="G913" s="4"/>
      <c r="H913" s="4" t="s">
        <v>34</v>
      </c>
      <c r="I913" s="4" t="s">
        <v>4147</v>
      </c>
      <c r="J913" s="6" t="s">
        <v>4148</v>
      </c>
      <c r="K913" s="4"/>
      <c r="L913" s="4" t="s">
        <v>3408</v>
      </c>
      <c r="M913" s="4" t="s">
        <v>38</v>
      </c>
      <c r="N913" s="4"/>
      <c r="O913" s="4"/>
      <c r="P913" s="4" t="str">
        <f t="shared" si="51"/>
        <v>YES</v>
      </c>
    </row>
    <row r="914" spans="1:16" ht="15" x14ac:dyDescent="0.2">
      <c r="A914" s="2" t="s">
        <v>4149</v>
      </c>
      <c r="B914" s="3" t="str">
        <f t="shared" si="49"/>
        <v>davecollie@medicaleyecenter.com</v>
      </c>
      <c r="C914" s="3">
        <f t="shared" si="50"/>
        <v>1</v>
      </c>
      <c r="D914" s="2" t="s">
        <v>4150</v>
      </c>
      <c r="E914" s="2" t="s">
        <v>240</v>
      </c>
      <c r="F914" s="2" t="s">
        <v>4151</v>
      </c>
      <c r="I914" s="2" t="s">
        <v>4152</v>
      </c>
      <c r="L914" s="2" t="s">
        <v>4153</v>
      </c>
      <c r="M914" s="2" t="s">
        <v>45</v>
      </c>
    </row>
    <row r="915" spans="1:16" ht="13" x14ac:dyDescent="0.15">
      <c r="A915" s="4" t="s">
        <v>4154</v>
      </c>
      <c r="B915" s="3" t="str">
        <f t="shared" si="49"/>
        <v>Yes</v>
      </c>
      <c r="C915" s="3">
        <f t="shared" si="50"/>
        <v>446</v>
      </c>
      <c r="D915" s="5">
        <v>11512789674</v>
      </c>
      <c r="E915" s="4" t="s">
        <v>4155</v>
      </c>
      <c r="F915" s="4" t="s">
        <v>4156</v>
      </c>
      <c r="G915" s="4"/>
      <c r="H915" s="4" t="s">
        <v>34</v>
      </c>
      <c r="I915" s="4" t="s">
        <v>4157</v>
      </c>
      <c r="J915" s="6" t="s">
        <v>4158</v>
      </c>
      <c r="K915" s="4"/>
      <c r="L915" s="4" t="s">
        <v>4159</v>
      </c>
      <c r="M915" s="4" t="s">
        <v>38</v>
      </c>
      <c r="N915" s="4"/>
      <c r="O915" s="4"/>
      <c r="P915" s="4" t="str">
        <f>IF(OR(M915="Customer", M915="Opportunity", H915="Yes", H915=TRUE, G915="Yes", G915=TRUE, O915&gt;0), "YES", "NO")</f>
        <v>YES</v>
      </c>
    </row>
    <row r="916" spans="1:16" ht="13" x14ac:dyDescent="0.15">
      <c r="A916" s="4" t="s">
        <v>4160</v>
      </c>
      <c r="B916" s="3" t="str">
        <f t="shared" si="49"/>
        <v>Yes</v>
      </c>
      <c r="C916" s="3">
        <f t="shared" si="50"/>
        <v>446</v>
      </c>
      <c r="D916" s="5">
        <v>11515414595</v>
      </c>
      <c r="E916" s="4" t="s">
        <v>4161</v>
      </c>
      <c r="F916" s="4" t="s">
        <v>4162</v>
      </c>
      <c r="G916" s="4"/>
      <c r="H916" s="4" t="s">
        <v>34</v>
      </c>
      <c r="I916" s="4" t="s">
        <v>4163</v>
      </c>
      <c r="J916" s="6" t="s">
        <v>4164</v>
      </c>
      <c r="K916" s="4"/>
      <c r="L916" s="4" t="s">
        <v>4165</v>
      </c>
      <c r="M916" s="4" t="s">
        <v>38</v>
      </c>
      <c r="N916" s="4"/>
      <c r="O916" s="4"/>
      <c r="P916" s="4" t="str">
        <f>IF(OR(M916="Customer", M916="Opportunity", H916="Yes", H916=TRUE, G916="Yes", G916=TRUE, O916&gt;0), "YES", "NO")</f>
        <v>YES</v>
      </c>
    </row>
    <row r="917" spans="1:16" ht="13" x14ac:dyDescent="0.15">
      <c r="A917" s="4" t="s">
        <v>4166</v>
      </c>
      <c r="B917" s="3" t="str">
        <f t="shared" si="49"/>
        <v>Yes</v>
      </c>
      <c r="C917" s="3">
        <f t="shared" si="50"/>
        <v>446</v>
      </c>
      <c r="D917" s="5">
        <v>3852</v>
      </c>
      <c r="E917" s="4" t="s">
        <v>3849</v>
      </c>
      <c r="F917" s="4" t="s">
        <v>4167</v>
      </c>
      <c r="G917" s="4"/>
      <c r="H917" s="4" t="s">
        <v>34</v>
      </c>
      <c r="I917" s="4" t="s">
        <v>4168</v>
      </c>
      <c r="J917" s="6" t="s">
        <v>4169</v>
      </c>
      <c r="K917" s="4"/>
      <c r="L917" s="4" t="s">
        <v>4170</v>
      </c>
      <c r="M917" s="4" t="s">
        <v>38</v>
      </c>
      <c r="N917" s="4"/>
      <c r="O917" s="4"/>
      <c r="P917" s="4" t="str">
        <f>IF(OR(M917="Customer", M917="Opportunity", H917="Yes", H917=TRUE, G917="Yes", G917=TRUE, O917&gt;0), "YES", "NO")</f>
        <v>YES</v>
      </c>
    </row>
    <row r="918" spans="1:16" ht="15" x14ac:dyDescent="0.2">
      <c r="A918" s="2" t="s">
        <v>4171</v>
      </c>
      <c r="B918" s="3" t="str">
        <f t="shared" si="49"/>
        <v>rbyars@medicalpropertiestrust.com</v>
      </c>
      <c r="C918" s="3">
        <f t="shared" si="50"/>
        <v>1</v>
      </c>
      <c r="D918" s="2" t="s">
        <v>4172</v>
      </c>
      <c r="E918" s="2" t="s">
        <v>4173</v>
      </c>
      <c r="F918" s="2" t="s">
        <v>4174</v>
      </c>
      <c r="I918" s="2" t="s">
        <v>4175</v>
      </c>
      <c r="L918" s="2" t="s">
        <v>4176</v>
      </c>
      <c r="M918" s="2" t="s">
        <v>45</v>
      </c>
    </row>
    <row r="919" spans="1:16" ht="13" x14ac:dyDescent="0.15">
      <c r="A919" s="4" t="s">
        <v>4177</v>
      </c>
      <c r="B919" s="3" t="str">
        <f t="shared" si="49"/>
        <v>Yes</v>
      </c>
      <c r="C919" s="3">
        <f t="shared" si="50"/>
        <v>446</v>
      </c>
      <c r="D919" s="5">
        <v>815</v>
      </c>
      <c r="E919" s="4" t="s">
        <v>4178</v>
      </c>
      <c r="F919" s="4" t="s">
        <v>4179</v>
      </c>
      <c r="G919" s="4"/>
      <c r="H919" s="4" t="s">
        <v>34</v>
      </c>
      <c r="I919" s="4" t="s">
        <v>4180</v>
      </c>
      <c r="J919" s="6" t="s">
        <v>4181</v>
      </c>
      <c r="K919" s="4"/>
      <c r="L919" s="4" t="s">
        <v>4182</v>
      </c>
      <c r="M919" s="4" t="s">
        <v>38</v>
      </c>
      <c r="N919" s="4"/>
      <c r="O919" s="4"/>
      <c r="P919" s="4" t="str">
        <f t="shared" ref="P919:P935" si="52">IF(OR(M919="Customer", M919="Opportunity", H919="Yes", H919=TRUE, G919="Yes", G919=TRUE, O919&gt;0), "YES", "NO")</f>
        <v>YES</v>
      </c>
    </row>
    <row r="920" spans="1:16" ht="13" x14ac:dyDescent="0.15">
      <c r="A920" s="4" t="s">
        <v>4183</v>
      </c>
      <c r="B920" s="3" t="str">
        <f t="shared" si="49"/>
        <v>Yes</v>
      </c>
      <c r="C920" s="3">
        <f t="shared" si="50"/>
        <v>446</v>
      </c>
      <c r="D920" s="5">
        <v>11510627246</v>
      </c>
      <c r="E920" s="4" t="s">
        <v>4184</v>
      </c>
      <c r="F920" s="4" t="s">
        <v>4185</v>
      </c>
      <c r="G920" s="4"/>
      <c r="H920" s="4" t="s">
        <v>34</v>
      </c>
      <c r="I920" s="4" t="s">
        <v>4186</v>
      </c>
      <c r="J920" s="6" t="s">
        <v>4187</v>
      </c>
      <c r="K920" s="4"/>
      <c r="L920" s="4" t="s">
        <v>4188</v>
      </c>
      <c r="M920" s="4" t="s">
        <v>38</v>
      </c>
      <c r="N920" s="4"/>
      <c r="O920" s="4"/>
      <c r="P920" s="4" t="str">
        <f t="shared" si="52"/>
        <v>YES</v>
      </c>
    </row>
    <row r="921" spans="1:16" ht="13" x14ac:dyDescent="0.15">
      <c r="A921" s="4" t="s">
        <v>4189</v>
      </c>
      <c r="B921" s="3" t="str">
        <f t="shared" si="49"/>
        <v>Yes</v>
      </c>
      <c r="C921" s="3">
        <f t="shared" si="50"/>
        <v>446</v>
      </c>
      <c r="D921" s="5">
        <v>11511423356</v>
      </c>
      <c r="E921" s="4" t="s">
        <v>4190</v>
      </c>
      <c r="F921" s="4" t="s">
        <v>4191</v>
      </c>
      <c r="G921" s="4"/>
      <c r="H921" s="4" t="s">
        <v>34</v>
      </c>
      <c r="I921" s="4" t="s">
        <v>4192</v>
      </c>
      <c r="J921" s="6" t="s">
        <v>4193</v>
      </c>
      <c r="K921" s="4"/>
      <c r="L921" s="4" t="s">
        <v>4194</v>
      </c>
      <c r="M921" s="4" t="s">
        <v>38</v>
      </c>
      <c r="N921" s="4"/>
      <c r="O921" s="4"/>
      <c r="P921" s="4" t="str">
        <f t="shared" si="52"/>
        <v>YES</v>
      </c>
    </row>
    <row r="922" spans="1:16" ht="13" x14ac:dyDescent="0.15">
      <c r="A922" s="4" t="s">
        <v>4195</v>
      </c>
      <c r="B922" s="3" t="str">
        <f t="shared" si="49"/>
        <v>Yes</v>
      </c>
      <c r="C922" s="3">
        <f t="shared" si="50"/>
        <v>446</v>
      </c>
      <c r="D922" s="5">
        <v>403</v>
      </c>
      <c r="E922" s="4" t="s">
        <v>3591</v>
      </c>
      <c r="F922" s="4" t="s">
        <v>4196</v>
      </c>
      <c r="G922" s="4"/>
      <c r="H922" s="4" t="s">
        <v>34</v>
      </c>
      <c r="I922" s="4" t="s">
        <v>4197</v>
      </c>
      <c r="J922" s="6" t="s">
        <v>4193</v>
      </c>
      <c r="K922" s="4"/>
      <c r="L922" s="4" t="s">
        <v>4198</v>
      </c>
      <c r="M922" s="4" t="s">
        <v>38</v>
      </c>
      <c r="N922" s="4"/>
      <c r="O922" s="4"/>
      <c r="P922" s="4" t="str">
        <f t="shared" si="52"/>
        <v>YES</v>
      </c>
    </row>
    <row r="923" spans="1:16" ht="13" x14ac:dyDescent="0.15">
      <c r="A923" s="4" t="s">
        <v>4199</v>
      </c>
      <c r="B923" s="3" t="str">
        <f t="shared" si="49"/>
        <v>steve.rice@meditologyservices.com</v>
      </c>
      <c r="C923" s="3">
        <f t="shared" si="50"/>
        <v>1</v>
      </c>
      <c r="D923" s="5">
        <v>25013279846</v>
      </c>
      <c r="E923" s="4" t="s">
        <v>1234</v>
      </c>
      <c r="F923" s="4" t="s">
        <v>4200</v>
      </c>
      <c r="G923" s="4" t="s">
        <v>34</v>
      </c>
      <c r="H923" s="4"/>
      <c r="I923" s="4" t="s">
        <v>4201</v>
      </c>
      <c r="J923" s="6" t="s">
        <v>4202</v>
      </c>
      <c r="K923" s="4"/>
      <c r="L923" s="4" t="s">
        <v>4203</v>
      </c>
      <c r="M923" s="4"/>
      <c r="N923" s="4"/>
      <c r="O923" s="4"/>
      <c r="P923" s="4" t="str">
        <f t="shared" si="52"/>
        <v>YES</v>
      </c>
    </row>
    <row r="924" spans="1:16" ht="13" x14ac:dyDescent="0.15">
      <c r="A924" s="4" t="s">
        <v>4204</v>
      </c>
      <c r="B924" s="3" t="str">
        <f t="shared" si="49"/>
        <v>Yes</v>
      </c>
      <c r="C924" s="3">
        <f t="shared" si="50"/>
        <v>446</v>
      </c>
      <c r="D924" s="5">
        <v>11511367839</v>
      </c>
      <c r="E924" s="4" t="s">
        <v>1175</v>
      </c>
      <c r="F924" s="4" t="s">
        <v>4205</v>
      </c>
      <c r="G924" s="4"/>
      <c r="H924" s="4" t="s">
        <v>34</v>
      </c>
      <c r="I924" s="4" t="s">
        <v>4206</v>
      </c>
      <c r="J924" s="6" t="s">
        <v>4207</v>
      </c>
      <c r="K924" s="4"/>
      <c r="L924" s="4" t="s">
        <v>4208</v>
      </c>
      <c r="M924" s="4" t="s">
        <v>38</v>
      </c>
      <c r="N924" s="4"/>
      <c r="O924" s="4"/>
      <c r="P924" s="4" t="str">
        <f t="shared" si="52"/>
        <v>YES</v>
      </c>
    </row>
    <row r="925" spans="1:16" ht="13" x14ac:dyDescent="0.15">
      <c r="A925" s="4" t="s">
        <v>4204</v>
      </c>
      <c r="B925" s="3" t="str">
        <f t="shared" si="49"/>
        <v>Yes</v>
      </c>
      <c r="C925" s="3">
        <f t="shared" si="50"/>
        <v>446</v>
      </c>
      <c r="D925" s="5">
        <v>11514740020</v>
      </c>
      <c r="E925" s="4" t="s">
        <v>4209</v>
      </c>
      <c r="F925" s="4" t="s">
        <v>4210</v>
      </c>
      <c r="G925" s="4"/>
      <c r="H925" s="4" t="s">
        <v>34</v>
      </c>
      <c r="I925" s="4" t="s">
        <v>4211</v>
      </c>
      <c r="J925" s="6" t="s">
        <v>4207</v>
      </c>
      <c r="K925" s="4"/>
      <c r="L925" s="4" t="s">
        <v>4212</v>
      </c>
      <c r="M925" s="4" t="s">
        <v>38</v>
      </c>
      <c r="N925" s="4"/>
      <c r="O925" s="4"/>
      <c r="P925" s="4" t="str">
        <f t="shared" si="52"/>
        <v>YES</v>
      </c>
    </row>
    <row r="926" spans="1:16" ht="13" x14ac:dyDescent="0.15">
      <c r="A926" s="4" t="s">
        <v>4204</v>
      </c>
      <c r="B926" s="3" t="str">
        <f t="shared" si="49"/>
        <v>Yes</v>
      </c>
      <c r="C926" s="3">
        <f t="shared" si="50"/>
        <v>446</v>
      </c>
      <c r="D926" s="5">
        <v>11515568275</v>
      </c>
      <c r="E926" s="4" t="s">
        <v>1709</v>
      </c>
      <c r="F926" s="4" t="s">
        <v>712</v>
      </c>
      <c r="G926" s="4"/>
      <c r="H926" s="4" t="s">
        <v>34</v>
      </c>
      <c r="I926" s="4" t="s">
        <v>4213</v>
      </c>
      <c r="J926" s="6" t="s">
        <v>4207</v>
      </c>
      <c r="K926" s="4"/>
      <c r="L926" s="4" t="s">
        <v>681</v>
      </c>
      <c r="M926" s="4" t="s">
        <v>38</v>
      </c>
      <c r="N926" s="4"/>
      <c r="O926" s="4"/>
      <c r="P926" s="4" t="str">
        <f t="shared" si="52"/>
        <v>YES</v>
      </c>
    </row>
    <row r="927" spans="1:16" ht="13" x14ac:dyDescent="0.15">
      <c r="A927" s="4" t="s">
        <v>4204</v>
      </c>
      <c r="B927" s="3" t="str">
        <f t="shared" si="49"/>
        <v>Yes</v>
      </c>
      <c r="C927" s="3">
        <f t="shared" si="50"/>
        <v>446</v>
      </c>
      <c r="D927" s="5">
        <v>11493886860</v>
      </c>
      <c r="E927" s="4" t="s">
        <v>2360</v>
      </c>
      <c r="F927" s="4" t="s">
        <v>4214</v>
      </c>
      <c r="G927" s="4"/>
      <c r="H927" s="4" t="s">
        <v>34</v>
      </c>
      <c r="I927" s="4" t="s">
        <v>4215</v>
      </c>
      <c r="J927" s="6" t="s">
        <v>4207</v>
      </c>
      <c r="K927" s="4"/>
      <c r="L927" s="4" t="s">
        <v>2514</v>
      </c>
      <c r="M927" s="4" t="s">
        <v>38</v>
      </c>
      <c r="N927" s="4"/>
      <c r="O927" s="4"/>
      <c r="P927" s="4" t="str">
        <f t="shared" si="52"/>
        <v>YES</v>
      </c>
    </row>
    <row r="928" spans="1:16" ht="13" x14ac:dyDescent="0.15">
      <c r="A928" s="4" t="s">
        <v>4216</v>
      </c>
      <c r="B928" s="3" t="str">
        <f t="shared" si="49"/>
        <v>Yes</v>
      </c>
      <c r="C928" s="3">
        <f t="shared" si="50"/>
        <v>446</v>
      </c>
      <c r="D928" s="5">
        <v>922</v>
      </c>
      <c r="E928" s="4" t="s">
        <v>207</v>
      </c>
      <c r="F928" s="4" t="s">
        <v>859</v>
      </c>
      <c r="G928" s="4"/>
      <c r="H928" s="4" t="s">
        <v>34</v>
      </c>
      <c r="I928" s="4" t="s">
        <v>4217</v>
      </c>
      <c r="J928" s="6" t="s">
        <v>4218</v>
      </c>
      <c r="K928" s="4"/>
      <c r="L928" s="4" t="s">
        <v>4219</v>
      </c>
      <c r="M928" s="4" t="s">
        <v>38</v>
      </c>
      <c r="N928" s="4"/>
      <c r="O928" s="4"/>
      <c r="P928" s="4" t="str">
        <f t="shared" si="52"/>
        <v>YES</v>
      </c>
    </row>
    <row r="929" spans="1:16" ht="13" x14ac:dyDescent="0.15">
      <c r="A929" s="4" t="s">
        <v>4220</v>
      </c>
      <c r="B929" s="3" t="str">
        <f t="shared" si="49"/>
        <v>Yes</v>
      </c>
      <c r="C929" s="3">
        <f t="shared" si="50"/>
        <v>446</v>
      </c>
      <c r="D929" s="5">
        <v>3105</v>
      </c>
      <c r="E929" s="4" t="s">
        <v>4221</v>
      </c>
      <c r="F929" s="4" t="s">
        <v>4222</v>
      </c>
      <c r="G929" s="4"/>
      <c r="H929" s="4" t="s">
        <v>34</v>
      </c>
      <c r="I929" s="4" t="s">
        <v>4223</v>
      </c>
      <c r="J929" s="6" t="s">
        <v>4224</v>
      </c>
      <c r="K929" s="4"/>
      <c r="L929" s="4" t="s">
        <v>4225</v>
      </c>
      <c r="M929" s="4" t="s">
        <v>38</v>
      </c>
      <c r="N929" s="4"/>
      <c r="O929" s="4"/>
      <c r="P929" s="4" t="str">
        <f t="shared" si="52"/>
        <v>YES</v>
      </c>
    </row>
    <row r="930" spans="1:16" ht="13" x14ac:dyDescent="0.15">
      <c r="A930" s="4" t="s">
        <v>4226</v>
      </c>
      <c r="B930" s="3" t="str">
        <f t="shared" si="49"/>
        <v>Yes</v>
      </c>
      <c r="C930" s="3">
        <f t="shared" si="50"/>
        <v>446</v>
      </c>
      <c r="D930" s="5">
        <v>11514429094</v>
      </c>
      <c r="E930" s="4" t="s">
        <v>2707</v>
      </c>
      <c r="F930" s="4" t="s">
        <v>4227</v>
      </c>
      <c r="G930" s="4"/>
      <c r="H930" s="4" t="s">
        <v>34</v>
      </c>
      <c r="I930" s="4" t="s">
        <v>4228</v>
      </c>
      <c r="J930" s="6" t="s">
        <v>4229</v>
      </c>
      <c r="K930" s="4"/>
      <c r="L930" s="4" t="s">
        <v>4230</v>
      </c>
      <c r="M930" s="4" t="s">
        <v>38</v>
      </c>
      <c r="N930" s="4"/>
      <c r="O930" s="4"/>
      <c r="P930" s="4" t="str">
        <f t="shared" si="52"/>
        <v>YES</v>
      </c>
    </row>
    <row r="931" spans="1:16" ht="13" x14ac:dyDescent="0.15">
      <c r="A931" s="4" t="s">
        <v>4231</v>
      </c>
      <c r="B931" s="3" t="str">
        <f t="shared" si="49"/>
        <v>nancy.brainerd@medtronic.com</v>
      </c>
      <c r="C931" s="3">
        <f t="shared" si="50"/>
        <v>2</v>
      </c>
      <c r="D931" s="5">
        <v>25005888913</v>
      </c>
      <c r="E931" s="4" t="s">
        <v>4232</v>
      </c>
      <c r="F931" s="4" t="s">
        <v>4233</v>
      </c>
      <c r="G931" s="4" t="s">
        <v>34</v>
      </c>
      <c r="H931" s="4"/>
      <c r="I931" s="4" t="s">
        <v>4234</v>
      </c>
      <c r="J931" s="6" t="s">
        <v>4235</v>
      </c>
      <c r="K931" s="4"/>
      <c r="L931" s="4" t="s">
        <v>4236</v>
      </c>
      <c r="M931" s="4"/>
      <c r="N931" s="4"/>
      <c r="O931" s="4"/>
      <c r="P931" s="4" t="str">
        <f t="shared" si="52"/>
        <v>YES</v>
      </c>
    </row>
    <row r="932" spans="1:16" ht="13" x14ac:dyDescent="0.15">
      <c r="A932" s="4" t="s">
        <v>4231</v>
      </c>
      <c r="B932" s="3" t="str">
        <f t="shared" si="49"/>
        <v>matthew.a.vorhees@medtronic.com</v>
      </c>
      <c r="C932" s="3">
        <f t="shared" si="50"/>
        <v>1</v>
      </c>
      <c r="D932" s="5">
        <v>25021920037</v>
      </c>
      <c r="E932" s="4" t="s">
        <v>207</v>
      </c>
      <c r="F932" s="4" t="s">
        <v>4237</v>
      </c>
      <c r="G932" s="4" t="s">
        <v>34</v>
      </c>
      <c r="H932" s="4"/>
      <c r="I932" s="4" t="s">
        <v>4238</v>
      </c>
      <c r="J932" s="6" t="s">
        <v>4235</v>
      </c>
      <c r="K932" s="4"/>
      <c r="L932" s="4" t="s">
        <v>4239</v>
      </c>
      <c r="M932" s="4"/>
      <c r="N932" s="4"/>
      <c r="O932" s="4"/>
      <c r="P932" s="4" t="str">
        <f t="shared" si="52"/>
        <v>YES</v>
      </c>
    </row>
    <row r="933" spans="1:16" ht="13" x14ac:dyDescent="0.15">
      <c r="A933" s="4" t="s">
        <v>4231</v>
      </c>
      <c r="B933" s="3" t="str">
        <f t="shared" si="49"/>
        <v>chris.reed@medtronic.com</v>
      </c>
      <c r="C933" s="3">
        <f t="shared" si="50"/>
        <v>1</v>
      </c>
      <c r="D933" s="5">
        <v>25021616453</v>
      </c>
      <c r="E933" s="4" t="s">
        <v>1652</v>
      </c>
      <c r="F933" s="4" t="s">
        <v>4240</v>
      </c>
      <c r="G933" s="4" t="s">
        <v>34</v>
      </c>
      <c r="H933" s="4"/>
      <c r="I933" s="4" t="s">
        <v>4241</v>
      </c>
      <c r="J933" s="6" t="s">
        <v>4235</v>
      </c>
      <c r="K933" s="4"/>
      <c r="L933" s="4" t="s">
        <v>4242</v>
      </c>
      <c r="M933" s="4"/>
      <c r="N933" s="4"/>
      <c r="O933" s="4"/>
      <c r="P933" s="4" t="str">
        <f t="shared" si="52"/>
        <v>YES</v>
      </c>
    </row>
    <row r="934" spans="1:16" ht="13" x14ac:dyDescent="0.15">
      <c r="A934" s="4" t="s">
        <v>4231</v>
      </c>
      <c r="B934" s="3" t="str">
        <f t="shared" si="49"/>
        <v>david.pinto@medtronic.com</v>
      </c>
      <c r="C934" s="3">
        <f t="shared" si="50"/>
        <v>1</v>
      </c>
      <c r="D934" s="5">
        <v>25012686602</v>
      </c>
      <c r="E934" s="4" t="s">
        <v>119</v>
      </c>
      <c r="F934" s="4" t="s">
        <v>4243</v>
      </c>
      <c r="G934" s="4" t="s">
        <v>34</v>
      </c>
      <c r="H934" s="4"/>
      <c r="I934" s="4" t="s">
        <v>4244</v>
      </c>
      <c r="J934" s="6" t="s">
        <v>4235</v>
      </c>
      <c r="K934" s="4"/>
      <c r="L934" s="4" t="s">
        <v>4245</v>
      </c>
      <c r="M934" s="4"/>
      <c r="N934" s="4"/>
      <c r="O934" s="4"/>
      <c r="P934" s="4" t="str">
        <f t="shared" si="52"/>
        <v>YES</v>
      </c>
    </row>
    <row r="935" spans="1:16" ht="13" x14ac:dyDescent="0.15">
      <c r="A935" s="4" t="s">
        <v>4231</v>
      </c>
      <c r="B935" s="3" t="str">
        <f t="shared" si="49"/>
        <v>vince.nguyen2@medtronic.com</v>
      </c>
      <c r="C935" s="3">
        <f t="shared" si="50"/>
        <v>2</v>
      </c>
      <c r="D935" s="5">
        <v>25006222702</v>
      </c>
      <c r="E935" s="4" t="s">
        <v>2820</v>
      </c>
      <c r="F935" s="4" t="s">
        <v>3421</v>
      </c>
      <c r="G935" s="4" t="s">
        <v>34</v>
      </c>
      <c r="H935" s="4"/>
      <c r="I935" s="4" t="s">
        <v>4246</v>
      </c>
      <c r="J935" s="6" t="s">
        <v>4235</v>
      </c>
      <c r="K935" s="4"/>
      <c r="L935" s="4" t="s">
        <v>4247</v>
      </c>
      <c r="M935" s="4"/>
      <c r="N935" s="4"/>
      <c r="O935" s="4"/>
      <c r="P935" s="4" t="str">
        <f t="shared" si="52"/>
        <v>YES</v>
      </c>
    </row>
    <row r="936" spans="1:16" ht="15" x14ac:dyDescent="0.2">
      <c r="A936" s="2" t="s">
        <v>4231</v>
      </c>
      <c r="B936" s="3" t="str">
        <f t="shared" si="49"/>
        <v>tmartin@medtronic.com</v>
      </c>
      <c r="C936" s="3">
        <f t="shared" si="50"/>
        <v>1</v>
      </c>
      <c r="D936" s="2" t="s">
        <v>4248</v>
      </c>
      <c r="E936" s="2" t="s">
        <v>1161</v>
      </c>
      <c r="F936" s="2" t="s">
        <v>3319</v>
      </c>
      <c r="I936" s="2" t="s">
        <v>4249</v>
      </c>
      <c r="L936" s="2" t="s">
        <v>309</v>
      </c>
      <c r="M936" s="2" t="s">
        <v>45</v>
      </c>
    </row>
    <row r="937" spans="1:16" ht="15" x14ac:dyDescent="0.2">
      <c r="A937" s="2" t="s">
        <v>4231</v>
      </c>
      <c r="B937" s="3" t="str">
        <f t="shared" si="49"/>
        <v>bbradshaw@medtronic.com</v>
      </c>
      <c r="C937" s="3">
        <f t="shared" si="50"/>
        <v>1</v>
      </c>
      <c r="D937" s="2" t="s">
        <v>4250</v>
      </c>
      <c r="E937" s="2" t="s">
        <v>3157</v>
      </c>
      <c r="F937" s="2" t="s">
        <v>4251</v>
      </c>
      <c r="I937" s="2" t="s">
        <v>4252</v>
      </c>
      <c r="L937" s="2" t="s">
        <v>4253</v>
      </c>
      <c r="M937" s="2" t="s">
        <v>45</v>
      </c>
    </row>
    <row r="938" spans="1:16" ht="15" x14ac:dyDescent="0.2">
      <c r="A938" s="2" t="s">
        <v>4231</v>
      </c>
      <c r="B938" s="3" t="str">
        <f t="shared" si="49"/>
        <v>oalsterlund@medtronic.com</v>
      </c>
      <c r="C938" s="3">
        <f t="shared" si="50"/>
        <v>1</v>
      </c>
      <c r="D938" s="2" t="s">
        <v>4254</v>
      </c>
      <c r="E938" s="2" t="s">
        <v>4255</v>
      </c>
      <c r="F938" s="2" t="s">
        <v>4256</v>
      </c>
      <c r="I938" s="2" t="s">
        <v>4257</v>
      </c>
      <c r="L938" s="2" t="s">
        <v>4258</v>
      </c>
      <c r="M938" s="2" t="s">
        <v>45</v>
      </c>
    </row>
    <row r="939" spans="1:16" ht="15" x14ac:dyDescent="0.2">
      <c r="A939" s="2" t="s">
        <v>4231</v>
      </c>
      <c r="B939" s="3" t="str">
        <f t="shared" si="49"/>
        <v>mbichler@medtronic.com</v>
      </c>
      <c r="C939" s="3">
        <f t="shared" si="50"/>
        <v>1</v>
      </c>
      <c r="D939" s="2" t="s">
        <v>4259</v>
      </c>
      <c r="E939" s="2" t="s">
        <v>1727</v>
      </c>
      <c r="F939" s="2" t="s">
        <v>4260</v>
      </c>
      <c r="I939" s="2" t="s">
        <v>4261</v>
      </c>
      <c r="L939" s="2" t="s">
        <v>4262</v>
      </c>
      <c r="M939" s="2" t="s">
        <v>45</v>
      </c>
    </row>
    <row r="940" spans="1:16" ht="15" x14ac:dyDescent="0.2">
      <c r="A940" s="2" t="s">
        <v>4231</v>
      </c>
      <c r="B940" s="3" t="str">
        <f t="shared" si="49"/>
        <v>lbrito@medtronic.com</v>
      </c>
      <c r="C940" s="3">
        <f t="shared" si="50"/>
        <v>1</v>
      </c>
      <c r="D940" s="2" t="s">
        <v>4263</v>
      </c>
      <c r="E940" s="2" t="s">
        <v>4264</v>
      </c>
      <c r="F940" s="2" t="s">
        <v>4265</v>
      </c>
      <c r="I940" s="2" t="s">
        <v>4266</v>
      </c>
      <c r="L940" s="2" t="s">
        <v>4267</v>
      </c>
      <c r="M940" s="2" t="s">
        <v>45</v>
      </c>
    </row>
    <row r="941" spans="1:16" ht="15" x14ac:dyDescent="0.2">
      <c r="A941" s="2" t="s">
        <v>4231</v>
      </c>
      <c r="B941" s="3" t="str">
        <f t="shared" si="49"/>
        <v>wrios@medtronic.com</v>
      </c>
      <c r="C941" s="3">
        <f t="shared" si="50"/>
        <v>1</v>
      </c>
      <c r="D941" s="2" t="s">
        <v>4268</v>
      </c>
      <c r="E941" s="2" t="s">
        <v>4269</v>
      </c>
      <c r="F941" s="2" t="s">
        <v>4270</v>
      </c>
      <c r="I941" s="2" t="s">
        <v>4271</v>
      </c>
      <c r="L941" s="2" t="s">
        <v>4272</v>
      </c>
      <c r="M941" s="2" t="s">
        <v>45</v>
      </c>
    </row>
    <row r="942" spans="1:16" ht="15" x14ac:dyDescent="0.2">
      <c r="A942" s="2" t="s">
        <v>4231</v>
      </c>
      <c r="B942" s="3" t="str">
        <f t="shared" si="49"/>
        <v>nwalker@medtronic.com</v>
      </c>
      <c r="C942" s="3">
        <f t="shared" si="50"/>
        <v>1</v>
      </c>
      <c r="D942" s="2" t="s">
        <v>4273</v>
      </c>
      <c r="E942" s="2" t="s">
        <v>4274</v>
      </c>
      <c r="F942" s="2" t="s">
        <v>987</v>
      </c>
      <c r="I942" s="2" t="s">
        <v>4275</v>
      </c>
      <c r="L942" s="2" t="s">
        <v>68</v>
      </c>
      <c r="M942" s="2" t="s">
        <v>45</v>
      </c>
    </row>
    <row r="943" spans="1:16" ht="15" x14ac:dyDescent="0.2">
      <c r="A943" s="2" t="s">
        <v>4231</v>
      </c>
      <c r="B943" s="3" t="str">
        <f t="shared" si="49"/>
        <v>tjansen@medtronic.com</v>
      </c>
      <c r="C943" s="3">
        <f t="shared" si="50"/>
        <v>1</v>
      </c>
      <c r="D943" s="2" t="s">
        <v>4276</v>
      </c>
      <c r="E943" s="2" t="s">
        <v>4277</v>
      </c>
      <c r="F943" s="2" t="s">
        <v>4278</v>
      </c>
      <c r="I943" s="2" t="s">
        <v>4279</v>
      </c>
      <c r="L943" s="2" t="s">
        <v>4280</v>
      </c>
      <c r="M943" s="2" t="s">
        <v>45</v>
      </c>
    </row>
    <row r="944" spans="1:16" ht="15" x14ac:dyDescent="0.2">
      <c r="A944" s="2" t="s">
        <v>4231</v>
      </c>
      <c r="B944" s="3" t="str">
        <f t="shared" si="49"/>
        <v>acamara@medtronic.com</v>
      </c>
      <c r="C944" s="3">
        <f t="shared" si="50"/>
        <v>1</v>
      </c>
      <c r="D944" s="2" t="s">
        <v>4281</v>
      </c>
      <c r="E944" s="2" t="s">
        <v>4282</v>
      </c>
      <c r="F944" s="2" t="s">
        <v>4283</v>
      </c>
      <c r="I944" s="2" t="s">
        <v>4284</v>
      </c>
      <c r="L944" s="2" t="s">
        <v>132</v>
      </c>
      <c r="M944" s="2" t="s">
        <v>45</v>
      </c>
    </row>
    <row r="945" spans="1:13" ht="15" x14ac:dyDescent="0.2">
      <c r="A945" s="2" t="s">
        <v>4231</v>
      </c>
      <c r="B945" s="3" t="str">
        <f t="shared" si="49"/>
        <v>kostrom@medtronic.com</v>
      </c>
      <c r="C945" s="3">
        <f t="shared" si="50"/>
        <v>1</v>
      </c>
      <c r="D945" s="2" t="s">
        <v>4285</v>
      </c>
      <c r="E945" s="2" t="s">
        <v>4286</v>
      </c>
      <c r="F945" s="2" t="s">
        <v>4287</v>
      </c>
      <c r="I945" s="2" t="s">
        <v>4288</v>
      </c>
      <c r="L945" s="2" t="s">
        <v>4289</v>
      </c>
      <c r="M945" s="2" t="s">
        <v>45</v>
      </c>
    </row>
    <row r="946" spans="1:13" ht="15" x14ac:dyDescent="0.2">
      <c r="A946" s="2" t="s">
        <v>4231</v>
      </c>
      <c r="B946" s="3" t="str">
        <f t="shared" si="49"/>
        <v>mfromm@medtronic.com</v>
      </c>
      <c r="C946" s="3">
        <f t="shared" si="50"/>
        <v>1</v>
      </c>
      <c r="D946" s="2" t="s">
        <v>4290</v>
      </c>
      <c r="E946" s="2" t="s">
        <v>4291</v>
      </c>
      <c r="F946" s="2" t="s">
        <v>4292</v>
      </c>
      <c r="I946" s="2" t="s">
        <v>4293</v>
      </c>
      <c r="L946" s="2" t="s">
        <v>4294</v>
      </c>
      <c r="M946" s="2" t="s">
        <v>45</v>
      </c>
    </row>
    <row r="947" spans="1:13" ht="15" x14ac:dyDescent="0.2">
      <c r="A947" s="2" t="s">
        <v>4231</v>
      </c>
      <c r="B947" s="3" t="str">
        <f t="shared" si="49"/>
        <v>rmanam@medtronic.com</v>
      </c>
      <c r="C947" s="3">
        <f t="shared" si="50"/>
        <v>1</v>
      </c>
      <c r="D947" s="2" t="s">
        <v>4295</v>
      </c>
      <c r="E947" s="2" t="s">
        <v>4296</v>
      </c>
      <c r="F947" s="2" t="s">
        <v>4297</v>
      </c>
      <c r="I947" s="2" t="s">
        <v>4298</v>
      </c>
      <c r="L947" s="2" t="s">
        <v>4299</v>
      </c>
      <c r="M947" s="2" t="s">
        <v>45</v>
      </c>
    </row>
    <row r="948" spans="1:13" ht="15" x14ac:dyDescent="0.2">
      <c r="A948" s="2" t="s">
        <v>4231</v>
      </c>
      <c r="B948" s="3" t="str">
        <f t="shared" si="49"/>
        <v>dcissp@medtronic.com</v>
      </c>
      <c r="C948" s="3">
        <f t="shared" si="50"/>
        <v>1</v>
      </c>
      <c r="D948" s="2" t="s">
        <v>4300</v>
      </c>
      <c r="E948" s="2" t="s">
        <v>1465</v>
      </c>
      <c r="F948" s="2" t="s">
        <v>4301</v>
      </c>
      <c r="I948" s="2" t="s">
        <v>4302</v>
      </c>
      <c r="L948" s="2" t="s">
        <v>4303</v>
      </c>
      <c r="M948" s="2" t="s">
        <v>45</v>
      </c>
    </row>
    <row r="949" spans="1:13" ht="15" x14ac:dyDescent="0.2">
      <c r="A949" s="2" t="s">
        <v>4231</v>
      </c>
      <c r="B949" s="3" t="str">
        <f t="shared" si="49"/>
        <v>ccunniff@medtronic.com</v>
      </c>
      <c r="C949" s="3">
        <f t="shared" si="50"/>
        <v>1</v>
      </c>
      <c r="D949" s="2" t="s">
        <v>4304</v>
      </c>
      <c r="E949" s="2" t="s">
        <v>4305</v>
      </c>
      <c r="F949" s="2" t="s">
        <v>4306</v>
      </c>
      <c r="I949" s="2" t="s">
        <v>4307</v>
      </c>
      <c r="L949" s="2" t="s">
        <v>4280</v>
      </c>
      <c r="M949" s="2" t="s">
        <v>45</v>
      </c>
    </row>
    <row r="950" spans="1:13" ht="15" x14ac:dyDescent="0.2">
      <c r="A950" s="2" t="s">
        <v>4231</v>
      </c>
      <c r="B950" s="3" t="str">
        <f t="shared" si="49"/>
        <v>akelley@medtronic.com</v>
      </c>
      <c r="C950" s="3">
        <f t="shared" si="50"/>
        <v>1</v>
      </c>
      <c r="D950" s="2" t="s">
        <v>4308</v>
      </c>
      <c r="E950" s="2" t="s">
        <v>4309</v>
      </c>
      <c r="F950" s="2" t="s">
        <v>4310</v>
      </c>
      <c r="I950" s="2" t="s">
        <v>4311</v>
      </c>
      <c r="L950" s="2" t="s">
        <v>4280</v>
      </c>
      <c r="M950" s="2" t="s">
        <v>45</v>
      </c>
    </row>
    <row r="951" spans="1:13" ht="15" x14ac:dyDescent="0.2">
      <c r="A951" s="2" t="s">
        <v>4231</v>
      </c>
      <c r="B951" s="3" t="str">
        <f t="shared" si="49"/>
        <v>kprins@medtronic.com</v>
      </c>
      <c r="C951" s="3">
        <f t="shared" si="50"/>
        <v>1</v>
      </c>
      <c r="D951" s="2" t="s">
        <v>4312</v>
      </c>
      <c r="E951" s="2" t="s">
        <v>4313</v>
      </c>
      <c r="F951" s="2" t="s">
        <v>4314</v>
      </c>
      <c r="I951" s="2" t="s">
        <v>4315</v>
      </c>
      <c r="L951" s="2" t="s">
        <v>4316</v>
      </c>
      <c r="M951" s="2" t="s">
        <v>45</v>
      </c>
    </row>
    <row r="952" spans="1:13" ht="15" x14ac:dyDescent="0.2">
      <c r="A952" s="2" t="s">
        <v>4231</v>
      </c>
      <c r="B952" s="3" t="str">
        <f t="shared" si="49"/>
        <v>akonishi@medtronic.com</v>
      </c>
      <c r="C952" s="3">
        <f t="shared" si="50"/>
        <v>1</v>
      </c>
      <c r="D952" s="2" t="s">
        <v>4317</v>
      </c>
      <c r="E952" s="2" t="s">
        <v>4318</v>
      </c>
      <c r="F952" s="2" t="s">
        <v>4319</v>
      </c>
      <c r="I952" s="2" t="s">
        <v>4320</v>
      </c>
      <c r="L952" s="2" t="s">
        <v>4321</v>
      </c>
      <c r="M952" s="2" t="s">
        <v>45</v>
      </c>
    </row>
    <row r="953" spans="1:13" ht="15" x14ac:dyDescent="0.2">
      <c r="A953" s="2" t="s">
        <v>4231</v>
      </c>
      <c r="B953" s="3" t="str">
        <f t="shared" si="49"/>
        <v>sshpilfoygel@medtronic.com</v>
      </c>
      <c r="C953" s="3">
        <f t="shared" si="50"/>
        <v>1</v>
      </c>
      <c r="D953" s="2" t="s">
        <v>4322</v>
      </c>
      <c r="E953" s="2" t="s">
        <v>1267</v>
      </c>
      <c r="F953" s="2" t="s">
        <v>4323</v>
      </c>
      <c r="I953" s="2" t="s">
        <v>4324</v>
      </c>
      <c r="L953" s="2" t="s">
        <v>4325</v>
      </c>
      <c r="M953" s="2" t="s">
        <v>45</v>
      </c>
    </row>
    <row r="954" spans="1:13" ht="15" x14ac:dyDescent="0.2">
      <c r="A954" s="2" t="s">
        <v>4231</v>
      </c>
      <c r="B954" s="3" t="str">
        <f t="shared" si="49"/>
        <v>ntahir@medtronic.com</v>
      </c>
      <c r="C954" s="3">
        <f t="shared" si="50"/>
        <v>1</v>
      </c>
      <c r="D954" s="2" t="s">
        <v>4326</v>
      </c>
      <c r="E954" s="2" t="s">
        <v>4327</v>
      </c>
      <c r="F954" s="2" t="s">
        <v>4328</v>
      </c>
      <c r="I954" s="2" t="s">
        <v>4329</v>
      </c>
      <c r="L954" s="2" t="s">
        <v>361</v>
      </c>
      <c r="M954" s="2" t="s">
        <v>45</v>
      </c>
    </row>
    <row r="955" spans="1:13" ht="15" x14ac:dyDescent="0.2">
      <c r="A955" s="2" t="s">
        <v>4231</v>
      </c>
      <c r="B955" s="3" t="str">
        <f t="shared" si="49"/>
        <v>tlu@medtronic.com</v>
      </c>
      <c r="C955" s="3">
        <f t="shared" si="50"/>
        <v>1</v>
      </c>
      <c r="D955" s="2" t="s">
        <v>4330</v>
      </c>
      <c r="E955" s="2" t="s">
        <v>4331</v>
      </c>
      <c r="F955" s="2" t="s">
        <v>4332</v>
      </c>
      <c r="I955" s="2" t="s">
        <v>4333</v>
      </c>
      <c r="L955" s="2" t="s">
        <v>4334</v>
      </c>
      <c r="M955" s="2" t="s">
        <v>45</v>
      </c>
    </row>
    <row r="956" spans="1:13" ht="15" x14ac:dyDescent="0.2">
      <c r="A956" s="2" t="s">
        <v>4231</v>
      </c>
      <c r="B956" s="3" t="str">
        <f t="shared" si="49"/>
        <v>turbanski@medtronic.com</v>
      </c>
      <c r="C956" s="3">
        <f t="shared" si="50"/>
        <v>1</v>
      </c>
      <c r="D956" s="2" t="s">
        <v>4335</v>
      </c>
      <c r="E956" s="2" t="s">
        <v>480</v>
      </c>
      <c r="F956" s="2" t="s">
        <v>4336</v>
      </c>
      <c r="I956" s="2" t="s">
        <v>4337</v>
      </c>
      <c r="L956" s="2" t="s">
        <v>361</v>
      </c>
      <c r="M956" s="2" t="s">
        <v>45</v>
      </c>
    </row>
    <row r="957" spans="1:13" ht="15" x14ac:dyDescent="0.2">
      <c r="A957" s="2" t="s">
        <v>4231</v>
      </c>
      <c r="B957" s="3" t="str">
        <f t="shared" si="49"/>
        <v>lorourke@medtronic.com</v>
      </c>
      <c r="C957" s="3">
        <f t="shared" si="50"/>
        <v>1</v>
      </c>
      <c r="D957" s="2" t="s">
        <v>4338</v>
      </c>
      <c r="E957" s="2" t="s">
        <v>348</v>
      </c>
      <c r="F957" s="2" t="s">
        <v>4339</v>
      </c>
      <c r="I957" s="2" t="s">
        <v>4340</v>
      </c>
      <c r="L957" s="2" t="s">
        <v>4341</v>
      </c>
      <c r="M957" s="2" t="s">
        <v>45</v>
      </c>
    </row>
    <row r="958" spans="1:13" ht="15" x14ac:dyDescent="0.2">
      <c r="A958" s="2" t="s">
        <v>4231</v>
      </c>
      <c r="B958" s="3" t="str">
        <f t="shared" si="49"/>
        <v>egrayburn@medtronic.com</v>
      </c>
      <c r="C958" s="3">
        <f t="shared" si="50"/>
        <v>1</v>
      </c>
      <c r="D958" s="2" t="s">
        <v>4342</v>
      </c>
      <c r="E958" s="2" t="s">
        <v>3034</v>
      </c>
      <c r="F958" s="2" t="s">
        <v>4343</v>
      </c>
      <c r="I958" s="2" t="s">
        <v>4344</v>
      </c>
      <c r="L958" s="2" t="s">
        <v>4345</v>
      </c>
      <c r="M958" s="2" t="s">
        <v>45</v>
      </c>
    </row>
    <row r="959" spans="1:13" ht="15" x14ac:dyDescent="0.2">
      <c r="A959" s="2" t="s">
        <v>4231</v>
      </c>
      <c r="B959" s="3" t="str">
        <f t="shared" si="49"/>
        <v>tcronin@medtronic.com</v>
      </c>
      <c r="C959" s="3">
        <f t="shared" si="50"/>
        <v>1</v>
      </c>
      <c r="D959" s="2" t="s">
        <v>4346</v>
      </c>
      <c r="E959" s="2" t="s">
        <v>1217</v>
      </c>
      <c r="F959" s="2" t="s">
        <v>4347</v>
      </c>
      <c r="I959" s="2" t="s">
        <v>4348</v>
      </c>
      <c r="L959" s="2" t="s">
        <v>4299</v>
      </c>
      <c r="M959" s="2" t="s">
        <v>45</v>
      </c>
    </row>
    <row r="960" spans="1:13" ht="15" x14ac:dyDescent="0.2">
      <c r="A960" s="2" t="s">
        <v>4231</v>
      </c>
      <c r="B960" s="3" t="str">
        <f t="shared" si="49"/>
        <v>jfriedrich@medtronic.com</v>
      </c>
      <c r="C960" s="3">
        <f t="shared" si="50"/>
        <v>1</v>
      </c>
      <c r="D960" s="2" t="s">
        <v>4349</v>
      </c>
      <c r="E960" s="2" t="s">
        <v>1666</v>
      </c>
      <c r="F960" s="2" t="s">
        <v>4350</v>
      </c>
      <c r="I960" s="2" t="s">
        <v>4351</v>
      </c>
      <c r="L960" s="2" t="s">
        <v>4352</v>
      </c>
      <c r="M960" s="2" t="s">
        <v>45</v>
      </c>
    </row>
    <row r="961" spans="1:13" ht="15" x14ac:dyDescent="0.2">
      <c r="A961" s="2" t="s">
        <v>4231</v>
      </c>
      <c r="B961" s="3" t="str">
        <f t="shared" si="49"/>
        <v>cschneider@medtronic.com</v>
      </c>
      <c r="C961" s="3">
        <f t="shared" si="50"/>
        <v>1</v>
      </c>
      <c r="D961" s="2" t="s">
        <v>4353</v>
      </c>
      <c r="E961" s="2" t="s">
        <v>4354</v>
      </c>
      <c r="F961" s="2" t="s">
        <v>4355</v>
      </c>
      <c r="I961" s="2" t="s">
        <v>4356</v>
      </c>
      <c r="L961" s="2" t="s">
        <v>4357</v>
      </c>
      <c r="M961" s="2" t="s">
        <v>45</v>
      </c>
    </row>
    <row r="962" spans="1:13" ht="15" x14ac:dyDescent="0.2">
      <c r="A962" s="2" t="s">
        <v>4231</v>
      </c>
      <c r="B962" s="3" t="str">
        <f t="shared" ref="B962:B1025" si="53">IF(H962&lt;&gt;"",H962,I962)</f>
        <v>blafoy@medtronic.com</v>
      </c>
      <c r="C962" s="3">
        <f t="shared" ref="C962:C1025" si="54">COUNTIF($B$2:$B$1586,B962)</f>
        <v>1</v>
      </c>
      <c r="D962" s="2" t="s">
        <v>4358</v>
      </c>
      <c r="E962" s="2" t="s">
        <v>4359</v>
      </c>
      <c r="F962" s="2" t="s">
        <v>4360</v>
      </c>
      <c r="I962" s="2" t="s">
        <v>4361</v>
      </c>
      <c r="L962" s="2" t="s">
        <v>4362</v>
      </c>
      <c r="M962" s="2" t="s">
        <v>45</v>
      </c>
    </row>
    <row r="963" spans="1:13" ht="15" x14ac:dyDescent="0.2">
      <c r="A963" s="2" t="s">
        <v>4231</v>
      </c>
      <c r="B963" s="3" t="str">
        <f t="shared" si="53"/>
        <v>mgonzalez@medtronic.com</v>
      </c>
      <c r="C963" s="3">
        <f t="shared" si="54"/>
        <v>1</v>
      </c>
      <c r="D963" s="2" t="s">
        <v>4363</v>
      </c>
      <c r="E963" s="2" t="s">
        <v>1727</v>
      </c>
      <c r="F963" s="2" t="s">
        <v>4364</v>
      </c>
      <c r="I963" s="2" t="s">
        <v>4365</v>
      </c>
      <c r="L963" s="2" t="s">
        <v>4280</v>
      </c>
      <c r="M963" s="2" t="s">
        <v>45</v>
      </c>
    </row>
    <row r="964" spans="1:13" ht="15" x14ac:dyDescent="0.2">
      <c r="A964" s="2" t="s">
        <v>4231</v>
      </c>
      <c r="B964" s="3" t="str">
        <f t="shared" si="53"/>
        <v>thutsal@medtronic.com</v>
      </c>
      <c r="C964" s="3">
        <f t="shared" si="54"/>
        <v>1</v>
      </c>
      <c r="D964" s="2" t="s">
        <v>4366</v>
      </c>
      <c r="E964" s="2" t="s">
        <v>4367</v>
      </c>
      <c r="F964" s="2" t="s">
        <v>4368</v>
      </c>
      <c r="I964" s="2" t="s">
        <v>4369</v>
      </c>
      <c r="L964" s="2" t="s">
        <v>4370</v>
      </c>
      <c r="M964" s="2" t="s">
        <v>45</v>
      </c>
    </row>
    <row r="965" spans="1:13" ht="15" x14ac:dyDescent="0.2">
      <c r="A965" s="2" t="s">
        <v>4231</v>
      </c>
      <c r="B965" s="3" t="str">
        <f t="shared" si="53"/>
        <v>arodgers@medtronic.com</v>
      </c>
      <c r="C965" s="3">
        <f t="shared" si="54"/>
        <v>1</v>
      </c>
      <c r="D965" s="2" t="s">
        <v>4371</v>
      </c>
      <c r="E965" s="2" t="s">
        <v>417</v>
      </c>
      <c r="F965" s="2" t="s">
        <v>4372</v>
      </c>
      <c r="I965" s="2" t="s">
        <v>4373</v>
      </c>
      <c r="L965" s="2" t="s">
        <v>4258</v>
      </c>
      <c r="M965" s="2" t="s">
        <v>45</v>
      </c>
    </row>
    <row r="966" spans="1:13" ht="15" x14ac:dyDescent="0.2">
      <c r="A966" s="2" t="s">
        <v>4231</v>
      </c>
      <c r="B966" s="3" t="str">
        <f t="shared" si="53"/>
        <v>lmcgary@medtronic.com</v>
      </c>
      <c r="C966" s="3">
        <f t="shared" si="54"/>
        <v>1</v>
      </c>
      <c r="D966" s="2" t="s">
        <v>4374</v>
      </c>
      <c r="E966" s="2" t="s">
        <v>4375</v>
      </c>
      <c r="F966" s="2" t="s">
        <v>4376</v>
      </c>
      <c r="I966" s="2" t="s">
        <v>4377</v>
      </c>
      <c r="L966" s="2" t="s">
        <v>4357</v>
      </c>
      <c r="M966" s="2" t="s">
        <v>45</v>
      </c>
    </row>
    <row r="967" spans="1:13" ht="15" x14ac:dyDescent="0.2">
      <c r="A967" s="2" t="s">
        <v>4231</v>
      </c>
      <c r="B967" s="3" t="str">
        <f t="shared" si="53"/>
        <v>mstidston@medtronic.com</v>
      </c>
      <c r="C967" s="3">
        <f t="shared" si="54"/>
        <v>1</v>
      </c>
      <c r="D967" s="2" t="s">
        <v>4378</v>
      </c>
      <c r="E967" s="2" t="s">
        <v>4379</v>
      </c>
      <c r="F967" s="2" t="s">
        <v>4380</v>
      </c>
      <c r="I967" s="2" t="s">
        <v>4381</v>
      </c>
      <c r="L967" s="2" t="s">
        <v>4382</v>
      </c>
      <c r="M967" s="2" t="s">
        <v>45</v>
      </c>
    </row>
    <row r="968" spans="1:13" ht="15" x14ac:dyDescent="0.2">
      <c r="A968" s="2" t="s">
        <v>4231</v>
      </c>
      <c r="B968" s="3" t="str">
        <f t="shared" si="53"/>
        <v>rs@medtronic.com</v>
      </c>
      <c r="C968" s="3">
        <f t="shared" si="54"/>
        <v>1</v>
      </c>
      <c r="D968" s="2" t="s">
        <v>4383</v>
      </c>
      <c r="E968" s="2" t="s">
        <v>4384</v>
      </c>
      <c r="F968" s="2" t="s">
        <v>4088</v>
      </c>
      <c r="I968" s="2" t="s">
        <v>4385</v>
      </c>
      <c r="L968" s="2" t="s">
        <v>4386</v>
      </c>
      <c r="M968" s="2" t="s">
        <v>45</v>
      </c>
    </row>
    <row r="969" spans="1:13" ht="15" x14ac:dyDescent="0.2">
      <c r="A969" s="2" t="s">
        <v>4231</v>
      </c>
      <c r="B969" s="3" t="str">
        <f t="shared" si="53"/>
        <v>rboddapati@medtronic.com</v>
      </c>
      <c r="C969" s="3">
        <f t="shared" si="54"/>
        <v>1</v>
      </c>
      <c r="D969" s="2" t="s">
        <v>4387</v>
      </c>
      <c r="E969" s="2" t="s">
        <v>3978</v>
      </c>
      <c r="F969" s="2" t="s">
        <v>4388</v>
      </c>
      <c r="I969" s="2" t="s">
        <v>4389</v>
      </c>
      <c r="L969" s="2" t="s">
        <v>4390</v>
      </c>
      <c r="M969" s="2" t="s">
        <v>45</v>
      </c>
    </row>
    <row r="970" spans="1:13" ht="15" x14ac:dyDescent="0.2">
      <c r="A970" s="2" t="s">
        <v>4231</v>
      </c>
      <c r="B970" s="3" t="str">
        <f t="shared" si="53"/>
        <v>dholliman@medtronic.com</v>
      </c>
      <c r="C970" s="3">
        <f t="shared" si="54"/>
        <v>1</v>
      </c>
      <c r="D970" s="2" t="s">
        <v>4391</v>
      </c>
      <c r="E970" s="2" t="s">
        <v>4392</v>
      </c>
      <c r="F970" s="2" t="s">
        <v>4393</v>
      </c>
      <c r="I970" s="2" t="s">
        <v>4394</v>
      </c>
      <c r="L970" s="2" t="s">
        <v>4395</v>
      </c>
      <c r="M970" s="2" t="s">
        <v>45</v>
      </c>
    </row>
    <row r="971" spans="1:13" ht="15" x14ac:dyDescent="0.2">
      <c r="A971" s="2" t="s">
        <v>4231</v>
      </c>
      <c r="B971" s="3" t="str">
        <f t="shared" si="53"/>
        <v>mpall@medtronic.com</v>
      </c>
      <c r="C971" s="3">
        <f t="shared" si="54"/>
        <v>1</v>
      </c>
      <c r="D971" s="2" t="s">
        <v>4396</v>
      </c>
      <c r="E971" s="2" t="s">
        <v>1704</v>
      </c>
      <c r="F971" s="2" t="s">
        <v>4397</v>
      </c>
      <c r="I971" s="2" t="s">
        <v>4398</v>
      </c>
      <c r="L971" s="2" t="s">
        <v>4399</v>
      </c>
      <c r="M971" s="2" t="s">
        <v>45</v>
      </c>
    </row>
    <row r="972" spans="1:13" ht="15" x14ac:dyDescent="0.2">
      <c r="A972" s="2" t="s">
        <v>4231</v>
      </c>
      <c r="B972" s="3" t="str">
        <f t="shared" si="53"/>
        <v>pbangert@medtronic.com</v>
      </c>
      <c r="C972" s="3">
        <f t="shared" si="54"/>
        <v>1</v>
      </c>
      <c r="D972" s="2" t="s">
        <v>4400</v>
      </c>
      <c r="E972" s="2" t="s">
        <v>3601</v>
      </c>
      <c r="F972" s="2" t="s">
        <v>4401</v>
      </c>
      <c r="I972" s="2" t="s">
        <v>4402</v>
      </c>
      <c r="L972" s="2" t="s">
        <v>4299</v>
      </c>
      <c r="M972" s="2" t="s">
        <v>45</v>
      </c>
    </row>
    <row r="973" spans="1:13" ht="15" x14ac:dyDescent="0.2">
      <c r="A973" s="2" t="s">
        <v>4231</v>
      </c>
      <c r="B973" s="3" t="str">
        <f t="shared" si="53"/>
        <v>dturner@medtronic.com</v>
      </c>
      <c r="C973" s="3">
        <f t="shared" si="54"/>
        <v>1</v>
      </c>
      <c r="D973" s="2" t="s">
        <v>4403</v>
      </c>
      <c r="E973" s="2" t="s">
        <v>4404</v>
      </c>
      <c r="F973" s="2" t="s">
        <v>2196</v>
      </c>
      <c r="I973" s="2" t="s">
        <v>4405</v>
      </c>
      <c r="L973" s="2" t="s">
        <v>4299</v>
      </c>
      <c r="M973" s="2" t="s">
        <v>45</v>
      </c>
    </row>
    <row r="974" spans="1:13" ht="15" x14ac:dyDescent="0.2">
      <c r="A974" s="2" t="s">
        <v>4231</v>
      </c>
      <c r="B974" s="3" t="str">
        <f t="shared" si="53"/>
        <v>akelly@medtronic.com</v>
      </c>
      <c r="C974" s="3">
        <f t="shared" si="54"/>
        <v>1</v>
      </c>
      <c r="D974" s="2" t="s">
        <v>4406</v>
      </c>
      <c r="E974" s="2" t="s">
        <v>4309</v>
      </c>
      <c r="F974" s="2" t="s">
        <v>4407</v>
      </c>
      <c r="I974" s="2" t="s">
        <v>4408</v>
      </c>
      <c r="L974" s="2" t="s">
        <v>4280</v>
      </c>
      <c r="M974" s="2" t="s">
        <v>45</v>
      </c>
    </row>
    <row r="975" spans="1:13" ht="15" x14ac:dyDescent="0.2">
      <c r="A975" s="2" t="s">
        <v>4231</v>
      </c>
      <c r="B975" s="3" t="str">
        <f t="shared" si="53"/>
        <v>sthielen@medtronic.com</v>
      </c>
      <c r="C975" s="3">
        <f t="shared" si="54"/>
        <v>1</v>
      </c>
      <c r="D975" s="2" t="s">
        <v>4409</v>
      </c>
      <c r="E975" s="2" t="s">
        <v>2696</v>
      </c>
      <c r="F975" s="2" t="s">
        <v>4410</v>
      </c>
      <c r="I975" s="2" t="s">
        <v>4411</v>
      </c>
      <c r="L975" s="2" t="s">
        <v>4412</v>
      </c>
      <c r="M975" s="2" t="s">
        <v>45</v>
      </c>
    </row>
    <row r="976" spans="1:13" ht="15" x14ac:dyDescent="0.2">
      <c r="A976" s="2" t="s">
        <v>4231</v>
      </c>
      <c r="B976" s="3" t="str">
        <f t="shared" si="53"/>
        <v>ccissp@medtronic.com</v>
      </c>
      <c r="C976" s="3">
        <f t="shared" si="54"/>
        <v>1</v>
      </c>
      <c r="D976" s="2" t="s">
        <v>4413</v>
      </c>
      <c r="E976" s="2" t="s">
        <v>1652</v>
      </c>
      <c r="F976" s="2" t="s">
        <v>4301</v>
      </c>
      <c r="I976" s="2" t="s">
        <v>4414</v>
      </c>
      <c r="L976" s="2" t="s">
        <v>4415</v>
      </c>
      <c r="M976" s="2" t="s">
        <v>45</v>
      </c>
    </row>
    <row r="977" spans="1:13" ht="15" x14ac:dyDescent="0.2">
      <c r="A977" s="2" t="s">
        <v>4231</v>
      </c>
      <c r="B977" s="3" t="str">
        <f t="shared" si="53"/>
        <v>tdalynda@medtronic.com</v>
      </c>
      <c r="C977" s="3">
        <f t="shared" si="54"/>
        <v>1</v>
      </c>
      <c r="D977" s="2" t="s">
        <v>4416</v>
      </c>
      <c r="E977" s="2" t="s">
        <v>4417</v>
      </c>
      <c r="F977" s="2" t="s">
        <v>4418</v>
      </c>
      <c r="I977" s="2" t="s">
        <v>4419</v>
      </c>
      <c r="L977" s="2" t="s">
        <v>132</v>
      </c>
      <c r="M977" s="2" t="s">
        <v>45</v>
      </c>
    </row>
    <row r="978" spans="1:13" ht="15" x14ac:dyDescent="0.2">
      <c r="A978" s="2" t="s">
        <v>4231</v>
      </c>
      <c r="B978" s="3" t="str">
        <f t="shared" si="53"/>
        <v>dmichael@medtronic.com</v>
      </c>
      <c r="C978" s="3">
        <f t="shared" si="54"/>
        <v>1</v>
      </c>
      <c r="D978" s="2" t="s">
        <v>4420</v>
      </c>
      <c r="E978" s="2" t="s">
        <v>119</v>
      </c>
      <c r="F978" s="2" t="s">
        <v>59</v>
      </c>
      <c r="I978" s="2" t="s">
        <v>4421</v>
      </c>
      <c r="L978" s="2" t="s">
        <v>4299</v>
      </c>
      <c r="M978" s="2" t="s">
        <v>45</v>
      </c>
    </row>
    <row r="979" spans="1:13" ht="15" x14ac:dyDescent="0.2">
      <c r="A979" s="2" t="s">
        <v>4231</v>
      </c>
      <c r="B979" s="3" t="str">
        <f t="shared" si="53"/>
        <v>rvazquez@medtronic.com</v>
      </c>
      <c r="C979" s="3">
        <f t="shared" si="54"/>
        <v>1</v>
      </c>
      <c r="D979" s="2" t="s">
        <v>4422</v>
      </c>
      <c r="E979" s="2" t="s">
        <v>4423</v>
      </c>
      <c r="F979" s="2" t="s">
        <v>4424</v>
      </c>
      <c r="I979" s="2" t="s">
        <v>4425</v>
      </c>
      <c r="L979" s="2" t="s">
        <v>4426</v>
      </c>
      <c r="M979" s="2" t="s">
        <v>45</v>
      </c>
    </row>
    <row r="980" spans="1:13" ht="15" x14ac:dyDescent="0.2">
      <c r="A980" s="2" t="s">
        <v>4231</v>
      </c>
      <c r="B980" s="3" t="str">
        <f t="shared" si="53"/>
        <v>msinn@medtronic.com</v>
      </c>
      <c r="C980" s="3">
        <f t="shared" si="54"/>
        <v>1</v>
      </c>
      <c r="D980" s="2" t="s">
        <v>4427</v>
      </c>
      <c r="E980" s="2" t="s">
        <v>385</v>
      </c>
      <c r="F980" s="2" t="s">
        <v>4428</v>
      </c>
      <c r="I980" s="2" t="s">
        <v>4429</v>
      </c>
      <c r="L980" s="2" t="s">
        <v>4430</v>
      </c>
      <c r="M980" s="2" t="s">
        <v>45</v>
      </c>
    </row>
    <row r="981" spans="1:13" ht="15" x14ac:dyDescent="0.2">
      <c r="A981" s="2" t="s">
        <v>4231</v>
      </c>
      <c r="B981" s="3" t="str">
        <f t="shared" si="53"/>
        <v>scrum@medtronic.com</v>
      </c>
      <c r="C981" s="3">
        <f t="shared" si="54"/>
        <v>1</v>
      </c>
      <c r="D981" s="2" t="s">
        <v>4431</v>
      </c>
      <c r="E981" s="2" t="s">
        <v>683</v>
      </c>
      <c r="F981" s="2" t="s">
        <v>4432</v>
      </c>
      <c r="I981" s="2" t="s">
        <v>4433</v>
      </c>
      <c r="L981" s="2" t="s">
        <v>361</v>
      </c>
      <c r="M981" s="2" t="s">
        <v>45</v>
      </c>
    </row>
    <row r="982" spans="1:13" ht="15" x14ac:dyDescent="0.2">
      <c r="A982" s="2" t="s">
        <v>4231</v>
      </c>
      <c r="B982" s="3" t="str">
        <f t="shared" si="53"/>
        <v>hderemer@medtronic.com</v>
      </c>
      <c r="C982" s="3">
        <f t="shared" si="54"/>
        <v>1</v>
      </c>
      <c r="D982" s="2" t="s">
        <v>4434</v>
      </c>
      <c r="E982" s="2" t="s">
        <v>578</v>
      </c>
      <c r="F982" s="2" t="s">
        <v>4435</v>
      </c>
      <c r="I982" s="2" t="s">
        <v>4436</v>
      </c>
      <c r="L982" s="2" t="s">
        <v>4437</v>
      </c>
      <c r="M982" s="2" t="s">
        <v>45</v>
      </c>
    </row>
    <row r="983" spans="1:13" ht="15" x14ac:dyDescent="0.2">
      <c r="A983" s="2" t="s">
        <v>4231</v>
      </c>
      <c r="B983" s="3" t="str">
        <f t="shared" si="53"/>
        <v>rceass@medtronic.com</v>
      </c>
      <c r="C983" s="3">
        <f t="shared" si="54"/>
        <v>1</v>
      </c>
      <c r="D983" s="2" t="s">
        <v>4438</v>
      </c>
      <c r="E983" s="2" t="s">
        <v>2134</v>
      </c>
      <c r="F983" s="2" t="s">
        <v>4439</v>
      </c>
      <c r="I983" s="2" t="s">
        <v>4440</v>
      </c>
      <c r="L983" s="2" t="s">
        <v>4441</v>
      </c>
      <c r="M983" s="2" t="s">
        <v>45</v>
      </c>
    </row>
    <row r="984" spans="1:13" ht="15" x14ac:dyDescent="0.2">
      <c r="A984" s="2" t="s">
        <v>4231</v>
      </c>
      <c r="B984" s="3" t="str">
        <f t="shared" si="53"/>
        <v>kswenson@medtronic.com</v>
      </c>
      <c r="C984" s="3">
        <f t="shared" si="54"/>
        <v>1</v>
      </c>
      <c r="D984" s="2" t="s">
        <v>4442</v>
      </c>
      <c r="E984" s="2" t="s">
        <v>2585</v>
      </c>
      <c r="F984" s="2" t="s">
        <v>3798</v>
      </c>
      <c r="I984" s="2" t="s">
        <v>4443</v>
      </c>
      <c r="L984" s="2" t="s">
        <v>4258</v>
      </c>
      <c r="M984" s="2" t="s">
        <v>45</v>
      </c>
    </row>
    <row r="985" spans="1:13" ht="15" x14ac:dyDescent="0.2">
      <c r="A985" s="2" t="s">
        <v>4231</v>
      </c>
      <c r="B985" s="3" t="str">
        <f t="shared" si="53"/>
        <v>dpinto@medtronic.com</v>
      </c>
      <c r="C985" s="3">
        <f t="shared" si="54"/>
        <v>1</v>
      </c>
      <c r="D985" s="2" t="s">
        <v>4444</v>
      </c>
      <c r="E985" s="2" t="s">
        <v>119</v>
      </c>
      <c r="F985" s="2" t="s">
        <v>4243</v>
      </c>
      <c r="I985" s="2" t="s">
        <v>4445</v>
      </c>
      <c r="L985" s="2" t="s">
        <v>4352</v>
      </c>
      <c r="M985" s="2" t="s">
        <v>45</v>
      </c>
    </row>
    <row r="986" spans="1:13" ht="15" x14ac:dyDescent="0.2">
      <c r="A986" s="2" t="s">
        <v>4231</v>
      </c>
      <c r="B986" s="3" t="str">
        <f t="shared" si="53"/>
        <v>hkumar@medtronic.com</v>
      </c>
      <c r="C986" s="3">
        <f t="shared" si="54"/>
        <v>1</v>
      </c>
      <c r="D986" s="2" t="s">
        <v>4446</v>
      </c>
      <c r="E986" s="2" t="s">
        <v>2257</v>
      </c>
      <c r="F986" s="2" t="s">
        <v>4447</v>
      </c>
      <c r="I986" s="2" t="s">
        <v>4448</v>
      </c>
      <c r="L986" s="2" t="s">
        <v>309</v>
      </c>
      <c r="M986" s="2" t="s">
        <v>45</v>
      </c>
    </row>
    <row r="987" spans="1:13" ht="15" x14ac:dyDescent="0.2">
      <c r="A987" s="2" t="s">
        <v>4231</v>
      </c>
      <c r="B987" s="3" t="str">
        <f t="shared" si="53"/>
        <v>aalomary@medtronic.com</v>
      </c>
      <c r="C987" s="3">
        <f t="shared" si="54"/>
        <v>1</v>
      </c>
      <c r="D987" s="2" t="s">
        <v>4449</v>
      </c>
      <c r="E987" s="2" t="s">
        <v>4450</v>
      </c>
      <c r="F987" s="2" t="s">
        <v>4451</v>
      </c>
      <c r="I987" s="2" t="s">
        <v>4452</v>
      </c>
      <c r="L987" s="2" t="s">
        <v>4453</v>
      </c>
      <c r="M987" s="2" t="s">
        <v>45</v>
      </c>
    </row>
    <row r="988" spans="1:13" ht="15" x14ac:dyDescent="0.2">
      <c r="A988" s="2" t="s">
        <v>4231</v>
      </c>
      <c r="B988" s="3" t="str">
        <f t="shared" si="53"/>
        <v>cspeckman@medtronic.com</v>
      </c>
      <c r="C988" s="3">
        <f t="shared" si="54"/>
        <v>1</v>
      </c>
      <c r="D988" s="2" t="s">
        <v>4454</v>
      </c>
      <c r="E988" s="2" t="s">
        <v>4455</v>
      </c>
      <c r="F988" s="2" t="s">
        <v>4456</v>
      </c>
      <c r="I988" s="2" t="s">
        <v>4457</v>
      </c>
      <c r="L988" s="2" t="s">
        <v>4458</v>
      </c>
      <c r="M988" s="2" t="s">
        <v>45</v>
      </c>
    </row>
    <row r="989" spans="1:13" ht="15" x14ac:dyDescent="0.2">
      <c r="A989" s="2" t="s">
        <v>4231</v>
      </c>
      <c r="B989" s="3" t="str">
        <f t="shared" si="53"/>
        <v>creed@medtronic.com</v>
      </c>
      <c r="C989" s="3">
        <f t="shared" si="54"/>
        <v>1</v>
      </c>
      <c r="D989" s="2" t="s">
        <v>4459</v>
      </c>
      <c r="E989" s="2" t="s">
        <v>1652</v>
      </c>
      <c r="F989" s="2" t="s">
        <v>4240</v>
      </c>
      <c r="I989" s="2" t="s">
        <v>4460</v>
      </c>
      <c r="L989" s="2" t="s">
        <v>4461</v>
      </c>
      <c r="M989" s="2" t="s">
        <v>45</v>
      </c>
    </row>
    <row r="990" spans="1:13" ht="15" x14ac:dyDescent="0.2">
      <c r="A990" s="2" t="s">
        <v>4231</v>
      </c>
      <c r="B990" s="3" t="str">
        <f t="shared" si="53"/>
        <v>cat.s.adams@medtronic.com</v>
      </c>
      <c r="C990" s="3">
        <f t="shared" si="54"/>
        <v>1</v>
      </c>
      <c r="D990" s="2" t="s">
        <v>4462</v>
      </c>
      <c r="E990" s="2" t="s">
        <v>4463</v>
      </c>
      <c r="F990" s="2" t="s">
        <v>4464</v>
      </c>
      <c r="I990" s="2" t="s">
        <v>4465</v>
      </c>
      <c r="L990" s="2" t="s">
        <v>1343</v>
      </c>
      <c r="M990" s="2" t="s">
        <v>22</v>
      </c>
    </row>
    <row r="991" spans="1:13" ht="15" x14ac:dyDescent="0.2">
      <c r="A991" s="2" t="s">
        <v>4231</v>
      </c>
      <c r="B991" s="3" t="str">
        <f t="shared" si="53"/>
        <v>cthompson@medtronic.com</v>
      </c>
      <c r="C991" s="3">
        <f t="shared" si="54"/>
        <v>1</v>
      </c>
      <c r="D991" s="2" t="s">
        <v>4466</v>
      </c>
      <c r="E991" s="2" t="s">
        <v>70</v>
      </c>
      <c r="F991" s="2" t="s">
        <v>584</v>
      </c>
      <c r="I991" s="2" t="s">
        <v>4467</v>
      </c>
      <c r="L991" s="2" t="s">
        <v>4299</v>
      </c>
      <c r="M991" s="2" t="s">
        <v>45</v>
      </c>
    </row>
    <row r="992" spans="1:13" ht="15" x14ac:dyDescent="0.2">
      <c r="A992" s="2" t="s">
        <v>4231</v>
      </c>
      <c r="B992" s="3" t="str">
        <f t="shared" si="53"/>
        <v>simon.d.shpilfoygel@medtronic.com</v>
      </c>
      <c r="C992" s="3">
        <f t="shared" si="54"/>
        <v>1</v>
      </c>
      <c r="D992" s="2" t="s">
        <v>4468</v>
      </c>
      <c r="E992" s="2" t="s">
        <v>1267</v>
      </c>
      <c r="F992" s="2" t="s">
        <v>4323</v>
      </c>
      <c r="I992" s="2" t="s">
        <v>4469</v>
      </c>
      <c r="L992" s="2" t="s">
        <v>4470</v>
      </c>
      <c r="M992" s="2" t="s">
        <v>45</v>
      </c>
    </row>
    <row r="993" spans="1:13" ht="15" x14ac:dyDescent="0.2">
      <c r="A993" s="2" t="s">
        <v>4231</v>
      </c>
      <c r="B993" s="3" t="str">
        <f t="shared" si="53"/>
        <v>atakur@medtronic.com</v>
      </c>
      <c r="C993" s="3">
        <f t="shared" si="54"/>
        <v>1</v>
      </c>
      <c r="D993" s="2" t="s">
        <v>4471</v>
      </c>
      <c r="E993" s="2" t="s">
        <v>4472</v>
      </c>
      <c r="F993" s="2" t="s">
        <v>4473</v>
      </c>
      <c r="I993" s="2" t="s">
        <v>4474</v>
      </c>
      <c r="L993" s="2" t="s">
        <v>4475</v>
      </c>
      <c r="M993" s="2" t="s">
        <v>45</v>
      </c>
    </row>
    <row r="994" spans="1:13" ht="15" x14ac:dyDescent="0.2">
      <c r="A994" s="2" t="s">
        <v>4231</v>
      </c>
      <c r="B994" s="3" t="str">
        <f t="shared" si="53"/>
        <v>cmatt@medtronic.com</v>
      </c>
      <c r="C994" s="3">
        <f t="shared" si="54"/>
        <v>1</v>
      </c>
      <c r="D994" s="2" t="s">
        <v>4476</v>
      </c>
      <c r="E994" s="2" t="s">
        <v>1652</v>
      </c>
      <c r="F994" s="2" t="s">
        <v>785</v>
      </c>
      <c r="I994" s="2" t="s">
        <v>4477</v>
      </c>
      <c r="L994" s="2" t="s">
        <v>4280</v>
      </c>
      <c r="M994" s="2" t="s">
        <v>45</v>
      </c>
    </row>
    <row r="995" spans="1:13" ht="15" x14ac:dyDescent="0.2">
      <c r="A995" s="2" t="s">
        <v>4231</v>
      </c>
      <c r="B995" s="3" t="str">
        <f t="shared" si="53"/>
        <v>lkarkar@medtronic.com</v>
      </c>
      <c r="C995" s="3">
        <f t="shared" si="54"/>
        <v>1</v>
      </c>
      <c r="D995" s="2" t="s">
        <v>4478</v>
      </c>
      <c r="E995" s="2" t="s">
        <v>4479</v>
      </c>
      <c r="F995" s="2" t="s">
        <v>4480</v>
      </c>
      <c r="I995" s="2" t="s">
        <v>4481</v>
      </c>
      <c r="L995" s="2" t="s">
        <v>4482</v>
      </c>
      <c r="M995" s="2" t="s">
        <v>45</v>
      </c>
    </row>
    <row r="996" spans="1:13" ht="15" x14ac:dyDescent="0.2">
      <c r="A996" s="2" t="s">
        <v>4231</v>
      </c>
      <c r="B996" s="3" t="str">
        <f t="shared" si="53"/>
        <v>melissa.m.rhodes@medtronic.com</v>
      </c>
      <c r="C996" s="3">
        <f t="shared" si="54"/>
        <v>1</v>
      </c>
      <c r="D996" s="2" t="s">
        <v>4483</v>
      </c>
      <c r="E996" s="2" t="s">
        <v>1704</v>
      </c>
      <c r="F996" s="2" t="s">
        <v>4484</v>
      </c>
      <c r="I996" s="2" t="s">
        <v>4485</v>
      </c>
      <c r="L996" s="2" t="s">
        <v>4486</v>
      </c>
      <c r="M996" s="2" t="s">
        <v>463</v>
      </c>
    </row>
    <row r="997" spans="1:13" ht="15" x14ac:dyDescent="0.2">
      <c r="A997" s="2" t="s">
        <v>4231</v>
      </c>
      <c r="B997" s="3" t="str">
        <f t="shared" si="53"/>
        <v>yefim.b.lipovskiy@medtronic.com</v>
      </c>
      <c r="C997" s="3">
        <f t="shared" si="54"/>
        <v>1</v>
      </c>
      <c r="D997" s="2" t="s">
        <v>4487</v>
      </c>
      <c r="E997" s="2" t="s">
        <v>4488</v>
      </c>
      <c r="F997" s="2" t="s">
        <v>4489</v>
      </c>
      <c r="I997" s="2" t="s">
        <v>4490</v>
      </c>
      <c r="L997" s="2" t="s">
        <v>4491</v>
      </c>
      <c r="M997" s="2" t="s">
        <v>45</v>
      </c>
    </row>
    <row r="998" spans="1:13" ht="15" x14ac:dyDescent="0.2">
      <c r="A998" s="2" t="s">
        <v>4231</v>
      </c>
      <c r="B998" s="3" t="str">
        <f t="shared" si="53"/>
        <v>thomas.vogenthaler@medtronic.com</v>
      </c>
      <c r="C998" s="3">
        <f t="shared" si="54"/>
        <v>1</v>
      </c>
      <c r="D998" s="2" t="s">
        <v>4492</v>
      </c>
      <c r="E998" s="2" t="s">
        <v>1126</v>
      </c>
      <c r="F998" s="2" t="s">
        <v>4493</v>
      </c>
      <c r="I998" s="2" t="s">
        <v>4494</v>
      </c>
      <c r="L998" s="2" t="s">
        <v>922</v>
      </c>
      <c r="M998" s="2" t="s">
        <v>45</v>
      </c>
    </row>
    <row r="999" spans="1:13" ht="15" x14ac:dyDescent="0.2">
      <c r="A999" s="2" t="s">
        <v>4231</v>
      </c>
      <c r="B999" s="3" t="str">
        <f t="shared" si="53"/>
        <v>ryan.sefkow@medtronic.com</v>
      </c>
      <c r="C999" s="3">
        <f t="shared" si="54"/>
        <v>1</v>
      </c>
      <c r="D999" s="2" t="s">
        <v>4495</v>
      </c>
      <c r="E999" s="2" t="s">
        <v>2134</v>
      </c>
      <c r="F999" s="2" t="s">
        <v>4496</v>
      </c>
      <c r="I999" s="2" t="s">
        <v>4497</v>
      </c>
      <c r="L999" s="2" t="s">
        <v>4498</v>
      </c>
      <c r="M999" s="2" t="s">
        <v>463</v>
      </c>
    </row>
    <row r="1000" spans="1:13" ht="15" x14ac:dyDescent="0.2">
      <c r="A1000" s="2" t="s">
        <v>4231</v>
      </c>
      <c r="B1000" s="3" t="str">
        <f t="shared" si="53"/>
        <v>chris.b@medtronic.com</v>
      </c>
      <c r="C1000" s="3">
        <f t="shared" si="54"/>
        <v>1</v>
      </c>
      <c r="D1000" s="2" t="s">
        <v>4499</v>
      </c>
      <c r="E1000" s="2" t="s">
        <v>1652</v>
      </c>
      <c r="F1000" s="2" t="s">
        <v>4500</v>
      </c>
      <c r="I1000" s="2" t="s">
        <v>4501</v>
      </c>
      <c r="L1000" s="2" t="s">
        <v>4502</v>
      </c>
      <c r="M1000" s="2" t="s">
        <v>463</v>
      </c>
    </row>
    <row r="1001" spans="1:13" ht="15" x14ac:dyDescent="0.2">
      <c r="A1001" s="2" t="s">
        <v>4231</v>
      </c>
      <c r="B1001" s="3" t="str">
        <f t="shared" si="53"/>
        <v>nikolas.larson@medtronic.com</v>
      </c>
      <c r="C1001" s="3">
        <f t="shared" si="54"/>
        <v>1</v>
      </c>
      <c r="D1001" s="2" t="s">
        <v>4503</v>
      </c>
      <c r="E1001" s="2" t="s">
        <v>4504</v>
      </c>
      <c r="F1001" s="2" t="s">
        <v>471</v>
      </c>
      <c r="I1001" s="2" t="s">
        <v>4505</v>
      </c>
      <c r="L1001" s="2" t="s">
        <v>4498</v>
      </c>
      <c r="M1001" s="2" t="s">
        <v>463</v>
      </c>
    </row>
    <row r="1002" spans="1:13" ht="15" x14ac:dyDescent="0.2">
      <c r="A1002" s="2" t="s">
        <v>4231</v>
      </c>
      <c r="B1002" s="3" t="str">
        <f t="shared" si="53"/>
        <v>aaron.s.gonzales@medtronic.com</v>
      </c>
      <c r="C1002" s="3">
        <f t="shared" si="54"/>
        <v>1</v>
      </c>
      <c r="D1002" s="2" t="s">
        <v>4506</v>
      </c>
      <c r="E1002" s="2" t="s">
        <v>4507</v>
      </c>
      <c r="F1002" s="2" t="s">
        <v>4508</v>
      </c>
      <c r="I1002" s="2" t="s">
        <v>4509</v>
      </c>
      <c r="L1002" s="2" t="s">
        <v>4498</v>
      </c>
      <c r="M1002" s="2" t="s">
        <v>22</v>
      </c>
    </row>
    <row r="1003" spans="1:13" ht="15" x14ac:dyDescent="0.2">
      <c r="A1003" s="2" t="s">
        <v>4231</v>
      </c>
      <c r="B1003" s="3" t="str">
        <f t="shared" si="53"/>
        <v>louise.flaherty@medtronic.com</v>
      </c>
      <c r="C1003" s="3">
        <f t="shared" si="54"/>
        <v>1</v>
      </c>
      <c r="D1003" s="2" t="s">
        <v>4510</v>
      </c>
      <c r="E1003" s="2" t="s">
        <v>4511</v>
      </c>
      <c r="F1003" s="2" t="s">
        <v>2718</v>
      </c>
      <c r="I1003" s="2" t="s">
        <v>4512</v>
      </c>
      <c r="L1003" s="2" t="s">
        <v>4513</v>
      </c>
      <c r="M1003" s="2" t="s">
        <v>463</v>
      </c>
    </row>
    <row r="1004" spans="1:13" ht="15" x14ac:dyDescent="0.2">
      <c r="A1004" s="2" t="s">
        <v>4231</v>
      </c>
      <c r="B1004" s="3" t="str">
        <f t="shared" si="53"/>
        <v>loic.josse@medtronic.com</v>
      </c>
      <c r="C1004" s="3">
        <f t="shared" si="54"/>
        <v>1</v>
      </c>
      <c r="D1004" s="2" t="s">
        <v>4514</v>
      </c>
      <c r="E1004" s="2" t="s">
        <v>4515</v>
      </c>
      <c r="F1004" s="2" t="s">
        <v>4516</v>
      </c>
      <c r="I1004" s="2" t="s">
        <v>4517</v>
      </c>
      <c r="L1004" s="2" t="s">
        <v>4498</v>
      </c>
      <c r="M1004" s="2" t="s">
        <v>463</v>
      </c>
    </row>
    <row r="1005" spans="1:13" ht="15" x14ac:dyDescent="0.2">
      <c r="A1005" s="2" t="s">
        <v>4231</v>
      </c>
      <c r="B1005" s="3" t="str">
        <f t="shared" si="53"/>
        <v>douglas.s.hine@medtronic.com</v>
      </c>
      <c r="C1005" s="3">
        <f t="shared" si="54"/>
        <v>1</v>
      </c>
      <c r="D1005" s="2" t="s">
        <v>4518</v>
      </c>
      <c r="E1005" s="2" t="s">
        <v>4519</v>
      </c>
      <c r="F1005" s="2" t="s">
        <v>4520</v>
      </c>
      <c r="I1005" s="2" t="s">
        <v>4521</v>
      </c>
      <c r="L1005" s="2" t="s">
        <v>4498</v>
      </c>
      <c r="M1005" s="2" t="s">
        <v>463</v>
      </c>
    </row>
    <row r="1006" spans="1:13" ht="15" x14ac:dyDescent="0.2">
      <c r="A1006" s="2" t="s">
        <v>4231</v>
      </c>
      <c r="B1006" s="3" t="str">
        <f t="shared" si="53"/>
        <v>arvind.puri@medtronic.com</v>
      </c>
      <c r="C1006" s="3">
        <f t="shared" si="54"/>
        <v>1</v>
      </c>
      <c r="D1006" s="2" t="s">
        <v>4522</v>
      </c>
      <c r="E1006" s="2" t="s">
        <v>4523</v>
      </c>
      <c r="F1006" s="2" t="s">
        <v>4524</v>
      </c>
      <c r="I1006" s="2" t="s">
        <v>4525</v>
      </c>
      <c r="L1006" s="2" t="s">
        <v>4498</v>
      </c>
      <c r="M1006" s="2" t="s">
        <v>463</v>
      </c>
    </row>
    <row r="1007" spans="1:13" ht="15" x14ac:dyDescent="0.2">
      <c r="A1007" s="2" t="s">
        <v>4231</v>
      </c>
      <c r="B1007" s="3" t="str">
        <f t="shared" si="53"/>
        <v>alexander.h@medtronic.com</v>
      </c>
      <c r="C1007" s="3">
        <f t="shared" si="54"/>
        <v>1</v>
      </c>
      <c r="D1007" s="2" t="s">
        <v>4526</v>
      </c>
      <c r="E1007" s="2" t="s">
        <v>1409</v>
      </c>
      <c r="F1007" s="2" t="s">
        <v>3484</v>
      </c>
      <c r="I1007" s="2" t="s">
        <v>4527</v>
      </c>
      <c r="L1007" s="2" t="s">
        <v>4513</v>
      </c>
      <c r="M1007" s="2" t="s">
        <v>463</v>
      </c>
    </row>
    <row r="1008" spans="1:13" ht="15" x14ac:dyDescent="0.2">
      <c r="A1008" s="2" t="s">
        <v>4231</v>
      </c>
      <c r="B1008" s="3" t="str">
        <f t="shared" si="53"/>
        <v>delin.shen@medtronic.com</v>
      </c>
      <c r="C1008" s="3">
        <f t="shared" si="54"/>
        <v>1</v>
      </c>
      <c r="D1008" s="2" t="s">
        <v>4528</v>
      </c>
      <c r="E1008" s="2" t="s">
        <v>4529</v>
      </c>
      <c r="F1008" s="2" t="s">
        <v>4530</v>
      </c>
      <c r="I1008" s="2" t="s">
        <v>4531</v>
      </c>
      <c r="L1008" s="2" t="s">
        <v>4513</v>
      </c>
      <c r="M1008" s="2" t="s">
        <v>463</v>
      </c>
    </row>
    <row r="1009" spans="1:13" ht="15" x14ac:dyDescent="0.2">
      <c r="A1009" s="2" t="s">
        <v>4231</v>
      </c>
      <c r="B1009" s="3" t="str">
        <f t="shared" si="53"/>
        <v>jason.t.iceman@medtronic.com</v>
      </c>
      <c r="C1009" s="3">
        <f t="shared" si="54"/>
        <v>1</v>
      </c>
      <c r="D1009" s="2" t="s">
        <v>4532</v>
      </c>
      <c r="E1009" s="2" t="s">
        <v>4533</v>
      </c>
      <c r="F1009" s="2" t="s">
        <v>4534</v>
      </c>
      <c r="I1009" s="2" t="s">
        <v>4535</v>
      </c>
      <c r="L1009" s="2" t="s">
        <v>4513</v>
      </c>
      <c r="M1009" s="2" t="s">
        <v>463</v>
      </c>
    </row>
    <row r="1010" spans="1:13" ht="15" x14ac:dyDescent="0.2">
      <c r="A1010" s="2" t="s">
        <v>4231</v>
      </c>
      <c r="B1010" s="3" t="str">
        <f t="shared" si="53"/>
        <v>greg.haider@medtronic.com</v>
      </c>
      <c r="C1010" s="3">
        <f t="shared" si="54"/>
        <v>1</v>
      </c>
      <c r="D1010" s="2" t="s">
        <v>4536</v>
      </c>
      <c r="E1010" s="2" t="s">
        <v>1709</v>
      </c>
      <c r="F1010" s="2" t="s">
        <v>4537</v>
      </c>
      <c r="I1010" s="2" t="s">
        <v>4538</v>
      </c>
      <c r="L1010" s="2" t="s">
        <v>4513</v>
      </c>
      <c r="M1010" s="2" t="s">
        <v>463</v>
      </c>
    </row>
    <row r="1011" spans="1:13" ht="15" x14ac:dyDescent="0.2">
      <c r="A1011" s="2" t="s">
        <v>4231</v>
      </c>
      <c r="B1011" s="3" t="str">
        <f t="shared" si="53"/>
        <v>john.b@medtronic.com</v>
      </c>
      <c r="C1011" s="3">
        <f t="shared" si="54"/>
        <v>1</v>
      </c>
      <c r="D1011" s="2" t="s">
        <v>4539</v>
      </c>
      <c r="E1011" s="2" t="s">
        <v>187</v>
      </c>
      <c r="F1011" s="2" t="s">
        <v>4500</v>
      </c>
      <c r="I1011" s="2" t="s">
        <v>4540</v>
      </c>
      <c r="L1011" s="2" t="s">
        <v>4513</v>
      </c>
      <c r="M1011" s="2" t="s">
        <v>463</v>
      </c>
    </row>
    <row r="1012" spans="1:13" ht="15" x14ac:dyDescent="0.2">
      <c r="A1012" s="2" t="s">
        <v>4231</v>
      </c>
      <c r="B1012" s="3" t="str">
        <f t="shared" si="53"/>
        <v>alyse.r.stofer@medtronic.com</v>
      </c>
      <c r="C1012" s="3">
        <f t="shared" si="54"/>
        <v>1</v>
      </c>
      <c r="D1012" s="2" t="s">
        <v>4541</v>
      </c>
      <c r="E1012" s="2" t="s">
        <v>4542</v>
      </c>
      <c r="F1012" s="2" t="s">
        <v>4543</v>
      </c>
      <c r="I1012" s="2" t="s">
        <v>4544</v>
      </c>
      <c r="L1012" s="2" t="s">
        <v>4236</v>
      </c>
      <c r="M1012" s="2" t="s">
        <v>45</v>
      </c>
    </row>
    <row r="1013" spans="1:13" ht="15" x14ac:dyDescent="0.2">
      <c r="A1013" s="2" t="s">
        <v>4231</v>
      </c>
      <c r="B1013" s="3" t="str">
        <f t="shared" si="53"/>
        <v>stephane.moreau@medtronic.com</v>
      </c>
      <c r="C1013" s="3">
        <f t="shared" si="54"/>
        <v>1</v>
      </c>
      <c r="D1013" s="2" t="s">
        <v>4545</v>
      </c>
      <c r="E1013" s="2" t="s">
        <v>4546</v>
      </c>
      <c r="F1013" s="2" t="s">
        <v>672</v>
      </c>
      <c r="I1013" s="2" t="s">
        <v>4547</v>
      </c>
      <c r="L1013" s="2" t="s">
        <v>4236</v>
      </c>
      <c r="M1013" s="2" t="s">
        <v>45</v>
      </c>
    </row>
    <row r="1014" spans="1:13" ht="15" x14ac:dyDescent="0.2">
      <c r="A1014" s="2" t="s">
        <v>4231</v>
      </c>
      <c r="B1014" s="3" t="str">
        <f t="shared" si="53"/>
        <v>amol.p.kodag@medtronic.com</v>
      </c>
      <c r="C1014" s="3">
        <f t="shared" si="54"/>
        <v>1</v>
      </c>
      <c r="D1014" s="2" t="s">
        <v>4548</v>
      </c>
      <c r="E1014" s="2" t="s">
        <v>4549</v>
      </c>
      <c r="F1014" s="2" t="s">
        <v>4550</v>
      </c>
      <c r="I1014" s="2" t="s">
        <v>4551</v>
      </c>
      <c r="L1014" s="2" t="s">
        <v>4513</v>
      </c>
      <c r="M1014" s="2" t="s">
        <v>463</v>
      </c>
    </row>
    <row r="1015" spans="1:13" ht="15" x14ac:dyDescent="0.2">
      <c r="A1015" s="2" t="s">
        <v>4231</v>
      </c>
      <c r="B1015" s="3" t="str">
        <f t="shared" si="53"/>
        <v>lena.karkar@medtronic.com</v>
      </c>
      <c r="C1015" s="3">
        <f t="shared" si="54"/>
        <v>1</v>
      </c>
      <c r="D1015" s="2" t="s">
        <v>4552</v>
      </c>
      <c r="E1015" s="2" t="s">
        <v>4479</v>
      </c>
      <c r="F1015" s="2" t="s">
        <v>4480</v>
      </c>
      <c r="I1015" s="2" t="s">
        <v>4553</v>
      </c>
      <c r="L1015" s="2" t="s">
        <v>4554</v>
      </c>
      <c r="M1015" s="2" t="s">
        <v>463</v>
      </c>
    </row>
    <row r="1016" spans="1:13" ht="15" x14ac:dyDescent="0.2">
      <c r="A1016" s="2" t="s">
        <v>4231</v>
      </c>
      <c r="B1016" s="3" t="str">
        <f t="shared" si="53"/>
        <v>jennifer.miller@medtronic.com</v>
      </c>
      <c r="C1016" s="3">
        <f t="shared" si="54"/>
        <v>1</v>
      </c>
      <c r="D1016" s="2" t="s">
        <v>4555</v>
      </c>
      <c r="E1016" s="2" t="s">
        <v>139</v>
      </c>
      <c r="F1016" s="2" t="s">
        <v>712</v>
      </c>
      <c r="I1016" s="2" t="s">
        <v>4556</v>
      </c>
      <c r="L1016" s="2" t="s">
        <v>4498</v>
      </c>
      <c r="M1016" s="2" t="s">
        <v>463</v>
      </c>
    </row>
    <row r="1017" spans="1:13" ht="15" x14ac:dyDescent="0.2">
      <c r="A1017" s="2" t="s">
        <v>4231</v>
      </c>
      <c r="B1017" s="3" t="str">
        <f t="shared" si="53"/>
        <v>vishal.nazareth@medtronic.com</v>
      </c>
      <c r="C1017" s="3">
        <f t="shared" si="54"/>
        <v>1</v>
      </c>
      <c r="D1017" s="2" t="s">
        <v>4557</v>
      </c>
      <c r="E1017" s="2" t="s">
        <v>4558</v>
      </c>
      <c r="F1017" s="2" t="s">
        <v>4559</v>
      </c>
      <c r="I1017" s="2" t="s">
        <v>4560</v>
      </c>
      <c r="L1017" s="2" t="s">
        <v>4513</v>
      </c>
      <c r="M1017" s="2" t="s">
        <v>463</v>
      </c>
    </row>
    <row r="1018" spans="1:13" ht="15" x14ac:dyDescent="0.2">
      <c r="A1018" s="2" t="s">
        <v>4231</v>
      </c>
      <c r="B1018" s="3" t="str">
        <f t="shared" si="53"/>
        <v>steve.arco@medtronic.com</v>
      </c>
      <c r="C1018" s="3">
        <f t="shared" si="54"/>
        <v>1</v>
      </c>
      <c r="D1018" s="2" t="s">
        <v>4561</v>
      </c>
      <c r="E1018" s="2" t="s">
        <v>1234</v>
      </c>
      <c r="F1018" s="2" t="s">
        <v>4562</v>
      </c>
      <c r="I1018" s="2" t="s">
        <v>4563</v>
      </c>
      <c r="L1018" s="2" t="s">
        <v>4498</v>
      </c>
      <c r="M1018" s="2" t="s">
        <v>463</v>
      </c>
    </row>
    <row r="1019" spans="1:13" ht="15" x14ac:dyDescent="0.2">
      <c r="A1019" s="2" t="s">
        <v>4231</v>
      </c>
      <c r="B1019" s="3" t="str">
        <f t="shared" si="53"/>
        <v>ryan.fagan@medtronic.com</v>
      </c>
      <c r="C1019" s="3">
        <f t="shared" si="54"/>
        <v>1</v>
      </c>
      <c r="D1019" s="2" t="s">
        <v>4564</v>
      </c>
      <c r="E1019" s="2" t="s">
        <v>2134</v>
      </c>
      <c r="F1019" s="2" t="s">
        <v>4565</v>
      </c>
      <c r="I1019" s="2" t="s">
        <v>4566</v>
      </c>
      <c r="L1019" s="2" t="s">
        <v>4498</v>
      </c>
      <c r="M1019" s="2" t="s">
        <v>463</v>
      </c>
    </row>
    <row r="1020" spans="1:13" ht="15" x14ac:dyDescent="0.2">
      <c r="A1020" s="2" t="s">
        <v>4231</v>
      </c>
      <c r="B1020" s="3" t="str">
        <f t="shared" si="53"/>
        <v>nicholas.t.anderson@medtronic.com</v>
      </c>
      <c r="C1020" s="3">
        <f t="shared" si="54"/>
        <v>1</v>
      </c>
      <c r="D1020" s="2" t="s">
        <v>4567</v>
      </c>
      <c r="E1020" s="2" t="s">
        <v>4568</v>
      </c>
      <c r="F1020" s="2" t="s">
        <v>55</v>
      </c>
      <c r="I1020" s="2" t="s">
        <v>4569</v>
      </c>
      <c r="L1020" s="2" t="s">
        <v>4502</v>
      </c>
      <c r="M1020" s="2" t="s">
        <v>22</v>
      </c>
    </row>
    <row r="1021" spans="1:13" ht="15" x14ac:dyDescent="0.2">
      <c r="A1021" s="2" t="s">
        <v>4231</v>
      </c>
      <c r="B1021" s="3" t="str">
        <f t="shared" si="53"/>
        <v>emily.grayburn@medtronic.com</v>
      </c>
      <c r="C1021" s="3">
        <f t="shared" si="54"/>
        <v>1</v>
      </c>
      <c r="D1021" s="2" t="s">
        <v>4570</v>
      </c>
      <c r="E1021" s="2" t="s">
        <v>3034</v>
      </c>
      <c r="F1021" s="2" t="s">
        <v>4343</v>
      </c>
      <c r="I1021" s="2" t="s">
        <v>4571</v>
      </c>
      <c r="L1021" s="2" t="s">
        <v>1790</v>
      </c>
      <c r="M1021" s="2" t="s">
        <v>45</v>
      </c>
    </row>
    <row r="1022" spans="1:13" ht="15" x14ac:dyDescent="0.2">
      <c r="A1022" s="2" t="s">
        <v>4231</v>
      </c>
      <c r="B1022" s="3" t="str">
        <f t="shared" si="53"/>
        <v>steffe1@medtronic.com</v>
      </c>
      <c r="C1022" s="3">
        <f t="shared" si="54"/>
        <v>1</v>
      </c>
      <c r="D1022" s="2" t="s">
        <v>4572</v>
      </c>
      <c r="E1022" s="2" t="s">
        <v>4573</v>
      </c>
      <c r="F1022" s="2" t="s">
        <v>910</v>
      </c>
      <c r="I1022" s="2" t="s">
        <v>4574</v>
      </c>
      <c r="L1022" s="2" t="s">
        <v>910</v>
      </c>
      <c r="M1022" s="2" t="s">
        <v>45</v>
      </c>
    </row>
    <row r="1023" spans="1:13" ht="15" x14ac:dyDescent="0.2">
      <c r="A1023" s="2" t="s">
        <v>4231</v>
      </c>
      <c r="B1023" s="3" t="str">
        <f t="shared" si="53"/>
        <v>barbara.tyrrell@medtronic.com</v>
      </c>
      <c r="C1023" s="3">
        <f t="shared" si="54"/>
        <v>1</v>
      </c>
      <c r="D1023" s="2" t="s">
        <v>4575</v>
      </c>
      <c r="E1023" s="2" t="s">
        <v>4576</v>
      </c>
      <c r="F1023" s="2" t="s">
        <v>4577</v>
      </c>
      <c r="I1023" s="2" t="s">
        <v>4578</v>
      </c>
      <c r="L1023" s="2" t="s">
        <v>4498</v>
      </c>
      <c r="M1023" s="2" t="s">
        <v>463</v>
      </c>
    </row>
    <row r="1024" spans="1:13" ht="15" x14ac:dyDescent="0.2">
      <c r="A1024" s="2" t="s">
        <v>4231</v>
      </c>
      <c r="B1024" s="3" t="str">
        <f t="shared" si="53"/>
        <v>dustin.c.eastman@medtronic.com</v>
      </c>
      <c r="C1024" s="3">
        <f t="shared" si="54"/>
        <v>1</v>
      </c>
      <c r="D1024" s="2" t="s">
        <v>4579</v>
      </c>
      <c r="E1024" s="2" t="s">
        <v>4580</v>
      </c>
      <c r="F1024" s="2" t="s">
        <v>4581</v>
      </c>
      <c r="I1024" s="2" t="s">
        <v>4582</v>
      </c>
      <c r="L1024" s="2" t="s">
        <v>4583</v>
      </c>
      <c r="M1024" s="2" t="s">
        <v>463</v>
      </c>
    </row>
    <row r="1025" spans="1:13" ht="15" x14ac:dyDescent="0.2">
      <c r="A1025" s="2" t="s">
        <v>4231</v>
      </c>
      <c r="B1025" s="3" t="str">
        <f t="shared" si="53"/>
        <v>vince.nguyen2@medtronic.com</v>
      </c>
      <c r="C1025" s="3">
        <f t="shared" si="54"/>
        <v>2</v>
      </c>
      <c r="D1025" s="2" t="s">
        <v>4584</v>
      </c>
      <c r="E1025" s="2" t="s">
        <v>2820</v>
      </c>
      <c r="F1025" s="2" t="s">
        <v>3421</v>
      </c>
      <c r="I1025" s="2" t="s">
        <v>4246</v>
      </c>
      <c r="L1025" s="2" t="s">
        <v>4585</v>
      </c>
      <c r="M1025" s="2" t="s">
        <v>45</v>
      </c>
    </row>
    <row r="1026" spans="1:13" ht="15" x14ac:dyDescent="0.2">
      <c r="A1026" s="2" t="s">
        <v>4231</v>
      </c>
      <c r="B1026" s="3" t="str">
        <f t="shared" ref="B1026:B1089" si="55">IF(H1026&lt;&gt;"",H1026,I1026)</f>
        <v>nancy.brainerd@medtronic.com</v>
      </c>
      <c r="C1026" s="3">
        <f t="shared" ref="C1026:C1089" si="56">COUNTIF($B$2:$B$1586,B1026)</f>
        <v>2</v>
      </c>
      <c r="D1026" s="2" t="s">
        <v>4586</v>
      </c>
      <c r="E1026" s="2" t="s">
        <v>4232</v>
      </c>
      <c r="F1026" s="2" t="s">
        <v>4233</v>
      </c>
      <c r="I1026" s="2" t="s">
        <v>4234</v>
      </c>
      <c r="L1026" s="2" t="s">
        <v>4587</v>
      </c>
      <c r="M1026" s="2" t="s">
        <v>45</v>
      </c>
    </row>
    <row r="1027" spans="1:13" ht="15" x14ac:dyDescent="0.2">
      <c r="A1027" s="2" t="s">
        <v>4231</v>
      </c>
      <c r="B1027" s="3" t="str">
        <f t="shared" si="55"/>
        <v>emily.davis@medtronic.com</v>
      </c>
      <c r="C1027" s="3">
        <f t="shared" si="56"/>
        <v>1</v>
      </c>
      <c r="D1027" s="2" t="s">
        <v>4588</v>
      </c>
      <c r="E1027" s="2" t="s">
        <v>3034</v>
      </c>
      <c r="F1027" s="2" t="s">
        <v>4589</v>
      </c>
      <c r="I1027" s="2" t="s">
        <v>4590</v>
      </c>
      <c r="L1027" s="2" t="s">
        <v>4513</v>
      </c>
      <c r="M1027" s="2" t="s">
        <v>463</v>
      </c>
    </row>
    <row r="1028" spans="1:13" ht="15" x14ac:dyDescent="0.2">
      <c r="A1028" s="2" t="s">
        <v>4231</v>
      </c>
      <c r="B1028" s="3" t="str">
        <f t="shared" si="55"/>
        <v>john.fontecchio@medtronic.com</v>
      </c>
      <c r="C1028" s="3">
        <f t="shared" si="56"/>
        <v>1</v>
      </c>
      <c r="D1028" s="2" t="s">
        <v>4591</v>
      </c>
      <c r="E1028" s="2" t="s">
        <v>187</v>
      </c>
      <c r="F1028" s="2" t="s">
        <v>4592</v>
      </c>
      <c r="I1028" s="2" t="s">
        <v>4593</v>
      </c>
      <c r="L1028" s="2" t="s">
        <v>4498</v>
      </c>
      <c r="M1028" s="2" t="s">
        <v>463</v>
      </c>
    </row>
    <row r="1029" spans="1:13" ht="15" x14ac:dyDescent="0.2">
      <c r="A1029" s="2" t="s">
        <v>4231</v>
      </c>
      <c r="B1029" s="3" t="str">
        <f t="shared" si="55"/>
        <v>daniel.j.rotty@medtronic.com</v>
      </c>
      <c r="C1029" s="3">
        <f t="shared" si="56"/>
        <v>1</v>
      </c>
      <c r="D1029" s="2" t="s">
        <v>4594</v>
      </c>
      <c r="E1029" s="2" t="s">
        <v>4595</v>
      </c>
      <c r="F1029" s="2" t="s">
        <v>4596</v>
      </c>
      <c r="I1029" s="2" t="s">
        <v>4597</v>
      </c>
      <c r="L1029" s="2" t="s">
        <v>4513</v>
      </c>
      <c r="M1029" s="2" t="s">
        <v>463</v>
      </c>
    </row>
    <row r="1030" spans="1:13" ht="15" x14ac:dyDescent="0.2">
      <c r="A1030" s="2" t="s">
        <v>4231</v>
      </c>
      <c r="B1030" s="3" t="str">
        <f t="shared" si="55"/>
        <v>shohan.hossain@medtronic.com</v>
      </c>
      <c r="C1030" s="3">
        <f t="shared" si="56"/>
        <v>1</v>
      </c>
      <c r="D1030" s="2" t="s">
        <v>4598</v>
      </c>
      <c r="E1030" s="2" t="s">
        <v>4599</v>
      </c>
      <c r="F1030" s="2" t="s">
        <v>4600</v>
      </c>
      <c r="I1030" s="2" t="s">
        <v>4601</v>
      </c>
      <c r="L1030" s="2" t="s">
        <v>4498</v>
      </c>
      <c r="M1030" s="2" t="s">
        <v>463</v>
      </c>
    </row>
    <row r="1031" spans="1:13" ht="15" x14ac:dyDescent="0.2">
      <c r="A1031" s="2" t="s">
        <v>4231</v>
      </c>
      <c r="B1031" s="3" t="str">
        <f t="shared" si="55"/>
        <v>daniel.c.broom@medtronic.com</v>
      </c>
      <c r="C1031" s="3">
        <f t="shared" si="56"/>
        <v>1</v>
      </c>
      <c r="D1031" s="2" t="s">
        <v>4602</v>
      </c>
      <c r="E1031" s="2" t="s">
        <v>4603</v>
      </c>
      <c r="F1031" s="2" t="s">
        <v>4604</v>
      </c>
      <c r="I1031" s="2" t="s">
        <v>4605</v>
      </c>
      <c r="L1031" s="2" t="s">
        <v>4498</v>
      </c>
      <c r="M1031" s="2" t="s">
        <v>463</v>
      </c>
    </row>
    <row r="1032" spans="1:13" ht="15" x14ac:dyDescent="0.2">
      <c r="A1032" s="2" t="s">
        <v>4231</v>
      </c>
      <c r="B1032" s="3" t="str">
        <f t="shared" si="55"/>
        <v>monika.budhabhatti@medtronic.com</v>
      </c>
      <c r="C1032" s="3">
        <f t="shared" si="56"/>
        <v>1</v>
      </c>
      <c r="D1032" s="2" t="s">
        <v>4606</v>
      </c>
      <c r="E1032" s="2" t="s">
        <v>4607</v>
      </c>
      <c r="F1032" s="2" t="s">
        <v>4608</v>
      </c>
      <c r="I1032" s="2" t="s">
        <v>4609</v>
      </c>
      <c r="L1032" s="2" t="s">
        <v>4236</v>
      </c>
      <c r="M1032" s="2" t="s">
        <v>463</v>
      </c>
    </row>
    <row r="1033" spans="1:13" ht="15" x14ac:dyDescent="0.2">
      <c r="A1033" s="2" t="s">
        <v>4231</v>
      </c>
      <c r="B1033" s="3" t="str">
        <f t="shared" si="55"/>
        <v>jim.borowick@medtronic.com</v>
      </c>
      <c r="C1033" s="3">
        <f t="shared" si="56"/>
        <v>1</v>
      </c>
      <c r="D1033" s="2" t="s">
        <v>4610</v>
      </c>
      <c r="E1033" s="2" t="s">
        <v>177</v>
      </c>
      <c r="F1033" s="2" t="s">
        <v>4611</v>
      </c>
      <c r="I1033" s="2" t="s">
        <v>4612</v>
      </c>
      <c r="L1033" s="2" t="s">
        <v>4498</v>
      </c>
      <c r="M1033" s="2" t="s">
        <v>463</v>
      </c>
    </row>
    <row r="1034" spans="1:13" ht="15" x14ac:dyDescent="0.2">
      <c r="A1034" s="2" t="s">
        <v>4231</v>
      </c>
      <c r="B1034" s="3" t="str">
        <f t="shared" si="55"/>
        <v>swagata.bergquist@medtronic.com</v>
      </c>
      <c r="C1034" s="3">
        <f t="shared" si="56"/>
        <v>1</v>
      </c>
      <c r="D1034" s="2" t="s">
        <v>4613</v>
      </c>
      <c r="E1034" s="2" t="s">
        <v>4614</v>
      </c>
      <c r="F1034" s="2" t="s">
        <v>4615</v>
      </c>
      <c r="I1034" s="2" t="s">
        <v>4616</v>
      </c>
      <c r="L1034" s="2" t="s">
        <v>4617</v>
      </c>
      <c r="M1034" s="2" t="s">
        <v>45</v>
      </c>
    </row>
    <row r="1035" spans="1:13" ht="15" x14ac:dyDescent="0.2">
      <c r="A1035" s="2" t="s">
        <v>4231</v>
      </c>
      <c r="B1035" s="3" t="str">
        <f t="shared" si="55"/>
        <v>allen.e.kluz@medtronic.com</v>
      </c>
      <c r="C1035" s="3">
        <f t="shared" si="56"/>
        <v>1</v>
      </c>
      <c r="D1035" s="2" t="s">
        <v>4618</v>
      </c>
      <c r="E1035" s="2" t="s">
        <v>4619</v>
      </c>
      <c r="F1035" s="2" t="s">
        <v>4620</v>
      </c>
      <c r="I1035" s="2" t="s">
        <v>4621</v>
      </c>
      <c r="L1035" s="2" t="s">
        <v>4622</v>
      </c>
      <c r="M1035" s="2" t="s">
        <v>45</v>
      </c>
    </row>
    <row r="1036" spans="1:13" ht="15" x14ac:dyDescent="0.2">
      <c r="A1036" s="2" t="s">
        <v>4231</v>
      </c>
      <c r="B1036" s="3" t="str">
        <f t="shared" si="55"/>
        <v>tyler.j.dwenger@medtronic.com</v>
      </c>
      <c r="C1036" s="3">
        <f t="shared" si="56"/>
        <v>1</v>
      </c>
      <c r="D1036" s="2" t="s">
        <v>4623</v>
      </c>
      <c r="E1036" s="2" t="s">
        <v>1161</v>
      </c>
      <c r="F1036" s="2" t="s">
        <v>4624</v>
      </c>
      <c r="I1036" s="2" t="s">
        <v>4625</v>
      </c>
      <c r="L1036" s="2" t="s">
        <v>912</v>
      </c>
      <c r="M1036" s="2" t="s">
        <v>22</v>
      </c>
    </row>
    <row r="1037" spans="1:13" ht="15" x14ac:dyDescent="0.2">
      <c r="A1037" s="2" t="s">
        <v>4231</v>
      </c>
      <c r="B1037" s="3" t="str">
        <f t="shared" si="55"/>
        <v>elizabeth.g.shields@medtronic.com</v>
      </c>
      <c r="C1037" s="3">
        <f t="shared" si="56"/>
        <v>1</v>
      </c>
      <c r="D1037" s="2" t="s">
        <v>4626</v>
      </c>
      <c r="E1037" s="2" t="s">
        <v>4627</v>
      </c>
      <c r="F1037" s="2" t="s">
        <v>4628</v>
      </c>
      <c r="I1037" s="2" t="s">
        <v>4629</v>
      </c>
      <c r="L1037" s="2" t="s">
        <v>4513</v>
      </c>
      <c r="M1037" s="2" t="s">
        <v>463</v>
      </c>
    </row>
    <row r="1038" spans="1:13" ht="15" x14ac:dyDescent="0.2">
      <c r="A1038" s="2" t="s">
        <v>4231</v>
      </c>
      <c r="B1038" s="3" t="str">
        <f t="shared" si="55"/>
        <v>christopher.plocharsky@medtronic.com</v>
      </c>
      <c r="C1038" s="3">
        <f t="shared" si="56"/>
        <v>1</v>
      </c>
      <c r="D1038" s="2" t="s">
        <v>4630</v>
      </c>
      <c r="E1038" s="2" t="s">
        <v>70</v>
      </c>
      <c r="F1038" s="2" t="s">
        <v>4631</v>
      </c>
      <c r="I1038" s="2" t="s">
        <v>4632</v>
      </c>
      <c r="L1038" s="2" t="s">
        <v>4498</v>
      </c>
      <c r="M1038" s="2" t="s">
        <v>463</v>
      </c>
    </row>
    <row r="1039" spans="1:13" ht="15" x14ac:dyDescent="0.2">
      <c r="A1039" s="2" t="s">
        <v>4231</v>
      </c>
      <c r="B1039" s="3" t="str">
        <f t="shared" si="55"/>
        <v>ann.marie.odonnell@medtronic.com</v>
      </c>
      <c r="C1039" s="3">
        <f t="shared" si="56"/>
        <v>1</v>
      </c>
      <c r="D1039" s="2" t="s">
        <v>4633</v>
      </c>
      <c r="E1039" s="2" t="s">
        <v>4634</v>
      </c>
      <c r="F1039" s="2" t="s">
        <v>4635</v>
      </c>
      <c r="I1039" s="2" t="s">
        <v>4636</v>
      </c>
      <c r="L1039" s="2" t="s">
        <v>4498</v>
      </c>
      <c r="M1039" s="2" t="s">
        <v>463</v>
      </c>
    </row>
    <row r="1040" spans="1:13" ht="15" x14ac:dyDescent="0.2">
      <c r="A1040" s="2" t="s">
        <v>4231</v>
      </c>
      <c r="B1040" s="3" t="str">
        <f t="shared" si="55"/>
        <v>robert.t.sandgren@medtronic.com</v>
      </c>
      <c r="C1040" s="3">
        <f t="shared" si="56"/>
        <v>1</v>
      </c>
      <c r="D1040" s="2" t="s">
        <v>4637</v>
      </c>
      <c r="E1040" s="2" t="s">
        <v>4638</v>
      </c>
      <c r="F1040" s="2" t="s">
        <v>4639</v>
      </c>
      <c r="I1040" s="2" t="s">
        <v>4640</v>
      </c>
      <c r="L1040" s="2" t="s">
        <v>4513</v>
      </c>
      <c r="M1040" s="2" t="s">
        <v>463</v>
      </c>
    </row>
    <row r="1041" spans="1:16" ht="15" x14ac:dyDescent="0.2">
      <c r="A1041" s="2" t="s">
        <v>4231</v>
      </c>
      <c r="B1041" s="3" t="str">
        <f t="shared" si="55"/>
        <v>amanda.wilson@medtronic.com</v>
      </c>
      <c r="C1041" s="3">
        <f t="shared" si="56"/>
        <v>1</v>
      </c>
      <c r="D1041" s="2" t="s">
        <v>4641</v>
      </c>
      <c r="E1041" s="2" t="s">
        <v>4642</v>
      </c>
      <c r="F1041" s="2" t="s">
        <v>1076</v>
      </c>
      <c r="I1041" s="2" t="s">
        <v>4643</v>
      </c>
      <c r="L1041" s="2" t="s">
        <v>4513</v>
      </c>
      <c r="M1041" s="2" t="s">
        <v>463</v>
      </c>
    </row>
    <row r="1042" spans="1:16" ht="15" x14ac:dyDescent="0.2">
      <c r="A1042" s="2" t="s">
        <v>4231</v>
      </c>
      <c r="B1042" s="3" t="str">
        <f t="shared" si="55"/>
        <v>emir.osmanagic@medtronic.com</v>
      </c>
      <c r="C1042" s="3">
        <f t="shared" si="56"/>
        <v>1</v>
      </c>
      <c r="D1042" s="2" t="s">
        <v>4644</v>
      </c>
      <c r="E1042" s="2" t="s">
        <v>4645</v>
      </c>
      <c r="F1042" s="2" t="s">
        <v>4646</v>
      </c>
      <c r="I1042" s="2" t="s">
        <v>4647</v>
      </c>
      <c r="L1042" s="2" t="s">
        <v>4498</v>
      </c>
      <c r="M1042" s="2" t="s">
        <v>463</v>
      </c>
    </row>
    <row r="1043" spans="1:16" ht="13" x14ac:dyDescent="0.15">
      <c r="A1043" s="4" t="s">
        <v>4648</v>
      </c>
      <c r="B1043" s="3" t="str">
        <f t="shared" si="55"/>
        <v>Yes</v>
      </c>
      <c r="C1043" s="3">
        <f t="shared" si="56"/>
        <v>446</v>
      </c>
      <c r="D1043" s="5">
        <v>11511483300</v>
      </c>
      <c r="E1043" s="4" t="s">
        <v>153</v>
      </c>
      <c r="F1043" s="4" t="s">
        <v>4649</v>
      </c>
      <c r="G1043" s="4"/>
      <c r="H1043" s="4" t="s">
        <v>34</v>
      </c>
      <c r="I1043" s="4" t="s">
        <v>4650</v>
      </c>
      <c r="J1043" s="6" t="s">
        <v>4651</v>
      </c>
      <c r="K1043" s="4"/>
      <c r="L1043" s="4" t="s">
        <v>1608</v>
      </c>
      <c r="M1043" s="4" t="s">
        <v>38</v>
      </c>
      <c r="N1043" s="4"/>
      <c r="O1043" s="4"/>
      <c r="P1043" s="4" t="str">
        <f t="shared" ref="P1043:P1067" si="57">IF(OR(M1043="Customer", M1043="Opportunity", H1043="Yes", H1043=TRUE, G1043="Yes", G1043=TRUE, O1043&gt;0), "YES", "NO")</f>
        <v>YES</v>
      </c>
    </row>
    <row r="1044" spans="1:16" ht="13" x14ac:dyDescent="0.15">
      <c r="A1044" s="4" t="s">
        <v>4652</v>
      </c>
      <c r="B1044" s="3" t="str">
        <f t="shared" si="55"/>
        <v>Yes</v>
      </c>
      <c r="C1044" s="3">
        <f t="shared" si="56"/>
        <v>446</v>
      </c>
      <c r="D1044" s="5">
        <v>11514404904</v>
      </c>
      <c r="E1044" s="4" t="s">
        <v>4653</v>
      </c>
      <c r="F1044" s="4" t="s">
        <v>4654</v>
      </c>
      <c r="G1044" s="4"/>
      <c r="H1044" s="4" t="s">
        <v>34</v>
      </c>
      <c r="I1044" s="4" t="s">
        <v>4655</v>
      </c>
      <c r="J1044" s="6" t="s">
        <v>4656</v>
      </c>
      <c r="K1044" s="4"/>
      <c r="L1044" s="4" t="s">
        <v>4657</v>
      </c>
      <c r="M1044" s="4" t="s">
        <v>38</v>
      </c>
      <c r="N1044" s="4"/>
      <c r="O1044" s="4"/>
      <c r="P1044" s="4" t="str">
        <f t="shared" si="57"/>
        <v>YES</v>
      </c>
    </row>
    <row r="1045" spans="1:16" ht="13" x14ac:dyDescent="0.15">
      <c r="A1045" s="4" t="s">
        <v>4658</v>
      </c>
      <c r="B1045" s="3" t="str">
        <f t="shared" si="55"/>
        <v>Yes</v>
      </c>
      <c r="C1045" s="3">
        <f t="shared" si="56"/>
        <v>446</v>
      </c>
      <c r="D1045" s="5">
        <v>11513088426</v>
      </c>
      <c r="E1045" s="4" t="s">
        <v>4659</v>
      </c>
      <c r="F1045" s="4" t="s">
        <v>4660</v>
      </c>
      <c r="G1045" s="4"/>
      <c r="H1045" s="4" t="s">
        <v>34</v>
      </c>
      <c r="I1045" s="4" t="s">
        <v>4661</v>
      </c>
      <c r="J1045" s="6" t="s">
        <v>4662</v>
      </c>
      <c r="K1045" s="4"/>
      <c r="L1045" s="4" t="s">
        <v>1402</v>
      </c>
      <c r="M1045" s="4" t="s">
        <v>38</v>
      </c>
      <c r="N1045" s="4"/>
      <c r="O1045" s="4"/>
      <c r="P1045" s="4" t="str">
        <f t="shared" si="57"/>
        <v>YES</v>
      </c>
    </row>
    <row r="1046" spans="1:16" ht="13" x14ac:dyDescent="0.15">
      <c r="A1046" s="4" t="s">
        <v>4663</v>
      </c>
      <c r="B1046" s="3" t="str">
        <f t="shared" si="55"/>
        <v>craig.morea@merck.com</v>
      </c>
      <c r="C1046" s="3">
        <f t="shared" si="56"/>
        <v>1</v>
      </c>
      <c r="D1046" s="5">
        <v>25013894542</v>
      </c>
      <c r="E1046" s="4" t="s">
        <v>4664</v>
      </c>
      <c r="F1046" s="4" t="s">
        <v>4665</v>
      </c>
      <c r="G1046" s="4" t="s">
        <v>34</v>
      </c>
      <c r="H1046" s="4"/>
      <c r="I1046" s="4" t="s">
        <v>4666</v>
      </c>
      <c r="J1046" s="6" t="s">
        <v>4667</v>
      </c>
      <c r="K1046" s="4"/>
      <c r="L1046" s="4" t="s">
        <v>4668</v>
      </c>
      <c r="M1046" s="4"/>
      <c r="N1046" s="4"/>
      <c r="O1046" s="4"/>
      <c r="P1046" s="4" t="str">
        <f t="shared" si="57"/>
        <v>YES</v>
      </c>
    </row>
    <row r="1047" spans="1:16" ht="13" x14ac:dyDescent="0.15">
      <c r="A1047" s="4" t="s">
        <v>4663</v>
      </c>
      <c r="B1047" s="3" t="str">
        <f t="shared" si="55"/>
        <v>vishwas.gadgil@merck.com</v>
      </c>
      <c r="C1047" s="3">
        <f t="shared" si="56"/>
        <v>1</v>
      </c>
      <c r="D1047" s="5">
        <v>25013208147</v>
      </c>
      <c r="E1047" s="4" t="s">
        <v>4669</v>
      </c>
      <c r="F1047" s="4" t="s">
        <v>4670</v>
      </c>
      <c r="G1047" s="4" t="s">
        <v>34</v>
      </c>
      <c r="H1047" s="4"/>
      <c r="I1047" s="4" t="s">
        <v>4671</v>
      </c>
      <c r="J1047" s="6" t="s">
        <v>4667</v>
      </c>
      <c r="K1047" s="4"/>
      <c r="L1047" s="4" t="s">
        <v>4672</v>
      </c>
      <c r="M1047" s="4"/>
      <c r="N1047" s="4"/>
      <c r="O1047" s="4"/>
      <c r="P1047" s="4" t="str">
        <f t="shared" si="57"/>
        <v>YES</v>
      </c>
    </row>
    <row r="1048" spans="1:16" ht="13" x14ac:dyDescent="0.15">
      <c r="A1048" s="4" t="s">
        <v>4663</v>
      </c>
      <c r="B1048" s="3" t="str">
        <f t="shared" si="55"/>
        <v>ashim.bajwa@merck.com</v>
      </c>
      <c r="C1048" s="3">
        <f t="shared" si="56"/>
        <v>1</v>
      </c>
      <c r="D1048" s="5">
        <v>25010833152</v>
      </c>
      <c r="E1048" s="4" t="s">
        <v>4673</v>
      </c>
      <c r="F1048" s="4" t="s">
        <v>4674</v>
      </c>
      <c r="G1048" s="4" t="s">
        <v>34</v>
      </c>
      <c r="H1048" s="4"/>
      <c r="I1048" s="4" t="s">
        <v>4675</v>
      </c>
      <c r="J1048" s="6" t="s">
        <v>4667</v>
      </c>
      <c r="K1048" s="4"/>
      <c r="L1048" s="4" t="s">
        <v>4676</v>
      </c>
      <c r="M1048" s="4"/>
      <c r="N1048" s="4"/>
      <c r="O1048" s="4"/>
      <c r="P1048" s="4" t="str">
        <f t="shared" si="57"/>
        <v>YES</v>
      </c>
    </row>
    <row r="1049" spans="1:16" ht="13" x14ac:dyDescent="0.15">
      <c r="A1049" s="4" t="s">
        <v>4663</v>
      </c>
      <c r="B1049" s="3" t="str">
        <f t="shared" si="55"/>
        <v>terence.rice@merck.com</v>
      </c>
      <c r="C1049" s="3">
        <f t="shared" si="56"/>
        <v>1</v>
      </c>
      <c r="D1049" s="5">
        <v>25021905559</v>
      </c>
      <c r="E1049" s="4" t="s">
        <v>4677</v>
      </c>
      <c r="F1049" s="4" t="s">
        <v>4200</v>
      </c>
      <c r="G1049" s="4" t="s">
        <v>34</v>
      </c>
      <c r="H1049" s="4"/>
      <c r="I1049" s="4" t="s">
        <v>4678</v>
      </c>
      <c r="J1049" s="6" t="s">
        <v>4667</v>
      </c>
      <c r="K1049" s="4"/>
      <c r="L1049" s="4" t="s">
        <v>4679</v>
      </c>
      <c r="M1049" s="4"/>
      <c r="N1049" s="4"/>
      <c r="O1049" s="4"/>
      <c r="P1049" s="4" t="str">
        <f t="shared" si="57"/>
        <v>YES</v>
      </c>
    </row>
    <row r="1050" spans="1:16" ht="13" x14ac:dyDescent="0.15">
      <c r="A1050" s="4" t="s">
        <v>4680</v>
      </c>
      <c r="B1050" s="3" t="str">
        <f t="shared" si="55"/>
        <v>Yes</v>
      </c>
      <c r="C1050" s="3">
        <f t="shared" si="56"/>
        <v>446</v>
      </c>
      <c r="D1050" s="5">
        <v>11512333136</v>
      </c>
      <c r="E1050" s="4" t="s">
        <v>492</v>
      </c>
      <c r="F1050" s="4" t="s">
        <v>4681</v>
      </c>
      <c r="G1050" s="4"/>
      <c r="H1050" s="4" t="s">
        <v>34</v>
      </c>
      <c r="I1050" s="4" t="s">
        <v>4682</v>
      </c>
      <c r="J1050" s="6" t="s">
        <v>4667</v>
      </c>
      <c r="K1050" s="4"/>
      <c r="L1050" s="4" t="s">
        <v>4683</v>
      </c>
      <c r="M1050" s="4" t="s">
        <v>38</v>
      </c>
      <c r="N1050" s="4"/>
      <c r="O1050" s="4"/>
      <c r="P1050" s="4" t="str">
        <f t="shared" si="57"/>
        <v>YES</v>
      </c>
    </row>
    <row r="1051" spans="1:16" ht="13" x14ac:dyDescent="0.15">
      <c r="A1051" s="4" t="s">
        <v>4684</v>
      </c>
      <c r="B1051" s="3" t="str">
        <f t="shared" si="55"/>
        <v>Yes</v>
      </c>
      <c r="C1051" s="3">
        <f t="shared" si="56"/>
        <v>446</v>
      </c>
      <c r="D1051" s="5">
        <v>11516590775</v>
      </c>
      <c r="E1051" s="4" t="s">
        <v>2266</v>
      </c>
      <c r="F1051" s="4" t="s">
        <v>4685</v>
      </c>
      <c r="G1051" s="4"/>
      <c r="H1051" s="4" t="s">
        <v>34</v>
      </c>
      <c r="I1051" s="4" t="s">
        <v>4686</v>
      </c>
      <c r="J1051" s="6" t="s">
        <v>4687</v>
      </c>
      <c r="K1051" s="4"/>
      <c r="L1051" s="4" t="s">
        <v>765</v>
      </c>
      <c r="M1051" s="4" t="s">
        <v>38</v>
      </c>
      <c r="N1051" s="4"/>
      <c r="O1051" s="4"/>
      <c r="P1051" s="4" t="str">
        <f t="shared" si="57"/>
        <v>YES</v>
      </c>
    </row>
    <row r="1052" spans="1:16" ht="13" x14ac:dyDescent="0.15">
      <c r="A1052" s="4" t="s">
        <v>4688</v>
      </c>
      <c r="B1052" s="3" t="str">
        <f t="shared" si="55"/>
        <v>Yes</v>
      </c>
      <c r="C1052" s="3">
        <f t="shared" si="56"/>
        <v>446</v>
      </c>
      <c r="D1052" s="5">
        <v>162</v>
      </c>
      <c r="E1052" s="4" t="s">
        <v>4689</v>
      </c>
      <c r="F1052" s="4" t="s">
        <v>790</v>
      </c>
      <c r="G1052" s="4"/>
      <c r="H1052" s="4" t="s">
        <v>34</v>
      </c>
      <c r="I1052" s="4" t="s">
        <v>4690</v>
      </c>
      <c r="J1052" s="6" t="s">
        <v>4691</v>
      </c>
      <c r="K1052" s="4"/>
      <c r="L1052" s="4" t="s">
        <v>3908</v>
      </c>
      <c r="M1052" s="4" t="s">
        <v>38</v>
      </c>
      <c r="N1052" s="4"/>
      <c r="O1052" s="4"/>
      <c r="P1052" s="4" t="str">
        <f t="shared" si="57"/>
        <v>YES</v>
      </c>
    </row>
    <row r="1053" spans="1:16" ht="13" x14ac:dyDescent="0.15">
      <c r="A1053" s="4" t="s">
        <v>4688</v>
      </c>
      <c r="B1053" s="3" t="str">
        <f t="shared" si="55"/>
        <v>Yes</v>
      </c>
      <c r="C1053" s="3">
        <f t="shared" si="56"/>
        <v>446</v>
      </c>
      <c r="D1053" s="5">
        <v>6001</v>
      </c>
      <c r="E1053" s="4" t="s">
        <v>726</v>
      </c>
      <c r="F1053" s="4" t="s">
        <v>4692</v>
      </c>
      <c r="G1053" s="4"/>
      <c r="H1053" s="4" t="s">
        <v>34</v>
      </c>
      <c r="I1053" s="4" t="s">
        <v>4693</v>
      </c>
      <c r="J1053" s="6" t="s">
        <v>4691</v>
      </c>
      <c r="K1053" s="4"/>
      <c r="L1053" s="4" t="s">
        <v>4694</v>
      </c>
      <c r="M1053" s="4" t="s">
        <v>38</v>
      </c>
      <c r="N1053" s="4"/>
      <c r="O1053" s="4"/>
      <c r="P1053" s="4" t="str">
        <f t="shared" si="57"/>
        <v>YES</v>
      </c>
    </row>
    <row r="1054" spans="1:16" ht="13" x14ac:dyDescent="0.15">
      <c r="A1054" s="4" t="s">
        <v>4695</v>
      </c>
      <c r="B1054" s="3" t="str">
        <f t="shared" si="55"/>
        <v>Yes</v>
      </c>
      <c r="C1054" s="3">
        <f t="shared" si="56"/>
        <v>446</v>
      </c>
      <c r="D1054" s="5">
        <v>11510907734</v>
      </c>
      <c r="E1054" s="4" t="s">
        <v>4696</v>
      </c>
      <c r="F1054" s="4" t="s">
        <v>4697</v>
      </c>
      <c r="G1054" s="4"/>
      <c r="H1054" s="4" t="s">
        <v>34</v>
      </c>
      <c r="I1054" s="4" t="s">
        <v>4698</v>
      </c>
      <c r="J1054" s="6" t="s">
        <v>4699</v>
      </c>
      <c r="K1054" s="4"/>
      <c r="L1054" s="4" t="s">
        <v>1614</v>
      </c>
      <c r="M1054" s="4" t="s">
        <v>38</v>
      </c>
      <c r="N1054" s="4"/>
      <c r="O1054" s="4"/>
      <c r="P1054" s="4" t="str">
        <f t="shared" si="57"/>
        <v>YES</v>
      </c>
    </row>
    <row r="1055" spans="1:16" ht="13" x14ac:dyDescent="0.15">
      <c r="A1055" s="4" t="s">
        <v>4700</v>
      </c>
      <c r="B1055" s="3" t="str">
        <f t="shared" si="55"/>
        <v>Yes</v>
      </c>
      <c r="C1055" s="3">
        <f t="shared" si="56"/>
        <v>446</v>
      </c>
      <c r="D1055" s="5">
        <v>1755</v>
      </c>
      <c r="E1055" s="4" t="s">
        <v>4701</v>
      </c>
      <c r="F1055" s="4" t="s">
        <v>3149</v>
      </c>
      <c r="G1055" s="4"/>
      <c r="H1055" s="4" t="s">
        <v>34</v>
      </c>
      <c r="I1055" s="4" t="s">
        <v>4702</v>
      </c>
      <c r="J1055" s="6" t="s">
        <v>4703</v>
      </c>
      <c r="K1055" s="4"/>
      <c r="L1055" s="4" t="s">
        <v>3380</v>
      </c>
      <c r="M1055" s="4" t="s">
        <v>38</v>
      </c>
      <c r="N1055" s="4"/>
      <c r="O1055" s="4"/>
      <c r="P1055" s="4" t="str">
        <f t="shared" si="57"/>
        <v>YES</v>
      </c>
    </row>
    <row r="1056" spans="1:16" ht="13" x14ac:dyDescent="0.15">
      <c r="A1056" s="4" t="s">
        <v>4704</v>
      </c>
      <c r="B1056" s="3" t="str">
        <f t="shared" si="55"/>
        <v>Yes</v>
      </c>
      <c r="C1056" s="3">
        <f t="shared" si="56"/>
        <v>446</v>
      </c>
      <c r="D1056" s="5">
        <v>11511367833</v>
      </c>
      <c r="E1056" s="4" t="s">
        <v>75</v>
      </c>
      <c r="F1056" s="4" t="s">
        <v>4705</v>
      </c>
      <c r="G1056" s="4"/>
      <c r="H1056" s="4" t="s">
        <v>34</v>
      </c>
      <c r="I1056" s="4" t="s">
        <v>4706</v>
      </c>
      <c r="J1056" s="6" t="s">
        <v>4707</v>
      </c>
      <c r="K1056" s="4"/>
      <c r="L1056" s="4" t="s">
        <v>4708</v>
      </c>
      <c r="M1056" s="4" t="s">
        <v>38</v>
      </c>
      <c r="N1056" s="4"/>
      <c r="O1056" s="4"/>
      <c r="P1056" s="4" t="str">
        <f t="shared" si="57"/>
        <v>YES</v>
      </c>
    </row>
    <row r="1057" spans="1:16" ht="13" x14ac:dyDescent="0.15">
      <c r="A1057" s="4" t="s">
        <v>4704</v>
      </c>
      <c r="B1057" s="3" t="str">
        <f t="shared" si="55"/>
        <v>Yes</v>
      </c>
      <c r="C1057" s="3">
        <f t="shared" si="56"/>
        <v>446</v>
      </c>
      <c r="D1057" s="5">
        <v>552</v>
      </c>
      <c r="E1057" s="4" t="s">
        <v>4709</v>
      </c>
      <c r="F1057" s="4" t="s">
        <v>441</v>
      </c>
      <c r="G1057" s="4"/>
      <c r="H1057" s="4" t="s">
        <v>34</v>
      </c>
      <c r="I1057" s="4" t="s">
        <v>4710</v>
      </c>
      <c r="J1057" s="6" t="s">
        <v>4707</v>
      </c>
      <c r="K1057" s="4"/>
      <c r="L1057" s="4" t="s">
        <v>4711</v>
      </c>
      <c r="M1057" s="4" t="s">
        <v>38</v>
      </c>
      <c r="N1057" s="4"/>
      <c r="O1057" s="4"/>
      <c r="P1057" s="4" t="str">
        <f t="shared" si="57"/>
        <v>YES</v>
      </c>
    </row>
    <row r="1058" spans="1:16" ht="13" x14ac:dyDescent="0.15">
      <c r="A1058" s="4" t="s">
        <v>4712</v>
      </c>
      <c r="B1058" s="3" t="str">
        <f t="shared" si="55"/>
        <v>Yes</v>
      </c>
      <c r="C1058" s="3">
        <f t="shared" si="56"/>
        <v>446</v>
      </c>
      <c r="D1058" s="5">
        <v>11512789672</v>
      </c>
      <c r="E1058" s="4" t="s">
        <v>4713</v>
      </c>
      <c r="F1058" s="4" t="s">
        <v>4714</v>
      </c>
      <c r="G1058" s="4"/>
      <c r="H1058" s="4" t="s">
        <v>34</v>
      </c>
      <c r="I1058" s="4" t="s">
        <v>4715</v>
      </c>
      <c r="J1058" s="6" t="s">
        <v>4716</v>
      </c>
      <c r="K1058" s="4"/>
      <c r="L1058" s="4" t="s">
        <v>657</v>
      </c>
      <c r="M1058" s="4" t="s">
        <v>38</v>
      </c>
      <c r="N1058" s="4"/>
      <c r="O1058" s="4"/>
      <c r="P1058" s="4" t="str">
        <f t="shared" si="57"/>
        <v>YES</v>
      </c>
    </row>
    <row r="1059" spans="1:16" ht="13" x14ac:dyDescent="0.15">
      <c r="A1059" s="4" t="s">
        <v>4717</v>
      </c>
      <c r="B1059" s="3" t="str">
        <f t="shared" si="55"/>
        <v>Yes</v>
      </c>
      <c r="C1059" s="3">
        <f t="shared" si="56"/>
        <v>446</v>
      </c>
      <c r="D1059" s="5">
        <v>11512789678</v>
      </c>
      <c r="E1059" s="4" t="s">
        <v>4718</v>
      </c>
      <c r="F1059" s="4" t="s">
        <v>4719</v>
      </c>
      <c r="G1059" s="4"/>
      <c r="H1059" s="4" t="s">
        <v>34</v>
      </c>
      <c r="I1059" s="4" t="s">
        <v>4720</v>
      </c>
      <c r="J1059" s="6" t="s">
        <v>4721</v>
      </c>
      <c r="K1059" s="4"/>
      <c r="L1059" s="4" t="s">
        <v>765</v>
      </c>
      <c r="M1059" s="4" t="s">
        <v>38</v>
      </c>
      <c r="N1059" s="4"/>
      <c r="O1059" s="4"/>
      <c r="P1059" s="4" t="str">
        <f t="shared" si="57"/>
        <v>YES</v>
      </c>
    </row>
    <row r="1060" spans="1:16" ht="13" x14ac:dyDescent="0.15">
      <c r="A1060" s="4" t="s">
        <v>4717</v>
      </c>
      <c r="B1060" s="3" t="str">
        <f t="shared" si="55"/>
        <v>Yes</v>
      </c>
      <c r="C1060" s="3">
        <f t="shared" si="56"/>
        <v>446</v>
      </c>
      <c r="D1060" s="5">
        <v>11513567156</v>
      </c>
      <c r="E1060" s="4" t="s">
        <v>4722</v>
      </c>
      <c r="F1060" s="4" t="s">
        <v>4723</v>
      </c>
      <c r="G1060" s="4"/>
      <c r="H1060" s="4" t="s">
        <v>34</v>
      </c>
      <c r="I1060" s="4" t="s">
        <v>4724</v>
      </c>
      <c r="J1060" s="6" t="s">
        <v>4721</v>
      </c>
      <c r="K1060" s="4"/>
      <c r="L1060" s="4" t="s">
        <v>4725</v>
      </c>
      <c r="M1060" s="4" t="s">
        <v>38</v>
      </c>
      <c r="N1060" s="4"/>
      <c r="O1060" s="4"/>
      <c r="P1060" s="4" t="str">
        <f t="shared" si="57"/>
        <v>YES</v>
      </c>
    </row>
    <row r="1061" spans="1:16" ht="13" x14ac:dyDescent="0.15">
      <c r="A1061" s="4" t="s">
        <v>4717</v>
      </c>
      <c r="B1061" s="3" t="str">
        <f t="shared" si="55"/>
        <v>Yes</v>
      </c>
      <c r="C1061" s="3">
        <f t="shared" si="56"/>
        <v>446</v>
      </c>
      <c r="D1061" s="5">
        <v>11512927901</v>
      </c>
      <c r="E1061" s="4" t="s">
        <v>4726</v>
      </c>
      <c r="F1061" s="4" t="s">
        <v>4727</v>
      </c>
      <c r="G1061" s="4"/>
      <c r="H1061" s="4" t="s">
        <v>34</v>
      </c>
      <c r="I1061" s="4" t="s">
        <v>4728</v>
      </c>
      <c r="J1061" s="6" t="s">
        <v>4721</v>
      </c>
      <c r="K1061" s="4"/>
      <c r="L1061" s="4" t="s">
        <v>4729</v>
      </c>
      <c r="M1061" s="4" t="s">
        <v>38</v>
      </c>
      <c r="N1061" s="4"/>
      <c r="O1061" s="4"/>
      <c r="P1061" s="4" t="str">
        <f t="shared" si="57"/>
        <v>YES</v>
      </c>
    </row>
    <row r="1062" spans="1:16" ht="13" x14ac:dyDescent="0.15">
      <c r="A1062" s="4" t="s">
        <v>4717</v>
      </c>
      <c r="B1062" s="3" t="str">
        <f t="shared" si="55"/>
        <v>Yes</v>
      </c>
      <c r="C1062" s="3">
        <f t="shared" si="56"/>
        <v>446</v>
      </c>
      <c r="D1062" s="5">
        <v>11511464051</v>
      </c>
      <c r="E1062" s="4" t="s">
        <v>1384</v>
      </c>
      <c r="F1062" s="4" t="s">
        <v>4730</v>
      </c>
      <c r="G1062" s="4"/>
      <c r="H1062" s="4" t="s">
        <v>34</v>
      </c>
      <c r="I1062" s="4" t="s">
        <v>4731</v>
      </c>
      <c r="J1062" s="6" t="s">
        <v>4721</v>
      </c>
      <c r="K1062" s="4"/>
      <c r="L1062" s="4" t="s">
        <v>4732</v>
      </c>
      <c r="M1062" s="4" t="s">
        <v>38</v>
      </c>
      <c r="N1062" s="4"/>
      <c r="O1062" s="4"/>
      <c r="P1062" s="4" t="str">
        <f t="shared" si="57"/>
        <v>YES</v>
      </c>
    </row>
    <row r="1063" spans="1:16" ht="13" x14ac:dyDescent="0.15">
      <c r="A1063" s="4" t="s">
        <v>4733</v>
      </c>
      <c r="B1063" s="3" t="str">
        <f t="shared" si="55"/>
        <v>Yes</v>
      </c>
      <c r="C1063" s="3">
        <f t="shared" si="56"/>
        <v>446</v>
      </c>
      <c r="D1063" s="5">
        <v>11512333140</v>
      </c>
      <c r="E1063" s="4" t="s">
        <v>4734</v>
      </c>
      <c r="F1063" s="4" t="s">
        <v>4735</v>
      </c>
      <c r="G1063" s="4"/>
      <c r="H1063" s="4" t="s">
        <v>34</v>
      </c>
      <c r="I1063" s="4" t="s">
        <v>4736</v>
      </c>
      <c r="J1063" s="6" t="s">
        <v>4737</v>
      </c>
      <c r="K1063" s="4"/>
      <c r="L1063" s="4" t="s">
        <v>3908</v>
      </c>
      <c r="M1063" s="4" t="s">
        <v>38</v>
      </c>
      <c r="N1063" s="4"/>
      <c r="O1063" s="4"/>
      <c r="P1063" s="4" t="str">
        <f t="shared" si="57"/>
        <v>YES</v>
      </c>
    </row>
    <row r="1064" spans="1:16" ht="13" x14ac:dyDescent="0.15">
      <c r="A1064" s="4" t="s">
        <v>4738</v>
      </c>
      <c r="B1064" s="3" t="str">
        <f t="shared" si="55"/>
        <v>Yes</v>
      </c>
      <c r="C1064" s="3">
        <f t="shared" si="56"/>
        <v>446</v>
      </c>
      <c r="D1064" s="5">
        <v>11512908928</v>
      </c>
      <c r="E1064" s="4" t="s">
        <v>139</v>
      </c>
      <c r="F1064" s="4" t="s">
        <v>4739</v>
      </c>
      <c r="G1064" s="4"/>
      <c r="H1064" s="4" t="s">
        <v>34</v>
      </c>
      <c r="I1064" s="4" t="s">
        <v>4740</v>
      </c>
      <c r="J1064" s="6" t="s">
        <v>4741</v>
      </c>
      <c r="K1064" s="4"/>
      <c r="L1064" s="4" t="s">
        <v>4742</v>
      </c>
      <c r="M1064" s="4" t="s">
        <v>38</v>
      </c>
      <c r="N1064" s="4"/>
      <c r="O1064" s="4"/>
      <c r="P1064" s="4" t="str">
        <f t="shared" si="57"/>
        <v>YES</v>
      </c>
    </row>
    <row r="1065" spans="1:16" ht="13" x14ac:dyDescent="0.15">
      <c r="A1065" s="4" t="s">
        <v>4743</v>
      </c>
      <c r="B1065" s="3" t="str">
        <f t="shared" si="55"/>
        <v>joi.lee@moffitt.org</v>
      </c>
      <c r="C1065" s="3">
        <f t="shared" si="56"/>
        <v>1</v>
      </c>
      <c r="D1065" s="5">
        <v>25006710969</v>
      </c>
      <c r="E1065" s="4" t="s">
        <v>4744</v>
      </c>
      <c r="F1065" s="4" t="s">
        <v>774</v>
      </c>
      <c r="G1065" s="4" t="s">
        <v>34</v>
      </c>
      <c r="H1065" s="4"/>
      <c r="I1065" s="4" t="s">
        <v>4745</v>
      </c>
      <c r="J1065" s="6" t="s">
        <v>4746</v>
      </c>
      <c r="K1065" s="4"/>
      <c r="L1065" s="4" t="s">
        <v>4747</v>
      </c>
      <c r="M1065" s="4"/>
      <c r="N1065" s="4"/>
      <c r="O1065" s="4"/>
      <c r="P1065" s="4" t="str">
        <f t="shared" si="57"/>
        <v>YES</v>
      </c>
    </row>
    <row r="1066" spans="1:16" ht="13" x14ac:dyDescent="0.15">
      <c r="A1066" s="4" t="s">
        <v>4748</v>
      </c>
      <c r="B1066" s="3" t="str">
        <f t="shared" si="55"/>
        <v>stacy.summers@molinahealthcare.com</v>
      </c>
      <c r="C1066" s="3">
        <f t="shared" si="56"/>
        <v>2</v>
      </c>
      <c r="D1066" s="5">
        <v>25009542551</v>
      </c>
      <c r="E1066" s="4" t="s">
        <v>3410</v>
      </c>
      <c r="F1066" s="4" t="s">
        <v>4749</v>
      </c>
      <c r="G1066" s="4" t="s">
        <v>34</v>
      </c>
      <c r="H1066" s="4"/>
      <c r="I1066" s="4" t="s">
        <v>4750</v>
      </c>
      <c r="J1066" s="6" t="s">
        <v>4751</v>
      </c>
      <c r="K1066" s="4"/>
      <c r="L1066" s="4" t="s">
        <v>4752</v>
      </c>
      <c r="M1066" s="4"/>
      <c r="N1066" s="4"/>
      <c r="O1066" s="4"/>
      <c r="P1066" s="4" t="str">
        <f t="shared" si="57"/>
        <v>YES</v>
      </c>
    </row>
    <row r="1067" spans="1:16" ht="13" x14ac:dyDescent="0.15">
      <c r="A1067" s="4" t="s">
        <v>4748</v>
      </c>
      <c r="B1067" s="3" t="str">
        <f t="shared" si="55"/>
        <v>munaf.razzak@molinahealthcare.com</v>
      </c>
      <c r="C1067" s="3">
        <f t="shared" si="56"/>
        <v>2</v>
      </c>
      <c r="D1067" s="5">
        <v>23758319766</v>
      </c>
      <c r="E1067" s="4" t="s">
        <v>4753</v>
      </c>
      <c r="F1067" s="4" t="s">
        <v>4754</v>
      </c>
      <c r="G1067" s="4" t="s">
        <v>34</v>
      </c>
      <c r="H1067" s="4"/>
      <c r="I1067" s="4" t="s">
        <v>4755</v>
      </c>
      <c r="J1067" s="6" t="s">
        <v>4751</v>
      </c>
      <c r="K1067" s="4"/>
      <c r="L1067" s="4" t="s">
        <v>4756</v>
      </c>
      <c r="M1067" s="4" t="s">
        <v>30</v>
      </c>
      <c r="N1067" s="4"/>
      <c r="O1067" s="4"/>
      <c r="P1067" s="4" t="str">
        <f t="shared" si="57"/>
        <v>YES</v>
      </c>
    </row>
    <row r="1068" spans="1:16" ht="15" x14ac:dyDescent="0.2">
      <c r="A1068" s="2" t="s">
        <v>4748</v>
      </c>
      <c r="B1068" s="3" t="str">
        <f t="shared" si="55"/>
        <v>darrell.wright@molinahealthcare.com</v>
      </c>
      <c r="C1068" s="3">
        <f t="shared" si="56"/>
        <v>1</v>
      </c>
      <c r="D1068" s="2" t="s">
        <v>4757</v>
      </c>
      <c r="E1068" s="2" t="s">
        <v>4758</v>
      </c>
      <c r="F1068" s="2" t="s">
        <v>4759</v>
      </c>
      <c r="I1068" s="2" t="s">
        <v>4760</v>
      </c>
      <c r="L1068" s="2" t="s">
        <v>4761</v>
      </c>
      <c r="M1068" s="2" t="s">
        <v>45</v>
      </c>
    </row>
    <row r="1069" spans="1:16" ht="15" x14ac:dyDescent="0.2">
      <c r="A1069" s="2" t="s">
        <v>4748</v>
      </c>
      <c r="B1069" s="3" t="str">
        <f t="shared" si="55"/>
        <v>gerardo.iglesias@molinahealthcare.com</v>
      </c>
      <c r="C1069" s="3">
        <f t="shared" si="56"/>
        <v>1</v>
      </c>
      <c r="D1069" s="2" t="s">
        <v>4762</v>
      </c>
      <c r="E1069" s="2" t="s">
        <v>4763</v>
      </c>
      <c r="F1069" s="2" t="s">
        <v>4764</v>
      </c>
      <c r="I1069" s="2" t="s">
        <v>4765</v>
      </c>
      <c r="L1069" s="2" t="s">
        <v>4766</v>
      </c>
      <c r="M1069" s="2" t="s">
        <v>45</v>
      </c>
    </row>
    <row r="1070" spans="1:16" ht="15" x14ac:dyDescent="0.2">
      <c r="A1070" s="2" t="s">
        <v>4748</v>
      </c>
      <c r="B1070" s="3" t="str">
        <f t="shared" si="55"/>
        <v>john.jeffress@molinahealthcare.com</v>
      </c>
      <c r="C1070" s="3">
        <f t="shared" si="56"/>
        <v>1</v>
      </c>
      <c r="D1070" s="2" t="s">
        <v>4767</v>
      </c>
      <c r="E1070" s="2" t="s">
        <v>187</v>
      </c>
      <c r="F1070" s="2" t="s">
        <v>4768</v>
      </c>
      <c r="I1070" s="2" t="s">
        <v>4769</v>
      </c>
      <c r="L1070" s="2" t="s">
        <v>4770</v>
      </c>
      <c r="M1070" s="2" t="s">
        <v>45</v>
      </c>
    </row>
    <row r="1071" spans="1:16" ht="15" x14ac:dyDescent="0.2">
      <c r="A1071" s="2" t="s">
        <v>4748</v>
      </c>
      <c r="B1071" s="3" t="str">
        <f t="shared" si="55"/>
        <v>nusrat.islam@molinahealthcare.com</v>
      </c>
      <c r="C1071" s="3">
        <f t="shared" si="56"/>
        <v>1</v>
      </c>
      <c r="D1071" s="2" t="s">
        <v>4771</v>
      </c>
      <c r="E1071" s="2" t="s">
        <v>4772</v>
      </c>
      <c r="F1071" s="2" t="s">
        <v>1784</v>
      </c>
      <c r="I1071" s="2" t="s">
        <v>4773</v>
      </c>
      <c r="L1071" s="2" t="s">
        <v>4774</v>
      </c>
      <c r="M1071" s="2" t="s">
        <v>45</v>
      </c>
    </row>
    <row r="1072" spans="1:16" ht="15" x14ac:dyDescent="0.2">
      <c r="A1072" s="2" t="s">
        <v>4748</v>
      </c>
      <c r="B1072" s="3" t="str">
        <f t="shared" si="55"/>
        <v>adam.grubb@molinahealthcare.com</v>
      </c>
      <c r="C1072" s="3">
        <f t="shared" si="56"/>
        <v>1</v>
      </c>
      <c r="D1072" s="2" t="s">
        <v>4775</v>
      </c>
      <c r="E1072" s="2" t="s">
        <v>114</v>
      </c>
      <c r="F1072" s="2" t="s">
        <v>4776</v>
      </c>
      <c r="I1072" s="2" t="s">
        <v>4777</v>
      </c>
      <c r="L1072" s="2" t="s">
        <v>4778</v>
      </c>
      <c r="M1072" s="2" t="s">
        <v>45</v>
      </c>
    </row>
    <row r="1073" spans="1:13" ht="15" x14ac:dyDescent="0.2">
      <c r="A1073" s="2" t="s">
        <v>4748</v>
      </c>
      <c r="B1073" s="3" t="str">
        <f t="shared" si="55"/>
        <v>mauricio.funes@molinahealthcare.com</v>
      </c>
      <c r="C1073" s="3">
        <f t="shared" si="56"/>
        <v>1</v>
      </c>
      <c r="D1073" s="2" t="s">
        <v>4779</v>
      </c>
      <c r="E1073" s="2" t="s">
        <v>4780</v>
      </c>
      <c r="F1073" s="2" t="s">
        <v>4781</v>
      </c>
      <c r="I1073" s="2" t="s">
        <v>4782</v>
      </c>
      <c r="L1073" s="2" t="s">
        <v>4783</v>
      </c>
      <c r="M1073" s="2" t="s">
        <v>45</v>
      </c>
    </row>
    <row r="1074" spans="1:13" ht="15" x14ac:dyDescent="0.2">
      <c r="A1074" s="2" t="s">
        <v>4748</v>
      </c>
      <c r="B1074" s="3" t="str">
        <f t="shared" si="55"/>
        <v>carlos.saenz@molinahealthcare.com</v>
      </c>
      <c r="C1074" s="3">
        <f t="shared" si="56"/>
        <v>1</v>
      </c>
      <c r="D1074" s="2" t="s">
        <v>4784</v>
      </c>
      <c r="E1074" s="2" t="s">
        <v>4785</v>
      </c>
      <c r="F1074" s="2" t="s">
        <v>4786</v>
      </c>
      <c r="I1074" s="2" t="s">
        <v>4787</v>
      </c>
      <c r="L1074" s="2" t="s">
        <v>4788</v>
      </c>
      <c r="M1074" s="2" t="s">
        <v>45</v>
      </c>
    </row>
    <row r="1075" spans="1:13" ht="15" x14ac:dyDescent="0.2">
      <c r="A1075" s="2" t="s">
        <v>4748</v>
      </c>
      <c r="B1075" s="3" t="str">
        <f t="shared" si="55"/>
        <v>pavan.b@molinahealthcare.com</v>
      </c>
      <c r="C1075" s="3">
        <f t="shared" si="56"/>
        <v>1</v>
      </c>
      <c r="D1075" s="2" t="s">
        <v>4789</v>
      </c>
      <c r="E1075" s="2" t="s">
        <v>4790</v>
      </c>
      <c r="F1075" s="2" t="s">
        <v>4500</v>
      </c>
      <c r="I1075" s="2" t="s">
        <v>4791</v>
      </c>
      <c r="L1075" s="2" t="s">
        <v>4792</v>
      </c>
      <c r="M1075" s="2" t="s">
        <v>45</v>
      </c>
    </row>
    <row r="1076" spans="1:13" ht="15" x14ac:dyDescent="0.2">
      <c r="A1076" s="2" t="s">
        <v>4748</v>
      </c>
      <c r="B1076" s="3" t="str">
        <f t="shared" si="55"/>
        <v>daniel.cummings@molinahealthcare.com</v>
      </c>
      <c r="C1076" s="3">
        <f t="shared" si="56"/>
        <v>1</v>
      </c>
      <c r="D1076" s="2" t="s">
        <v>4793</v>
      </c>
      <c r="E1076" s="2" t="s">
        <v>1465</v>
      </c>
      <c r="F1076" s="2" t="s">
        <v>4794</v>
      </c>
      <c r="I1076" s="2" t="s">
        <v>4795</v>
      </c>
      <c r="L1076" s="2" t="s">
        <v>4796</v>
      </c>
      <c r="M1076" s="2" t="s">
        <v>45</v>
      </c>
    </row>
    <row r="1077" spans="1:13" ht="15" x14ac:dyDescent="0.2">
      <c r="A1077" s="2" t="s">
        <v>4748</v>
      </c>
      <c r="B1077" s="3" t="str">
        <f t="shared" si="55"/>
        <v>anurag.shaurya@molinahealthcare.com</v>
      </c>
      <c r="C1077" s="3">
        <f t="shared" si="56"/>
        <v>1</v>
      </c>
      <c r="D1077" s="2" t="s">
        <v>4797</v>
      </c>
      <c r="E1077" s="2" t="s">
        <v>4798</v>
      </c>
      <c r="F1077" s="2" t="s">
        <v>4799</v>
      </c>
      <c r="I1077" s="2" t="s">
        <v>4800</v>
      </c>
      <c r="L1077" s="2" t="s">
        <v>4801</v>
      </c>
      <c r="M1077" s="2" t="s">
        <v>45</v>
      </c>
    </row>
    <row r="1078" spans="1:13" ht="15" x14ac:dyDescent="0.2">
      <c r="A1078" s="2" t="s">
        <v>4748</v>
      </c>
      <c r="B1078" s="3" t="str">
        <f t="shared" si="55"/>
        <v>kunj.shah@molinahealthcare.com</v>
      </c>
      <c r="C1078" s="3">
        <f t="shared" si="56"/>
        <v>1</v>
      </c>
      <c r="D1078" s="2" t="s">
        <v>4802</v>
      </c>
      <c r="E1078" s="2" t="s">
        <v>4803</v>
      </c>
      <c r="F1078" s="2" t="s">
        <v>4804</v>
      </c>
      <c r="I1078" s="2" t="s">
        <v>4805</v>
      </c>
      <c r="L1078" s="2" t="s">
        <v>4806</v>
      </c>
      <c r="M1078" s="2" t="s">
        <v>45</v>
      </c>
    </row>
    <row r="1079" spans="1:13" ht="15" x14ac:dyDescent="0.2">
      <c r="A1079" s="2" t="s">
        <v>4748</v>
      </c>
      <c r="B1079" s="3" t="str">
        <f t="shared" si="55"/>
        <v>danny.sola@molinahealthcare.com</v>
      </c>
      <c r="C1079" s="3">
        <f t="shared" si="56"/>
        <v>1</v>
      </c>
      <c r="D1079" s="2" t="s">
        <v>4807</v>
      </c>
      <c r="E1079" s="2" t="s">
        <v>2636</v>
      </c>
      <c r="F1079" s="2" t="s">
        <v>4808</v>
      </c>
      <c r="I1079" s="2" t="s">
        <v>4809</v>
      </c>
      <c r="L1079" s="2" t="s">
        <v>4810</v>
      </c>
      <c r="M1079" s="2" t="s">
        <v>22</v>
      </c>
    </row>
    <row r="1080" spans="1:13" ht="15" x14ac:dyDescent="0.2">
      <c r="A1080" s="2" t="s">
        <v>4748</v>
      </c>
      <c r="B1080" s="3" t="str">
        <f t="shared" si="55"/>
        <v>mohammed.hussain@molinahealthcare.com</v>
      </c>
      <c r="C1080" s="3">
        <f t="shared" si="56"/>
        <v>1</v>
      </c>
      <c r="D1080" s="2" t="s">
        <v>4811</v>
      </c>
      <c r="E1080" s="2" t="s">
        <v>130</v>
      </c>
      <c r="F1080" s="2" t="s">
        <v>3777</v>
      </c>
      <c r="I1080" s="2" t="s">
        <v>4812</v>
      </c>
      <c r="L1080" s="2" t="s">
        <v>132</v>
      </c>
      <c r="M1080" s="2" t="s">
        <v>45</v>
      </c>
    </row>
    <row r="1081" spans="1:13" ht="15" x14ac:dyDescent="0.2">
      <c r="A1081" s="2" t="s">
        <v>4748</v>
      </c>
      <c r="B1081" s="3" t="str">
        <f t="shared" si="55"/>
        <v>irfan.shaik@molinahealthcare.com</v>
      </c>
      <c r="C1081" s="3">
        <f t="shared" si="56"/>
        <v>1</v>
      </c>
      <c r="D1081" s="2" t="s">
        <v>4813</v>
      </c>
      <c r="E1081" s="2" t="s">
        <v>4814</v>
      </c>
      <c r="F1081" s="2" t="s">
        <v>4815</v>
      </c>
      <c r="I1081" s="2" t="s">
        <v>4816</v>
      </c>
      <c r="L1081" s="2" t="s">
        <v>132</v>
      </c>
      <c r="M1081" s="2" t="s">
        <v>22</v>
      </c>
    </row>
    <row r="1082" spans="1:13" ht="15" x14ac:dyDescent="0.2">
      <c r="A1082" s="2" t="s">
        <v>4748</v>
      </c>
      <c r="B1082" s="3" t="str">
        <f t="shared" si="55"/>
        <v>gregory.soles@molinahealthcare.com</v>
      </c>
      <c r="C1082" s="3">
        <f t="shared" si="56"/>
        <v>1</v>
      </c>
      <c r="D1082" s="2" t="s">
        <v>4817</v>
      </c>
      <c r="E1082" s="2" t="s">
        <v>940</v>
      </c>
      <c r="F1082" s="2" t="s">
        <v>4818</v>
      </c>
      <c r="I1082" s="2" t="s">
        <v>4819</v>
      </c>
      <c r="L1082" s="2" t="s">
        <v>4820</v>
      </c>
      <c r="M1082" s="2" t="s">
        <v>22</v>
      </c>
    </row>
    <row r="1083" spans="1:13" ht="15" x14ac:dyDescent="0.2">
      <c r="A1083" s="2" t="s">
        <v>4748</v>
      </c>
      <c r="B1083" s="3" t="str">
        <f t="shared" si="55"/>
        <v>manisha.adhikari@molinahealthcare.com</v>
      </c>
      <c r="C1083" s="3">
        <f t="shared" si="56"/>
        <v>1</v>
      </c>
      <c r="D1083" s="2" t="s">
        <v>4821</v>
      </c>
      <c r="E1083" s="2" t="s">
        <v>4822</v>
      </c>
      <c r="F1083" s="2" t="s">
        <v>4823</v>
      </c>
      <c r="I1083" s="2" t="s">
        <v>4824</v>
      </c>
      <c r="L1083" s="2" t="s">
        <v>4825</v>
      </c>
      <c r="M1083" s="2" t="s">
        <v>45</v>
      </c>
    </row>
    <row r="1084" spans="1:13" ht="15" x14ac:dyDescent="0.2">
      <c r="A1084" s="2" t="s">
        <v>4748</v>
      </c>
      <c r="B1084" s="3" t="str">
        <f t="shared" si="55"/>
        <v>bryant.jenkins@molinahealthcare.com</v>
      </c>
      <c r="C1084" s="3">
        <f t="shared" si="56"/>
        <v>1</v>
      </c>
      <c r="D1084" s="2" t="s">
        <v>4826</v>
      </c>
      <c r="E1084" s="2" t="s">
        <v>4161</v>
      </c>
      <c r="F1084" s="2" t="s">
        <v>4827</v>
      </c>
      <c r="I1084" s="2" t="s">
        <v>4828</v>
      </c>
      <c r="L1084" s="2" t="s">
        <v>4829</v>
      </c>
      <c r="M1084" s="2" t="s">
        <v>45</v>
      </c>
    </row>
    <row r="1085" spans="1:13" ht="15" x14ac:dyDescent="0.2">
      <c r="A1085" s="2" t="s">
        <v>4748</v>
      </c>
      <c r="B1085" s="3" t="str">
        <f t="shared" si="55"/>
        <v>jerry.sanchez@molinahealthcare.com</v>
      </c>
      <c r="C1085" s="3">
        <f t="shared" si="56"/>
        <v>1</v>
      </c>
      <c r="D1085" s="2" t="s">
        <v>4830</v>
      </c>
      <c r="E1085" s="2" t="s">
        <v>94</v>
      </c>
      <c r="F1085" s="2" t="s">
        <v>1772</v>
      </c>
      <c r="I1085" s="2" t="s">
        <v>4831</v>
      </c>
      <c r="L1085" s="2" t="s">
        <v>4832</v>
      </c>
      <c r="M1085" s="2" t="s">
        <v>45</v>
      </c>
    </row>
    <row r="1086" spans="1:13" ht="15" x14ac:dyDescent="0.2">
      <c r="A1086" s="2" t="s">
        <v>4748</v>
      </c>
      <c r="B1086" s="3" t="str">
        <f t="shared" si="55"/>
        <v>johnny.nix@molinahealthcare.com</v>
      </c>
      <c r="C1086" s="3">
        <f t="shared" si="56"/>
        <v>1</v>
      </c>
      <c r="D1086" s="2" t="s">
        <v>4833</v>
      </c>
      <c r="E1086" s="2" t="s">
        <v>1340</v>
      </c>
      <c r="F1086" s="2" t="s">
        <v>4834</v>
      </c>
      <c r="I1086" s="2" t="s">
        <v>4835</v>
      </c>
      <c r="L1086" s="2" t="s">
        <v>4836</v>
      </c>
      <c r="M1086" s="2" t="s">
        <v>45</v>
      </c>
    </row>
    <row r="1087" spans="1:13" ht="15" x14ac:dyDescent="0.2">
      <c r="A1087" s="2" t="s">
        <v>4748</v>
      </c>
      <c r="B1087" s="3" t="str">
        <f t="shared" si="55"/>
        <v>stacy.summers@molinahealthcare.com</v>
      </c>
      <c r="C1087" s="3">
        <f t="shared" si="56"/>
        <v>2</v>
      </c>
      <c r="D1087" s="2" t="s">
        <v>4837</v>
      </c>
      <c r="E1087" s="2" t="s">
        <v>3410</v>
      </c>
      <c r="F1087" s="2" t="s">
        <v>4749</v>
      </c>
      <c r="I1087" s="2" t="s">
        <v>4750</v>
      </c>
      <c r="L1087" s="2" t="s">
        <v>4838</v>
      </c>
      <c r="M1087" s="2" t="s">
        <v>45</v>
      </c>
    </row>
    <row r="1088" spans="1:13" ht="15" x14ac:dyDescent="0.2">
      <c r="A1088" s="2" t="s">
        <v>4748</v>
      </c>
      <c r="B1088" s="3" t="str">
        <f t="shared" si="55"/>
        <v>munaf.razzak@molinahealthcare.com</v>
      </c>
      <c r="C1088" s="3">
        <f t="shared" si="56"/>
        <v>2</v>
      </c>
      <c r="D1088" s="2" t="s">
        <v>4839</v>
      </c>
      <c r="E1088" s="2" t="s">
        <v>4753</v>
      </c>
      <c r="F1088" s="2" t="s">
        <v>4754</v>
      </c>
      <c r="I1088" s="2" t="s">
        <v>4755</v>
      </c>
      <c r="L1088" s="2" t="s">
        <v>4756</v>
      </c>
      <c r="M1088" s="2" t="s">
        <v>45</v>
      </c>
    </row>
    <row r="1089" spans="1:16" ht="13" x14ac:dyDescent="0.15">
      <c r="A1089" s="4" t="s">
        <v>4840</v>
      </c>
      <c r="B1089" s="3" t="str">
        <f t="shared" si="55"/>
        <v>Yes</v>
      </c>
      <c r="C1089" s="3">
        <f t="shared" si="56"/>
        <v>446</v>
      </c>
      <c r="D1089" s="5">
        <v>11512947635</v>
      </c>
      <c r="E1089" s="4" t="s">
        <v>470</v>
      </c>
      <c r="F1089" s="4" t="s">
        <v>2586</v>
      </c>
      <c r="G1089" s="4"/>
      <c r="H1089" s="4" t="s">
        <v>34</v>
      </c>
      <c r="I1089" s="4" t="s">
        <v>4841</v>
      </c>
      <c r="J1089" s="6" t="s">
        <v>4842</v>
      </c>
      <c r="K1089" s="4"/>
      <c r="L1089" s="4" t="s">
        <v>4843</v>
      </c>
      <c r="M1089" s="4" t="s">
        <v>38</v>
      </c>
      <c r="N1089" s="4"/>
      <c r="O1089" s="4"/>
      <c r="P1089" s="4" t="str">
        <f t="shared" ref="P1089:P1094" si="58">IF(OR(M1089="Customer", M1089="Opportunity", H1089="Yes", H1089=TRUE, G1089="Yes", G1089=TRUE, O1089&gt;0), "YES", "NO")</f>
        <v>YES</v>
      </c>
    </row>
    <row r="1090" spans="1:16" ht="13" x14ac:dyDescent="0.15">
      <c r="A1090" s="4" t="s">
        <v>4844</v>
      </c>
      <c r="B1090" s="3" t="str">
        <f t="shared" ref="B1090:B1153" si="59">IF(H1090&lt;&gt;"",H1090,I1090)</f>
        <v>Yes</v>
      </c>
      <c r="C1090" s="3">
        <f t="shared" ref="C1090:C1153" si="60">COUNTIF($B$2:$B$1586,B1090)</f>
        <v>446</v>
      </c>
      <c r="D1090" s="5">
        <v>457</v>
      </c>
      <c r="E1090" s="4" t="s">
        <v>4845</v>
      </c>
      <c r="F1090" s="4" t="s">
        <v>4846</v>
      </c>
      <c r="G1090" s="4"/>
      <c r="H1090" s="4" t="s">
        <v>34</v>
      </c>
      <c r="I1090" s="4" t="s">
        <v>4847</v>
      </c>
      <c r="J1090" s="6" t="s">
        <v>4848</v>
      </c>
      <c r="K1090" s="4"/>
      <c r="L1090" s="4" t="s">
        <v>4849</v>
      </c>
      <c r="M1090" s="4" t="s">
        <v>38</v>
      </c>
      <c r="N1090" s="4"/>
      <c r="O1090" s="4"/>
      <c r="P1090" s="4" t="str">
        <f t="shared" si="58"/>
        <v>YES</v>
      </c>
    </row>
    <row r="1091" spans="1:16" ht="13" x14ac:dyDescent="0.15">
      <c r="A1091" s="4" t="s">
        <v>4850</v>
      </c>
      <c r="B1091" s="3" t="str">
        <f t="shared" si="59"/>
        <v>Yes</v>
      </c>
      <c r="C1091" s="3">
        <f t="shared" si="60"/>
        <v>446</v>
      </c>
      <c r="D1091" s="5">
        <v>11513897634</v>
      </c>
      <c r="E1091" s="4" t="s">
        <v>4851</v>
      </c>
      <c r="F1091" s="4" t="s">
        <v>4852</v>
      </c>
      <c r="G1091" s="4"/>
      <c r="H1091" s="4" t="s">
        <v>34</v>
      </c>
      <c r="I1091" s="4" t="s">
        <v>4853</v>
      </c>
      <c r="J1091" s="6" t="s">
        <v>4854</v>
      </c>
      <c r="K1091" s="4"/>
      <c r="L1091" s="4" t="s">
        <v>4855</v>
      </c>
      <c r="M1091" s="4" t="s">
        <v>38</v>
      </c>
      <c r="N1091" s="4"/>
      <c r="O1091" s="4"/>
      <c r="P1091" s="4" t="str">
        <f t="shared" si="58"/>
        <v>YES</v>
      </c>
    </row>
    <row r="1092" spans="1:16" ht="13" x14ac:dyDescent="0.15">
      <c r="A1092" s="4" t="s">
        <v>4850</v>
      </c>
      <c r="B1092" s="3" t="str">
        <f t="shared" si="59"/>
        <v>Yes</v>
      </c>
      <c r="C1092" s="3">
        <f t="shared" si="60"/>
        <v>446</v>
      </c>
      <c r="D1092" s="5">
        <v>1404</v>
      </c>
      <c r="E1092" s="4" t="s">
        <v>4856</v>
      </c>
      <c r="F1092" s="4" t="s">
        <v>4857</v>
      </c>
      <c r="G1092" s="4"/>
      <c r="H1092" s="4" t="s">
        <v>34</v>
      </c>
      <c r="I1092" s="4" t="s">
        <v>4858</v>
      </c>
      <c r="J1092" s="6" t="s">
        <v>4854</v>
      </c>
      <c r="K1092" s="4"/>
      <c r="L1092" s="4" t="s">
        <v>4859</v>
      </c>
      <c r="M1092" s="4" t="s">
        <v>38</v>
      </c>
      <c r="N1092" s="4"/>
      <c r="O1092" s="4"/>
      <c r="P1092" s="4" t="str">
        <f t="shared" si="58"/>
        <v>YES</v>
      </c>
    </row>
    <row r="1093" spans="1:16" ht="13" x14ac:dyDescent="0.15">
      <c r="A1093" s="4" t="s">
        <v>4860</v>
      </c>
      <c r="B1093" s="3" t="str">
        <f t="shared" si="59"/>
        <v>Yes</v>
      </c>
      <c r="C1093" s="3">
        <f t="shared" si="60"/>
        <v>446</v>
      </c>
      <c r="D1093" s="5">
        <v>11493886861</v>
      </c>
      <c r="E1093" s="4" t="s">
        <v>4861</v>
      </c>
      <c r="F1093" s="4" t="s">
        <v>4862</v>
      </c>
      <c r="G1093" s="4"/>
      <c r="H1093" s="4" t="s">
        <v>34</v>
      </c>
      <c r="I1093" s="4" t="s">
        <v>4863</v>
      </c>
      <c r="J1093" s="6" t="s">
        <v>4864</v>
      </c>
      <c r="K1093" s="4"/>
      <c r="L1093" s="4" t="s">
        <v>4865</v>
      </c>
      <c r="M1093" s="4" t="s">
        <v>38</v>
      </c>
      <c r="N1093" s="4"/>
      <c r="O1093" s="4"/>
      <c r="P1093" s="4" t="str">
        <f t="shared" si="58"/>
        <v>YES</v>
      </c>
    </row>
    <row r="1094" spans="1:16" ht="13" x14ac:dyDescent="0.15">
      <c r="A1094" s="4" t="s">
        <v>4860</v>
      </c>
      <c r="B1094" s="3" t="str">
        <f t="shared" si="59"/>
        <v>Yes</v>
      </c>
      <c r="C1094" s="3">
        <f t="shared" si="60"/>
        <v>446</v>
      </c>
      <c r="D1094" s="5">
        <v>11514643519</v>
      </c>
      <c r="E1094" s="4" t="s">
        <v>4866</v>
      </c>
      <c r="F1094" s="4" t="s">
        <v>4867</v>
      </c>
      <c r="G1094" s="4"/>
      <c r="H1094" s="4" t="s">
        <v>34</v>
      </c>
      <c r="I1094" s="4" t="s">
        <v>4868</v>
      </c>
      <c r="J1094" s="6" t="s">
        <v>4864</v>
      </c>
      <c r="K1094" s="4"/>
      <c r="L1094" s="4"/>
      <c r="M1094" s="4" t="s">
        <v>38</v>
      </c>
      <c r="N1094" s="4"/>
      <c r="O1094" s="4"/>
      <c r="P1094" s="4" t="str">
        <f t="shared" si="58"/>
        <v>YES</v>
      </c>
    </row>
    <row r="1095" spans="1:16" ht="15" x14ac:dyDescent="0.2">
      <c r="A1095" s="2" t="s">
        <v>4869</v>
      </c>
      <c r="B1095" s="3" t="str">
        <f t="shared" si="59"/>
        <v>mark.jordan@mpoweringhealthcare.com</v>
      </c>
      <c r="C1095" s="3">
        <f t="shared" si="60"/>
        <v>1</v>
      </c>
      <c r="D1095" s="2" t="s">
        <v>4870</v>
      </c>
      <c r="E1095" s="2" t="s">
        <v>192</v>
      </c>
      <c r="F1095" s="2" t="s">
        <v>2262</v>
      </c>
      <c r="I1095" s="2" t="s">
        <v>4871</v>
      </c>
      <c r="L1095" s="2" t="s">
        <v>4872</v>
      </c>
      <c r="M1095" s="2" t="s">
        <v>45</v>
      </c>
    </row>
    <row r="1096" spans="1:16" ht="15" x14ac:dyDescent="0.2">
      <c r="A1096" s="2" t="s">
        <v>4873</v>
      </c>
      <c r="B1096" s="3" t="str">
        <f t="shared" si="59"/>
        <v>emalowinski@munsonhealthcare.org</v>
      </c>
      <c r="C1096" s="3">
        <f t="shared" si="60"/>
        <v>1</v>
      </c>
      <c r="D1096" s="2" t="s">
        <v>4874</v>
      </c>
      <c r="E1096" s="2" t="s">
        <v>608</v>
      </c>
      <c r="F1096" s="2" t="s">
        <v>4875</v>
      </c>
      <c r="I1096" s="2" t="s">
        <v>4876</v>
      </c>
      <c r="L1096" s="2" t="s">
        <v>591</v>
      </c>
      <c r="M1096" s="2" t="s">
        <v>22</v>
      </c>
    </row>
    <row r="1097" spans="1:16" ht="15" x14ac:dyDescent="0.2">
      <c r="A1097" s="2" t="s">
        <v>4873</v>
      </c>
      <c r="B1097" s="3" t="str">
        <f t="shared" si="59"/>
        <v>kschweigert@munsonhealthcare.org</v>
      </c>
      <c r="C1097" s="3">
        <f t="shared" si="60"/>
        <v>1</v>
      </c>
      <c r="D1097" s="2" t="s">
        <v>4877</v>
      </c>
      <c r="E1097" s="2" t="s">
        <v>449</v>
      </c>
      <c r="F1097" s="2" t="s">
        <v>4878</v>
      </c>
      <c r="I1097" s="2" t="s">
        <v>4879</v>
      </c>
      <c r="L1097" s="2" t="s">
        <v>309</v>
      </c>
      <c r="M1097" s="2" t="s">
        <v>22</v>
      </c>
    </row>
    <row r="1098" spans="1:16" ht="13" x14ac:dyDescent="0.15">
      <c r="A1098" s="4" t="s">
        <v>4880</v>
      </c>
      <c r="B1098" s="3" t="str">
        <f t="shared" si="59"/>
        <v>Yes</v>
      </c>
      <c r="C1098" s="3">
        <f t="shared" si="60"/>
        <v>446</v>
      </c>
      <c r="D1098" s="5">
        <v>4659</v>
      </c>
      <c r="E1098" s="4" t="s">
        <v>785</v>
      </c>
      <c r="F1098" s="4" t="s">
        <v>4881</v>
      </c>
      <c r="G1098" s="4"/>
      <c r="H1098" s="4" t="s">
        <v>34</v>
      </c>
      <c r="I1098" s="4" t="s">
        <v>4882</v>
      </c>
      <c r="J1098" s="6" t="s">
        <v>4883</v>
      </c>
      <c r="K1098" s="4"/>
      <c r="L1098" s="4" t="s">
        <v>4884</v>
      </c>
      <c r="M1098" s="4" t="s">
        <v>38</v>
      </c>
      <c r="N1098" s="4"/>
      <c r="O1098" s="4"/>
      <c r="P1098" s="4" t="str">
        <f t="shared" ref="P1098:P1107" si="61">IF(OR(M1098="Customer", M1098="Opportunity", H1098="Yes", H1098=TRUE, G1098="Yes", G1098=TRUE, O1098&gt;0), "YES", "NO")</f>
        <v>YES</v>
      </c>
    </row>
    <row r="1099" spans="1:16" ht="13" x14ac:dyDescent="0.15">
      <c r="A1099" s="4" t="s">
        <v>4880</v>
      </c>
      <c r="B1099" s="3" t="str">
        <f t="shared" si="59"/>
        <v>Yes</v>
      </c>
      <c r="C1099" s="3">
        <f t="shared" si="60"/>
        <v>446</v>
      </c>
      <c r="D1099" s="5">
        <v>3902</v>
      </c>
      <c r="E1099" s="4" t="s">
        <v>4885</v>
      </c>
      <c r="F1099" s="4" t="s">
        <v>4886</v>
      </c>
      <c r="G1099" s="4"/>
      <c r="H1099" s="4" t="s">
        <v>34</v>
      </c>
      <c r="I1099" s="4" t="s">
        <v>4887</v>
      </c>
      <c r="J1099" s="6" t="s">
        <v>4883</v>
      </c>
      <c r="K1099" s="4"/>
      <c r="L1099" s="4" t="s">
        <v>4888</v>
      </c>
      <c r="M1099" s="4" t="s">
        <v>38</v>
      </c>
      <c r="N1099" s="4"/>
      <c r="O1099" s="4"/>
      <c r="P1099" s="4" t="str">
        <f t="shared" si="61"/>
        <v>YES</v>
      </c>
    </row>
    <row r="1100" spans="1:16" ht="13" x14ac:dyDescent="0.15">
      <c r="A1100" s="4" t="s">
        <v>4889</v>
      </c>
      <c r="B1100" s="3" t="str">
        <f t="shared" si="59"/>
        <v>Yes</v>
      </c>
      <c r="C1100" s="3">
        <f t="shared" si="60"/>
        <v>446</v>
      </c>
      <c r="D1100" s="5">
        <v>11510627236</v>
      </c>
      <c r="E1100" s="4" t="s">
        <v>1968</v>
      </c>
      <c r="F1100" s="4" t="s">
        <v>4890</v>
      </c>
      <c r="G1100" s="4"/>
      <c r="H1100" s="4" t="s">
        <v>34</v>
      </c>
      <c r="I1100" s="4" t="s">
        <v>4891</v>
      </c>
      <c r="J1100" s="6" t="s">
        <v>4741</v>
      </c>
      <c r="K1100" s="4"/>
      <c r="L1100" s="4" t="s">
        <v>4892</v>
      </c>
      <c r="M1100" s="4" t="s">
        <v>38</v>
      </c>
      <c r="N1100" s="4"/>
      <c r="O1100" s="4"/>
      <c r="P1100" s="4" t="str">
        <f t="shared" si="61"/>
        <v>YES</v>
      </c>
    </row>
    <row r="1101" spans="1:16" ht="13" x14ac:dyDescent="0.15">
      <c r="A1101" s="4" t="s">
        <v>4893</v>
      </c>
      <c r="B1101" s="3" t="str">
        <f t="shared" si="59"/>
        <v>Yes</v>
      </c>
      <c r="C1101" s="3">
        <f t="shared" si="60"/>
        <v>446</v>
      </c>
      <c r="D1101" s="5">
        <v>11513992756</v>
      </c>
      <c r="E1101" s="4" t="s">
        <v>4894</v>
      </c>
      <c r="F1101" s="4" t="s">
        <v>4895</v>
      </c>
      <c r="G1101" s="4"/>
      <c r="H1101" s="4" t="s">
        <v>34</v>
      </c>
      <c r="I1101" s="4" t="s">
        <v>4896</v>
      </c>
      <c r="J1101" s="6" t="s">
        <v>867</v>
      </c>
      <c r="K1101" s="4"/>
      <c r="L1101" s="4" t="s">
        <v>4897</v>
      </c>
      <c r="M1101" s="4" t="s">
        <v>38</v>
      </c>
      <c r="N1101" s="4"/>
      <c r="O1101" s="4"/>
      <c r="P1101" s="4" t="str">
        <f t="shared" si="61"/>
        <v>YES</v>
      </c>
    </row>
    <row r="1102" spans="1:16" ht="13" x14ac:dyDescent="0.15">
      <c r="A1102" s="4" t="s">
        <v>4898</v>
      </c>
      <c r="B1102" s="3" t="str">
        <f t="shared" si="59"/>
        <v>Yes</v>
      </c>
      <c r="C1102" s="3">
        <f t="shared" si="60"/>
        <v>446</v>
      </c>
      <c r="D1102" s="5">
        <v>1053</v>
      </c>
      <c r="E1102" s="4" t="s">
        <v>928</v>
      </c>
      <c r="F1102" s="4" t="s">
        <v>604</v>
      </c>
      <c r="G1102" s="4"/>
      <c r="H1102" s="4" t="s">
        <v>34</v>
      </c>
      <c r="I1102" s="4" t="s">
        <v>4899</v>
      </c>
      <c r="J1102" s="6" t="s">
        <v>4900</v>
      </c>
      <c r="K1102" s="4"/>
      <c r="L1102" s="4" t="s">
        <v>4901</v>
      </c>
      <c r="M1102" s="4" t="s">
        <v>38</v>
      </c>
      <c r="N1102" s="4"/>
      <c r="O1102" s="4"/>
      <c r="P1102" s="4" t="str">
        <f t="shared" si="61"/>
        <v>YES</v>
      </c>
    </row>
    <row r="1103" spans="1:16" ht="13" x14ac:dyDescent="0.15">
      <c r="A1103" s="4" t="s">
        <v>4902</v>
      </c>
      <c r="B1103" s="3" t="str">
        <f t="shared" si="59"/>
        <v>Yes</v>
      </c>
      <c r="C1103" s="3">
        <f t="shared" si="60"/>
        <v>446</v>
      </c>
      <c r="D1103" s="5">
        <v>4953</v>
      </c>
      <c r="E1103" s="4" t="s">
        <v>4903</v>
      </c>
      <c r="F1103" s="4" t="s">
        <v>4904</v>
      </c>
      <c r="G1103" s="4"/>
      <c r="H1103" s="4" t="s">
        <v>34</v>
      </c>
      <c r="I1103" s="4" t="s">
        <v>4905</v>
      </c>
      <c r="J1103" s="6" t="s">
        <v>4906</v>
      </c>
      <c r="K1103" s="4"/>
      <c r="L1103" s="4" t="s">
        <v>4907</v>
      </c>
      <c r="M1103" s="4" t="s">
        <v>38</v>
      </c>
      <c r="N1103" s="4"/>
      <c r="O1103" s="4"/>
      <c r="P1103" s="4" t="str">
        <f t="shared" si="61"/>
        <v>YES</v>
      </c>
    </row>
    <row r="1104" spans="1:16" ht="13" x14ac:dyDescent="0.15">
      <c r="A1104" s="4" t="s">
        <v>4908</v>
      </c>
      <c r="B1104" s="3" t="str">
        <f t="shared" si="59"/>
        <v>Yes</v>
      </c>
      <c r="C1104" s="3">
        <f t="shared" si="60"/>
        <v>446</v>
      </c>
      <c r="D1104" s="5">
        <v>11513921197</v>
      </c>
      <c r="E1104" s="4" t="s">
        <v>2499</v>
      </c>
      <c r="F1104" s="4" t="s">
        <v>4909</v>
      </c>
      <c r="G1104" s="4"/>
      <c r="H1104" s="4" t="s">
        <v>34</v>
      </c>
      <c r="I1104" s="4" t="s">
        <v>4910</v>
      </c>
      <c r="J1104" s="6" t="s">
        <v>4911</v>
      </c>
      <c r="K1104" s="4"/>
      <c r="L1104" s="4" t="s">
        <v>4912</v>
      </c>
      <c r="M1104" s="4" t="s">
        <v>38</v>
      </c>
      <c r="N1104" s="4"/>
      <c r="O1104" s="4"/>
      <c r="P1104" s="4" t="str">
        <f t="shared" si="61"/>
        <v>YES</v>
      </c>
    </row>
    <row r="1105" spans="1:16" ht="13" x14ac:dyDescent="0.15">
      <c r="A1105" s="6" t="s">
        <v>4911</v>
      </c>
      <c r="B1105" s="3" t="str">
        <f t="shared" si="59"/>
        <v>Yes</v>
      </c>
      <c r="C1105" s="3">
        <f t="shared" si="60"/>
        <v>446</v>
      </c>
      <c r="D1105" s="5">
        <v>11514661952</v>
      </c>
      <c r="E1105" s="4" t="s">
        <v>4913</v>
      </c>
      <c r="F1105" s="4" t="s">
        <v>4914</v>
      </c>
      <c r="G1105" s="4"/>
      <c r="H1105" s="4" t="s">
        <v>34</v>
      </c>
      <c r="I1105" s="4" t="s">
        <v>4915</v>
      </c>
      <c r="J1105" s="6" t="s">
        <v>4911</v>
      </c>
      <c r="K1105" s="4"/>
      <c r="L1105" s="4" t="s">
        <v>4916</v>
      </c>
      <c r="M1105" s="4" t="s">
        <v>38</v>
      </c>
      <c r="N1105" s="4"/>
      <c r="O1105" s="4"/>
      <c r="P1105" s="4" t="str">
        <f t="shared" si="61"/>
        <v>YES</v>
      </c>
    </row>
    <row r="1106" spans="1:16" ht="13" x14ac:dyDescent="0.15">
      <c r="A1106" s="4" t="s">
        <v>4917</v>
      </c>
      <c r="B1106" s="3" t="str">
        <f t="shared" si="59"/>
        <v>Yes</v>
      </c>
      <c r="C1106" s="3">
        <f t="shared" si="60"/>
        <v>446</v>
      </c>
      <c r="D1106" s="5">
        <v>1465</v>
      </c>
      <c r="E1106" s="4" t="s">
        <v>4918</v>
      </c>
      <c r="F1106" s="4" t="s">
        <v>4919</v>
      </c>
      <c r="G1106" s="4"/>
      <c r="H1106" s="4" t="s">
        <v>34</v>
      </c>
      <c r="I1106" s="4" t="s">
        <v>4920</v>
      </c>
      <c r="J1106" s="6" t="s">
        <v>4921</v>
      </c>
      <c r="K1106" s="4"/>
      <c r="L1106" s="4" t="s">
        <v>4922</v>
      </c>
      <c r="M1106" s="4" t="s">
        <v>38</v>
      </c>
      <c r="N1106" s="4"/>
      <c r="O1106" s="4"/>
      <c r="P1106" s="4" t="str">
        <f t="shared" si="61"/>
        <v>YES</v>
      </c>
    </row>
    <row r="1107" spans="1:16" ht="13" x14ac:dyDescent="0.15">
      <c r="A1107" s="4" t="s">
        <v>4923</v>
      </c>
      <c r="B1107" s="3" t="str">
        <f t="shared" si="59"/>
        <v>Yes</v>
      </c>
      <c r="C1107" s="3">
        <f t="shared" si="60"/>
        <v>446</v>
      </c>
      <c r="D1107" s="5">
        <v>11490763632</v>
      </c>
      <c r="E1107" s="4" t="s">
        <v>4000</v>
      </c>
      <c r="F1107" s="4" t="s">
        <v>3690</v>
      </c>
      <c r="G1107" s="4"/>
      <c r="H1107" s="4" t="s">
        <v>34</v>
      </c>
      <c r="I1107" s="4" t="s">
        <v>4924</v>
      </c>
      <c r="J1107" s="6" t="s">
        <v>4925</v>
      </c>
      <c r="K1107" s="4"/>
      <c r="L1107" s="4" t="s">
        <v>2514</v>
      </c>
      <c r="M1107" s="4" t="s">
        <v>38</v>
      </c>
      <c r="N1107" s="4"/>
      <c r="O1107" s="4"/>
      <c r="P1107" s="4" t="str">
        <f t="shared" si="61"/>
        <v>YES</v>
      </c>
    </row>
    <row r="1108" spans="1:16" ht="15" x14ac:dyDescent="0.2">
      <c r="A1108" s="2" t="s">
        <v>4926</v>
      </c>
      <c r="B1108" s="3" t="str">
        <f t="shared" si="59"/>
        <v>margretta.turner@navvishealthcare.com</v>
      </c>
      <c r="C1108" s="3">
        <f t="shared" si="60"/>
        <v>1</v>
      </c>
      <c r="D1108" s="2" t="s">
        <v>4927</v>
      </c>
      <c r="E1108" s="2" t="s">
        <v>4928</v>
      </c>
      <c r="F1108" s="2" t="s">
        <v>2196</v>
      </c>
      <c r="I1108" s="2" t="s">
        <v>4929</v>
      </c>
      <c r="L1108" s="2" t="s">
        <v>4930</v>
      </c>
      <c r="M1108" s="2" t="s">
        <v>45</v>
      </c>
    </row>
    <row r="1109" spans="1:16" ht="13" x14ac:dyDescent="0.15">
      <c r="A1109" s="4" t="s">
        <v>4931</v>
      </c>
      <c r="B1109" s="3" t="str">
        <f t="shared" si="59"/>
        <v>Yes</v>
      </c>
      <c r="C1109" s="3">
        <f t="shared" si="60"/>
        <v>446</v>
      </c>
      <c r="D1109" s="5">
        <v>11512927898</v>
      </c>
      <c r="E1109" s="4" t="s">
        <v>4932</v>
      </c>
      <c r="F1109" s="4" t="s">
        <v>4933</v>
      </c>
      <c r="G1109" s="4"/>
      <c r="H1109" s="4" t="s">
        <v>34</v>
      </c>
      <c r="I1109" s="4" t="s">
        <v>4934</v>
      </c>
      <c r="J1109" s="6" t="s">
        <v>4935</v>
      </c>
      <c r="K1109" s="4"/>
      <c r="L1109" s="4" t="s">
        <v>4936</v>
      </c>
      <c r="M1109" s="4" t="s">
        <v>38</v>
      </c>
      <c r="N1109" s="4"/>
      <c r="O1109" s="4"/>
      <c r="P1109" s="4" t="str">
        <f t="shared" ref="P1109:P1121" si="62">IF(OR(M1109="Customer", M1109="Opportunity", H1109="Yes", H1109=TRUE, G1109="Yes", G1109=TRUE, O1109&gt;0), "YES", "NO")</f>
        <v>YES</v>
      </c>
    </row>
    <row r="1110" spans="1:16" ht="13" x14ac:dyDescent="0.15">
      <c r="A1110" s="4" t="s">
        <v>4931</v>
      </c>
      <c r="B1110" s="3" t="str">
        <f t="shared" si="59"/>
        <v>Yes</v>
      </c>
      <c r="C1110" s="3">
        <f t="shared" si="60"/>
        <v>446</v>
      </c>
      <c r="D1110" s="5">
        <v>11513921183</v>
      </c>
      <c r="E1110" s="4" t="s">
        <v>4937</v>
      </c>
      <c r="F1110" s="4" t="s">
        <v>4938</v>
      </c>
      <c r="G1110" s="4"/>
      <c r="H1110" s="4" t="s">
        <v>34</v>
      </c>
      <c r="I1110" s="4" t="s">
        <v>4939</v>
      </c>
      <c r="J1110" s="6" t="s">
        <v>4935</v>
      </c>
      <c r="K1110" s="4"/>
      <c r="L1110" s="4" t="s">
        <v>4940</v>
      </c>
      <c r="M1110" s="4" t="s">
        <v>38</v>
      </c>
      <c r="N1110" s="4"/>
      <c r="O1110" s="4"/>
      <c r="P1110" s="4" t="str">
        <f t="shared" si="62"/>
        <v>YES</v>
      </c>
    </row>
    <row r="1111" spans="1:16" ht="13" x14ac:dyDescent="0.15">
      <c r="A1111" s="4" t="s">
        <v>4941</v>
      </c>
      <c r="B1111" s="3" t="str">
        <f t="shared" si="59"/>
        <v>Yes</v>
      </c>
      <c r="C1111" s="3">
        <f t="shared" si="60"/>
        <v>446</v>
      </c>
      <c r="D1111" s="5">
        <v>11490763634</v>
      </c>
      <c r="E1111" s="4" t="s">
        <v>531</v>
      </c>
      <c r="F1111" s="4" t="s">
        <v>2134</v>
      </c>
      <c r="G1111" s="4"/>
      <c r="H1111" s="4" t="s">
        <v>34</v>
      </c>
      <c r="I1111" s="4" t="s">
        <v>4942</v>
      </c>
      <c r="J1111" s="6" t="s">
        <v>4943</v>
      </c>
      <c r="K1111" s="4"/>
      <c r="L1111" s="4" t="s">
        <v>3408</v>
      </c>
      <c r="M1111" s="4" t="s">
        <v>38</v>
      </c>
      <c r="N1111" s="4"/>
      <c r="O1111" s="4"/>
      <c r="P1111" s="4" t="str">
        <f t="shared" si="62"/>
        <v>YES</v>
      </c>
    </row>
    <row r="1112" spans="1:16" ht="13" x14ac:dyDescent="0.15">
      <c r="A1112" s="4" t="s">
        <v>4941</v>
      </c>
      <c r="B1112" s="3" t="str">
        <f t="shared" si="59"/>
        <v>Yes</v>
      </c>
      <c r="C1112" s="3">
        <f t="shared" si="60"/>
        <v>446</v>
      </c>
      <c r="D1112" s="5">
        <v>11515733255</v>
      </c>
      <c r="E1112" s="4" t="s">
        <v>945</v>
      </c>
      <c r="F1112" s="4" t="s">
        <v>4944</v>
      </c>
      <c r="G1112" s="4"/>
      <c r="H1112" s="4" t="s">
        <v>34</v>
      </c>
      <c r="I1112" s="4" t="s">
        <v>4945</v>
      </c>
      <c r="J1112" s="6" t="s">
        <v>4943</v>
      </c>
      <c r="K1112" s="4"/>
      <c r="L1112" s="4" t="s">
        <v>4946</v>
      </c>
      <c r="M1112" s="4" t="s">
        <v>38</v>
      </c>
      <c r="N1112" s="4"/>
      <c r="O1112" s="4"/>
      <c r="P1112" s="4" t="str">
        <f t="shared" si="62"/>
        <v>YES</v>
      </c>
    </row>
    <row r="1113" spans="1:16" ht="13" x14ac:dyDescent="0.15">
      <c r="A1113" s="4" t="s">
        <v>4947</v>
      </c>
      <c r="B1113" s="3" t="str">
        <f t="shared" si="59"/>
        <v>Yes</v>
      </c>
      <c r="C1113" s="3">
        <f t="shared" si="60"/>
        <v>446</v>
      </c>
      <c r="D1113" s="5">
        <v>11512310390</v>
      </c>
      <c r="E1113" s="4" t="s">
        <v>4948</v>
      </c>
      <c r="F1113" s="4" t="s">
        <v>4949</v>
      </c>
      <c r="G1113" s="4"/>
      <c r="H1113" s="4" t="s">
        <v>34</v>
      </c>
      <c r="I1113" s="4" t="s">
        <v>4950</v>
      </c>
      <c r="J1113" s="6" t="s">
        <v>4951</v>
      </c>
      <c r="K1113" s="4"/>
      <c r="L1113" s="4" t="s">
        <v>4952</v>
      </c>
      <c r="M1113" s="4" t="s">
        <v>38</v>
      </c>
      <c r="N1113" s="4"/>
      <c r="O1113" s="4"/>
      <c r="P1113" s="4" t="str">
        <f t="shared" si="62"/>
        <v>YES</v>
      </c>
    </row>
    <row r="1114" spans="1:16" ht="13" x14ac:dyDescent="0.15">
      <c r="A1114" s="4" t="s">
        <v>4947</v>
      </c>
      <c r="B1114" s="3" t="str">
        <f t="shared" si="59"/>
        <v>Yes</v>
      </c>
      <c r="C1114" s="3">
        <f t="shared" si="60"/>
        <v>446</v>
      </c>
      <c r="D1114" s="5">
        <v>11510627239</v>
      </c>
      <c r="E1114" s="4" t="s">
        <v>1465</v>
      </c>
      <c r="F1114" s="4" t="s">
        <v>4953</v>
      </c>
      <c r="G1114" s="4"/>
      <c r="H1114" s="4" t="s">
        <v>34</v>
      </c>
      <c r="I1114" s="4" t="s">
        <v>4954</v>
      </c>
      <c r="J1114" s="6" t="s">
        <v>4951</v>
      </c>
      <c r="K1114" s="4"/>
      <c r="L1114" s="4" t="s">
        <v>2433</v>
      </c>
      <c r="M1114" s="4" t="s">
        <v>38</v>
      </c>
      <c r="N1114" s="4"/>
      <c r="O1114" s="4"/>
      <c r="P1114" s="4" t="str">
        <f t="shared" si="62"/>
        <v>YES</v>
      </c>
    </row>
    <row r="1115" spans="1:16" ht="13" x14ac:dyDescent="0.15">
      <c r="A1115" s="4" t="s">
        <v>4947</v>
      </c>
      <c r="B1115" s="3" t="str">
        <f t="shared" si="59"/>
        <v>Yes</v>
      </c>
      <c r="C1115" s="3">
        <f t="shared" si="60"/>
        <v>446</v>
      </c>
      <c r="D1115" s="5">
        <v>11514947188</v>
      </c>
      <c r="E1115" s="4" t="s">
        <v>440</v>
      </c>
      <c r="F1115" s="4" t="s">
        <v>4955</v>
      </c>
      <c r="G1115" s="4"/>
      <c r="H1115" s="4" t="s">
        <v>34</v>
      </c>
      <c r="I1115" s="4" t="s">
        <v>4956</v>
      </c>
      <c r="J1115" s="6" t="s">
        <v>4951</v>
      </c>
      <c r="K1115" s="4"/>
      <c r="L1115" s="4" t="s">
        <v>692</v>
      </c>
      <c r="M1115" s="4" t="s">
        <v>38</v>
      </c>
      <c r="N1115" s="4"/>
      <c r="O1115" s="4"/>
      <c r="P1115" s="4" t="str">
        <f t="shared" si="62"/>
        <v>YES</v>
      </c>
    </row>
    <row r="1116" spans="1:16" ht="13" x14ac:dyDescent="0.15">
      <c r="A1116" s="4" t="s">
        <v>4957</v>
      </c>
      <c r="B1116" s="3" t="str">
        <f t="shared" si="59"/>
        <v>Yes</v>
      </c>
      <c r="C1116" s="3">
        <f t="shared" si="60"/>
        <v>446</v>
      </c>
      <c r="D1116" s="5">
        <v>11491606587</v>
      </c>
      <c r="E1116" s="4" t="s">
        <v>4958</v>
      </c>
      <c r="F1116" s="4" t="s">
        <v>4959</v>
      </c>
      <c r="G1116" s="4"/>
      <c r="H1116" s="4" t="s">
        <v>34</v>
      </c>
      <c r="I1116" s="4" t="s">
        <v>4960</v>
      </c>
      <c r="J1116" s="6" t="s">
        <v>4961</v>
      </c>
      <c r="K1116" s="4"/>
      <c r="L1116" s="4" t="s">
        <v>4962</v>
      </c>
      <c r="M1116" s="4" t="s">
        <v>38</v>
      </c>
      <c r="N1116" s="4"/>
      <c r="O1116" s="4"/>
      <c r="P1116" s="4" t="str">
        <f t="shared" si="62"/>
        <v>YES</v>
      </c>
    </row>
    <row r="1117" spans="1:16" ht="13" x14ac:dyDescent="0.15">
      <c r="A1117" s="4" t="s">
        <v>4957</v>
      </c>
      <c r="B1117" s="3" t="str">
        <f t="shared" si="59"/>
        <v>Yes</v>
      </c>
      <c r="C1117" s="3">
        <f t="shared" si="60"/>
        <v>446</v>
      </c>
      <c r="D1117" s="5">
        <v>11516590848</v>
      </c>
      <c r="E1117" s="4" t="s">
        <v>4642</v>
      </c>
      <c r="F1117" s="4" t="s">
        <v>4963</v>
      </c>
      <c r="G1117" s="4"/>
      <c r="H1117" s="4" t="s">
        <v>34</v>
      </c>
      <c r="I1117" s="4" t="s">
        <v>4964</v>
      </c>
      <c r="J1117" s="6" t="s">
        <v>4961</v>
      </c>
      <c r="K1117" s="4"/>
      <c r="L1117" s="4" t="s">
        <v>3414</v>
      </c>
      <c r="M1117" s="4" t="s">
        <v>38</v>
      </c>
      <c r="N1117" s="4"/>
      <c r="O1117" s="4"/>
      <c r="P1117" s="4" t="str">
        <f t="shared" si="62"/>
        <v>YES</v>
      </c>
    </row>
    <row r="1118" spans="1:16" ht="13" x14ac:dyDescent="0.15">
      <c r="A1118" s="4" t="s">
        <v>4965</v>
      </c>
      <c r="B1118" s="3" t="str">
        <f t="shared" si="59"/>
        <v>Yes</v>
      </c>
      <c r="C1118" s="3">
        <f t="shared" si="60"/>
        <v>446</v>
      </c>
      <c r="D1118" s="5">
        <v>1255</v>
      </c>
      <c r="E1118" s="4" t="s">
        <v>4966</v>
      </c>
      <c r="F1118" s="4" t="s">
        <v>4967</v>
      </c>
      <c r="G1118" s="4"/>
      <c r="H1118" s="4" t="s">
        <v>34</v>
      </c>
      <c r="I1118" s="4" t="s">
        <v>4968</v>
      </c>
      <c r="J1118" s="6" t="s">
        <v>4969</v>
      </c>
      <c r="K1118" s="4"/>
      <c r="L1118" s="4" t="s">
        <v>2657</v>
      </c>
      <c r="M1118" s="4" t="s">
        <v>38</v>
      </c>
      <c r="N1118" s="4"/>
      <c r="O1118" s="4"/>
      <c r="P1118" s="4" t="str">
        <f t="shared" si="62"/>
        <v>YES</v>
      </c>
    </row>
    <row r="1119" spans="1:16" ht="13" x14ac:dyDescent="0.15">
      <c r="A1119" s="4" t="s">
        <v>4970</v>
      </c>
      <c r="B1119" s="3" t="str">
        <f t="shared" si="59"/>
        <v>Yes</v>
      </c>
      <c r="C1119" s="3">
        <f t="shared" si="60"/>
        <v>446</v>
      </c>
      <c r="D1119" s="5">
        <v>11514643534</v>
      </c>
      <c r="E1119" s="4" t="s">
        <v>4971</v>
      </c>
      <c r="F1119" s="4" t="s">
        <v>4972</v>
      </c>
      <c r="G1119" s="4"/>
      <c r="H1119" s="4" t="s">
        <v>34</v>
      </c>
      <c r="I1119" s="4" t="s">
        <v>4973</v>
      </c>
      <c r="J1119" s="6" t="s">
        <v>4974</v>
      </c>
      <c r="K1119" s="4"/>
      <c r="L1119" s="4" t="s">
        <v>4975</v>
      </c>
      <c r="M1119" s="4" t="s">
        <v>38</v>
      </c>
      <c r="N1119" s="4"/>
      <c r="O1119" s="4"/>
      <c r="P1119" s="4" t="str">
        <f t="shared" si="62"/>
        <v>YES</v>
      </c>
    </row>
    <row r="1120" spans="1:16" ht="13" x14ac:dyDescent="0.15">
      <c r="A1120" s="4" t="s">
        <v>4976</v>
      </c>
      <c r="B1120" s="3" t="str">
        <f t="shared" si="59"/>
        <v>Yes</v>
      </c>
      <c r="C1120" s="3">
        <f t="shared" si="60"/>
        <v>446</v>
      </c>
      <c r="D1120" s="5">
        <v>11492260673</v>
      </c>
      <c r="E1120" s="4" t="s">
        <v>207</v>
      </c>
      <c r="F1120" s="4" t="s">
        <v>4977</v>
      </c>
      <c r="G1120" s="4"/>
      <c r="H1120" s="4" t="s">
        <v>34</v>
      </c>
      <c r="I1120" s="4" t="s">
        <v>4978</v>
      </c>
      <c r="J1120" s="6" t="s">
        <v>4979</v>
      </c>
      <c r="K1120" s="4"/>
      <c r="L1120" s="4" t="s">
        <v>4980</v>
      </c>
      <c r="M1120" s="4" t="s">
        <v>38</v>
      </c>
      <c r="N1120" s="4"/>
      <c r="O1120" s="4"/>
      <c r="P1120" s="4" t="str">
        <f t="shared" si="62"/>
        <v>YES</v>
      </c>
    </row>
    <row r="1121" spans="1:16" ht="13" x14ac:dyDescent="0.15">
      <c r="A1121" s="4" t="s">
        <v>4981</v>
      </c>
      <c r="B1121" s="3" t="str">
        <f t="shared" si="59"/>
        <v>Yes</v>
      </c>
      <c r="C1121" s="3">
        <f t="shared" si="60"/>
        <v>446</v>
      </c>
      <c r="D1121" s="5">
        <v>11515754091</v>
      </c>
      <c r="E1121" s="4" t="s">
        <v>139</v>
      </c>
      <c r="F1121" s="4" t="s">
        <v>4982</v>
      </c>
      <c r="G1121" s="4"/>
      <c r="H1121" s="4" t="s">
        <v>34</v>
      </c>
      <c r="I1121" s="4" t="s">
        <v>4983</v>
      </c>
      <c r="J1121" s="6" t="s">
        <v>4984</v>
      </c>
      <c r="K1121" s="4"/>
      <c r="L1121" s="4" t="s">
        <v>4985</v>
      </c>
      <c r="M1121" s="4" t="s">
        <v>38</v>
      </c>
      <c r="N1121" s="4"/>
      <c r="O1121" s="4"/>
      <c r="P1121" s="4" t="str">
        <f t="shared" si="62"/>
        <v>YES</v>
      </c>
    </row>
    <row r="1122" spans="1:16" ht="15" x14ac:dyDescent="0.2">
      <c r="A1122" s="2" t="s">
        <v>4986</v>
      </c>
      <c r="B1122" s="3" t="str">
        <f t="shared" si="59"/>
        <v>kroyer@nice.healthcare</v>
      </c>
      <c r="C1122" s="3">
        <f t="shared" si="60"/>
        <v>1</v>
      </c>
      <c r="D1122" s="2" t="s">
        <v>4987</v>
      </c>
      <c r="E1122" s="2" t="s">
        <v>726</v>
      </c>
      <c r="F1122" s="2" t="s">
        <v>4988</v>
      </c>
      <c r="I1122" s="2" t="s">
        <v>4989</v>
      </c>
      <c r="L1122" s="2" t="s">
        <v>4990</v>
      </c>
      <c r="M1122" s="2" t="s">
        <v>45</v>
      </c>
    </row>
    <row r="1123" spans="1:16" ht="15" x14ac:dyDescent="0.2">
      <c r="A1123" s="2" t="s">
        <v>4991</v>
      </c>
      <c r="B1123" s="3" t="str">
        <f t="shared" si="59"/>
        <v>tarkley@nihonkohden.com</v>
      </c>
      <c r="C1123" s="3">
        <f t="shared" si="60"/>
        <v>1</v>
      </c>
      <c r="D1123" s="2" t="s">
        <v>4992</v>
      </c>
      <c r="E1123" s="2" t="s">
        <v>4993</v>
      </c>
      <c r="F1123" s="2" t="s">
        <v>4994</v>
      </c>
      <c r="I1123" s="2" t="s">
        <v>4995</v>
      </c>
      <c r="L1123" s="2" t="s">
        <v>4996</v>
      </c>
      <c r="M1123" s="2" t="s">
        <v>22</v>
      </c>
    </row>
    <row r="1124" spans="1:16" ht="13" x14ac:dyDescent="0.15">
      <c r="A1124" s="4" t="s">
        <v>4997</v>
      </c>
      <c r="B1124" s="3" t="str">
        <f t="shared" si="59"/>
        <v>Yes</v>
      </c>
      <c r="C1124" s="3">
        <f t="shared" si="60"/>
        <v>446</v>
      </c>
      <c r="D1124" s="5">
        <v>467</v>
      </c>
      <c r="E1124" s="4" t="s">
        <v>1369</v>
      </c>
      <c r="F1124" s="4" t="s">
        <v>4998</v>
      </c>
      <c r="G1124" s="4"/>
      <c r="H1124" s="4" t="s">
        <v>34</v>
      </c>
      <c r="I1124" s="4" t="s">
        <v>4999</v>
      </c>
      <c r="J1124" s="6" t="s">
        <v>5000</v>
      </c>
      <c r="K1124" s="4"/>
      <c r="L1124" s="4" t="s">
        <v>5001</v>
      </c>
      <c r="M1124" s="4" t="s">
        <v>38</v>
      </c>
      <c r="N1124" s="4"/>
      <c r="O1124" s="4"/>
      <c r="P1124" s="4" t="str">
        <f>IF(OR(M1124="Customer", M1124="Opportunity", H1124="Yes", H1124=TRUE, G1124="Yes", G1124=TRUE, O1124&gt;0), "YES", "NO")</f>
        <v>YES</v>
      </c>
    </row>
    <row r="1125" spans="1:16" ht="15" x14ac:dyDescent="0.2">
      <c r="A1125" s="2" t="s">
        <v>5002</v>
      </c>
      <c r="B1125" s="3" t="str">
        <f t="shared" si="59"/>
        <v>dphelps@nortonhealthcare.com</v>
      </c>
      <c r="C1125" s="3">
        <f t="shared" si="60"/>
        <v>1</v>
      </c>
      <c r="D1125" s="2" t="s">
        <v>5003</v>
      </c>
      <c r="E1125" s="2" t="s">
        <v>89</v>
      </c>
      <c r="F1125" s="2" t="s">
        <v>5004</v>
      </c>
      <c r="I1125" s="2" t="s">
        <v>5005</v>
      </c>
      <c r="L1125" s="2" t="s">
        <v>5006</v>
      </c>
      <c r="M1125" s="2" t="s">
        <v>22</v>
      </c>
    </row>
    <row r="1126" spans="1:16" ht="15" x14ac:dyDescent="0.2">
      <c r="A1126" s="2" t="s">
        <v>5002</v>
      </c>
      <c r="B1126" s="3" t="str">
        <f t="shared" si="59"/>
        <v>pnaseman@nortonhealthcare.com</v>
      </c>
      <c r="C1126" s="3">
        <f t="shared" si="60"/>
        <v>1</v>
      </c>
      <c r="D1126" s="2" t="s">
        <v>5007</v>
      </c>
      <c r="E1126" s="2" t="s">
        <v>564</v>
      </c>
      <c r="F1126" s="2" t="s">
        <v>5008</v>
      </c>
      <c r="I1126" s="2" t="s">
        <v>5009</v>
      </c>
      <c r="L1126" s="2" t="s">
        <v>5010</v>
      </c>
      <c r="M1126" s="2" t="s">
        <v>22</v>
      </c>
    </row>
    <row r="1127" spans="1:16" ht="15" x14ac:dyDescent="0.2">
      <c r="A1127" s="2" t="s">
        <v>5002</v>
      </c>
      <c r="B1127" s="3" t="str">
        <f t="shared" si="59"/>
        <v>ppaez@nortonhealthcare.com</v>
      </c>
      <c r="C1127" s="3">
        <f t="shared" si="60"/>
        <v>1</v>
      </c>
      <c r="D1127" s="2" t="s">
        <v>5011</v>
      </c>
      <c r="E1127" s="2" t="s">
        <v>24</v>
      </c>
      <c r="F1127" s="2" t="s">
        <v>5012</v>
      </c>
      <c r="I1127" s="2" t="s">
        <v>5013</v>
      </c>
      <c r="L1127" s="2" t="s">
        <v>248</v>
      </c>
      <c r="M1127" s="2" t="s">
        <v>22</v>
      </c>
    </row>
    <row r="1128" spans="1:16" ht="15" x14ac:dyDescent="0.2">
      <c r="A1128" s="2" t="s">
        <v>5002</v>
      </c>
      <c r="B1128" s="3" t="str">
        <f t="shared" si="59"/>
        <v>pabboud@nortonhealthcare.com</v>
      </c>
      <c r="C1128" s="3">
        <f t="shared" si="60"/>
        <v>1</v>
      </c>
      <c r="D1128" s="2" t="s">
        <v>5014</v>
      </c>
      <c r="E1128" s="2" t="s">
        <v>526</v>
      </c>
      <c r="F1128" s="2" t="s">
        <v>5015</v>
      </c>
      <c r="I1128" s="2" t="s">
        <v>5016</v>
      </c>
      <c r="L1128" s="2" t="s">
        <v>309</v>
      </c>
      <c r="M1128" s="2" t="s">
        <v>22</v>
      </c>
    </row>
    <row r="1129" spans="1:16" ht="15" x14ac:dyDescent="0.2">
      <c r="A1129" s="2" t="s">
        <v>5002</v>
      </c>
      <c r="B1129" s="3" t="str">
        <f t="shared" si="59"/>
        <v>jmiller@nortonhealthcare.com</v>
      </c>
      <c r="C1129" s="3">
        <f t="shared" si="60"/>
        <v>1</v>
      </c>
      <c r="D1129" s="2" t="s">
        <v>5017</v>
      </c>
      <c r="E1129" s="2" t="s">
        <v>5018</v>
      </c>
      <c r="F1129" s="2" t="s">
        <v>712</v>
      </c>
      <c r="I1129" s="2" t="s">
        <v>5019</v>
      </c>
      <c r="L1129" s="2" t="s">
        <v>5020</v>
      </c>
      <c r="M1129" s="2" t="s">
        <v>22</v>
      </c>
    </row>
    <row r="1130" spans="1:16" ht="15" x14ac:dyDescent="0.2">
      <c r="A1130" s="2" t="s">
        <v>5002</v>
      </c>
      <c r="B1130" s="3" t="str">
        <f t="shared" si="59"/>
        <v>msmith@nortonhealthcare.com</v>
      </c>
      <c r="C1130" s="3">
        <f t="shared" si="60"/>
        <v>1</v>
      </c>
      <c r="D1130" s="2" t="s">
        <v>5021</v>
      </c>
      <c r="E1130" s="2" t="s">
        <v>192</v>
      </c>
      <c r="F1130" s="2" t="s">
        <v>1420</v>
      </c>
      <c r="I1130" s="2" t="s">
        <v>5022</v>
      </c>
      <c r="L1130" s="2" t="s">
        <v>309</v>
      </c>
      <c r="M1130" s="2" t="s">
        <v>22</v>
      </c>
    </row>
    <row r="1131" spans="1:16" ht="13" x14ac:dyDescent="0.15">
      <c r="A1131" s="4" t="s">
        <v>5023</v>
      </c>
      <c r="B1131" s="3" t="str">
        <f t="shared" si="59"/>
        <v>Yes</v>
      </c>
      <c r="C1131" s="3">
        <f t="shared" si="60"/>
        <v>446</v>
      </c>
      <c r="D1131" s="5">
        <v>715</v>
      </c>
      <c r="E1131" s="4" t="s">
        <v>5024</v>
      </c>
      <c r="F1131" s="4" t="s">
        <v>5025</v>
      </c>
      <c r="G1131" s="4"/>
      <c r="H1131" s="4" t="s">
        <v>34</v>
      </c>
      <c r="I1131" s="4" t="s">
        <v>5026</v>
      </c>
      <c r="J1131" s="6" t="s">
        <v>5027</v>
      </c>
      <c r="K1131" s="4"/>
      <c r="L1131" s="4" t="s">
        <v>3408</v>
      </c>
      <c r="M1131" s="4" t="s">
        <v>38</v>
      </c>
      <c r="N1131" s="4"/>
      <c r="O1131" s="4"/>
      <c r="P1131" s="4" t="str">
        <f t="shared" ref="P1131:P1138" si="63">IF(OR(M1131="Customer", M1131="Opportunity", H1131="Yes", H1131=TRUE, G1131="Yes", G1131=TRUE, O1131&gt;0), "YES", "NO")</f>
        <v>YES</v>
      </c>
    </row>
    <row r="1132" spans="1:16" ht="13" x14ac:dyDescent="0.15">
      <c r="A1132" s="4" t="s">
        <v>5028</v>
      </c>
      <c r="B1132" s="3" t="str">
        <f t="shared" si="59"/>
        <v>Yes</v>
      </c>
      <c r="C1132" s="3">
        <f t="shared" si="60"/>
        <v>446</v>
      </c>
      <c r="D1132" s="5">
        <v>11514429087</v>
      </c>
      <c r="E1132" s="4" t="s">
        <v>5029</v>
      </c>
      <c r="F1132" s="4" t="s">
        <v>5030</v>
      </c>
      <c r="G1132" s="4"/>
      <c r="H1132" s="4" t="s">
        <v>34</v>
      </c>
      <c r="I1132" s="4" t="s">
        <v>5031</v>
      </c>
      <c r="J1132" s="6" t="s">
        <v>5032</v>
      </c>
      <c r="K1132" s="4"/>
      <c r="L1132" s="4" t="s">
        <v>5033</v>
      </c>
      <c r="M1132" s="4" t="s">
        <v>38</v>
      </c>
      <c r="N1132" s="4"/>
      <c r="O1132" s="4"/>
      <c r="P1132" s="4" t="str">
        <f t="shared" si="63"/>
        <v>YES</v>
      </c>
    </row>
    <row r="1133" spans="1:16" ht="13" x14ac:dyDescent="0.15">
      <c r="A1133" s="4" t="s">
        <v>5034</v>
      </c>
      <c r="B1133" s="3" t="str">
        <f t="shared" si="59"/>
        <v>Yes</v>
      </c>
      <c r="C1133" s="3">
        <f t="shared" si="60"/>
        <v>446</v>
      </c>
      <c r="D1133" s="5">
        <v>11512202059</v>
      </c>
      <c r="E1133" s="4" t="s">
        <v>5035</v>
      </c>
      <c r="F1133" s="4" t="s">
        <v>5036</v>
      </c>
      <c r="G1133" s="4"/>
      <c r="H1133" s="4" t="s">
        <v>34</v>
      </c>
      <c r="I1133" s="4" t="s">
        <v>5037</v>
      </c>
      <c r="J1133" s="6" t="s">
        <v>5038</v>
      </c>
      <c r="K1133" s="4"/>
      <c r="L1133" s="4" t="s">
        <v>5039</v>
      </c>
      <c r="M1133" s="4" t="s">
        <v>38</v>
      </c>
      <c r="N1133" s="4"/>
      <c r="O1133" s="4"/>
      <c r="P1133" s="4" t="str">
        <f t="shared" si="63"/>
        <v>YES</v>
      </c>
    </row>
    <row r="1134" spans="1:16" ht="13" x14ac:dyDescent="0.15">
      <c r="A1134" s="4" t="s">
        <v>5040</v>
      </c>
      <c r="B1134" s="3" t="str">
        <f t="shared" si="59"/>
        <v>nshah@nurixtx.com</v>
      </c>
      <c r="C1134" s="3">
        <f t="shared" si="60"/>
        <v>1</v>
      </c>
      <c r="D1134" s="5">
        <v>25011151891</v>
      </c>
      <c r="E1134" s="4" t="s">
        <v>5041</v>
      </c>
      <c r="F1134" s="4" t="s">
        <v>4804</v>
      </c>
      <c r="G1134" s="4" t="s">
        <v>34</v>
      </c>
      <c r="H1134" s="4"/>
      <c r="I1134" s="4" t="s">
        <v>5042</v>
      </c>
      <c r="J1134" s="6" t="s">
        <v>5043</v>
      </c>
      <c r="K1134" s="4"/>
      <c r="L1134" s="4" t="s">
        <v>681</v>
      </c>
      <c r="M1134" s="4"/>
      <c r="N1134" s="4"/>
      <c r="O1134" s="4"/>
      <c r="P1134" s="4" t="str">
        <f t="shared" si="63"/>
        <v>YES</v>
      </c>
    </row>
    <row r="1135" spans="1:16" ht="13" x14ac:dyDescent="0.15">
      <c r="A1135" s="4" t="s">
        <v>5044</v>
      </c>
      <c r="B1135" s="3" t="str">
        <f t="shared" si="59"/>
        <v>Yes</v>
      </c>
      <c r="C1135" s="3">
        <f t="shared" si="60"/>
        <v>446</v>
      </c>
      <c r="D1135" s="5">
        <v>1508</v>
      </c>
      <c r="E1135" s="4" t="s">
        <v>5045</v>
      </c>
      <c r="F1135" s="4" t="s">
        <v>5046</v>
      </c>
      <c r="G1135" s="4"/>
      <c r="H1135" s="4" t="s">
        <v>34</v>
      </c>
      <c r="I1135" s="4" t="s">
        <v>5047</v>
      </c>
      <c r="J1135" s="6" t="s">
        <v>5048</v>
      </c>
      <c r="K1135" s="4"/>
      <c r="L1135" s="4" t="s">
        <v>5049</v>
      </c>
      <c r="M1135" s="4" t="s">
        <v>38</v>
      </c>
      <c r="N1135" s="4"/>
      <c r="O1135" s="4"/>
      <c r="P1135" s="4" t="str">
        <f t="shared" si="63"/>
        <v>YES</v>
      </c>
    </row>
    <row r="1136" spans="1:16" ht="13" x14ac:dyDescent="0.15">
      <c r="A1136" s="4" t="s">
        <v>5050</v>
      </c>
      <c r="B1136" s="3" t="str">
        <f t="shared" si="59"/>
        <v>Yes</v>
      </c>
      <c r="C1136" s="3">
        <f t="shared" si="60"/>
        <v>446</v>
      </c>
      <c r="D1136" s="5">
        <v>11510870829</v>
      </c>
      <c r="E1136" s="4" t="s">
        <v>5051</v>
      </c>
      <c r="F1136" s="4" t="s">
        <v>5052</v>
      </c>
      <c r="G1136" s="4"/>
      <c r="H1136" s="4" t="s">
        <v>34</v>
      </c>
      <c r="I1136" s="4" t="s">
        <v>5053</v>
      </c>
      <c r="J1136" s="6" t="s">
        <v>5054</v>
      </c>
      <c r="K1136" s="4"/>
      <c r="L1136" s="4" t="s">
        <v>5055</v>
      </c>
      <c r="M1136" s="4" t="s">
        <v>38</v>
      </c>
      <c r="N1136" s="4"/>
      <c r="O1136" s="4"/>
      <c r="P1136" s="4" t="str">
        <f t="shared" si="63"/>
        <v>YES</v>
      </c>
    </row>
    <row r="1137" spans="1:16" ht="13" x14ac:dyDescent="0.15">
      <c r="A1137" s="4" t="s">
        <v>5050</v>
      </c>
      <c r="B1137" s="3" t="str">
        <f t="shared" si="59"/>
        <v>Yes</v>
      </c>
      <c r="C1137" s="3">
        <f t="shared" si="60"/>
        <v>446</v>
      </c>
      <c r="D1137" s="5">
        <v>1907</v>
      </c>
      <c r="E1137" s="4" t="s">
        <v>5056</v>
      </c>
      <c r="F1137" s="4" t="s">
        <v>5057</v>
      </c>
      <c r="G1137" s="4"/>
      <c r="H1137" s="4" t="s">
        <v>34</v>
      </c>
      <c r="I1137" s="4" t="s">
        <v>5058</v>
      </c>
      <c r="J1137" s="6" t="s">
        <v>5054</v>
      </c>
      <c r="K1137" s="4"/>
      <c r="L1137" s="4" t="s">
        <v>1429</v>
      </c>
      <c r="M1137" s="4" t="s">
        <v>38</v>
      </c>
      <c r="N1137" s="4"/>
      <c r="O1137" s="4"/>
      <c r="P1137" s="4" t="str">
        <f t="shared" si="63"/>
        <v>YES</v>
      </c>
    </row>
    <row r="1138" spans="1:16" ht="13" x14ac:dyDescent="0.15">
      <c r="A1138" s="4" t="s">
        <v>5050</v>
      </c>
      <c r="B1138" s="3" t="str">
        <f t="shared" si="59"/>
        <v>Yes</v>
      </c>
      <c r="C1138" s="3">
        <f t="shared" si="60"/>
        <v>446</v>
      </c>
      <c r="D1138" s="5">
        <v>1753</v>
      </c>
      <c r="E1138" s="4" t="s">
        <v>1601</v>
      </c>
      <c r="F1138" s="4" t="s">
        <v>5059</v>
      </c>
      <c r="G1138" s="4"/>
      <c r="H1138" s="4" t="s">
        <v>34</v>
      </c>
      <c r="I1138" s="4" t="s">
        <v>5060</v>
      </c>
      <c r="J1138" s="6" t="s">
        <v>5054</v>
      </c>
      <c r="K1138" s="4"/>
      <c r="L1138" s="4" t="s">
        <v>2067</v>
      </c>
      <c r="M1138" s="4" t="s">
        <v>38</v>
      </c>
      <c r="N1138" s="4"/>
      <c r="O1138" s="4"/>
      <c r="P1138" s="4" t="str">
        <f t="shared" si="63"/>
        <v>YES</v>
      </c>
    </row>
    <row r="1139" spans="1:16" ht="15" x14ac:dyDescent="0.2">
      <c r="A1139" s="2" t="s">
        <v>5061</v>
      </c>
      <c r="B1139" s="3" t="str">
        <f t="shared" si="59"/>
        <v>jnoteware@oceanshealthcare.com</v>
      </c>
      <c r="C1139" s="3">
        <f t="shared" si="60"/>
        <v>1</v>
      </c>
      <c r="D1139" s="2" t="s">
        <v>5062</v>
      </c>
      <c r="E1139" s="2" t="s">
        <v>139</v>
      </c>
      <c r="F1139" s="2" t="s">
        <v>5063</v>
      </c>
      <c r="I1139" s="2" t="s">
        <v>5064</v>
      </c>
      <c r="L1139" s="2" t="s">
        <v>5065</v>
      </c>
      <c r="M1139" s="2" t="s">
        <v>45</v>
      </c>
    </row>
    <row r="1140" spans="1:16" ht="15" x14ac:dyDescent="0.2">
      <c r="A1140" s="2" t="s">
        <v>5066</v>
      </c>
      <c r="B1140" s="3" t="str">
        <f t="shared" si="59"/>
        <v>sjohnson@olympicmedical.org</v>
      </c>
      <c r="C1140" s="3">
        <f t="shared" si="60"/>
        <v>1</v>
      </c>
      <c r="D1140" s="2" t="s">
        <v>5067</v>
      </c>
      <c r="E1140" s="2" t="s">
        <v>2318</v>
      </c>
      <c r="F1140" s="2" t="s">
        <v>188</v>
      </c>
      <c r="I1140" s="2" t="s">
        <v>5068</v>
      </c>
      <c r="L1140" s="2" t="s">
        <v>5069</v>
      </c>
      <c r="M1140" s="2" t="s">
        <v>45</v>
      </c>
    </row>
    <row r="1141" spans="1:16" ht="13" x14ac:dyDescent="0.15">
      <c r="A1141" s="4" t="s">
        <v>5070</v>
      </c>
      <c r="B1141" s="3" t="str">
        <f t="shared" si="59"/>
        <v>Yes</v>
      </c>
      <c r="C1141" s="3">
        <f t="shared" si="60"/>
        <v>446</v>
      </c>
      <c r="D1141" s="5">
        <v>11515400822</v>
      </c>
      <c r="E1141" s="4" t="s">
        <v>5071</v>
      </c>
      <c r="F1141" s="4" t="s">
        <v>5072</v>
      </c>
      <c r="G1141" s="4"/>
      <c r="H1141" s="4" t="s">
        <v>34</v>
      </c>
      <c r="I1141" s="4" t="s">
        <v>5073</v>
      </c>
      <c r="J1141" s="6" t="s">
        <v>5074</v>
      </c>
      <c r="K1141" s="4"/>
      <c r="L1141" s="4" t="s">
        <v>771</v>
      </c>
      <c r="M1141" s="4" t="s">
        <v>38</v>
      </c>
      <c r="N1141" s="4"/>
      <c r="O1141" s="4"/>
      <c r="P1141" s="4" t="str">
        <f>IF(OR(M1141="Customer", M1141="Opportunity", H1141="Yes", H1141=TRUE, G1141="Yes", G1141=TRUE, O1141&gt;0), "YES", "NO")</f>
        <v>YES</v>
      </c>
    </row>
    <row r="1142" spans="1:16" ht="13" x14ac:dyDescent="0.15">
      <c r="A1142" s="4" t="s">
        <v>5070</v>
      </c>
      <c r="B1142" s="3" t="str">
        <f t="shared" si="59"/>
        <v>Yes</v>
      </c>
      <c r="C1142" s="3">
        <f t="shared" si="60"/>
        <v>446</v>
      </c>
      <c r="D1142" s="5">
        <v>1103</v>
      </c>
      <c r="E1142" s="4" t="s">
        <v>5075</v>
      </c>
      <c r="F1142" s="4" t="s">
        <v>5076</v>
      </c>
      <c r="G1142" s="4"/>
      <c r="H1142" s="4" t="s">
        <v>34</v>
      </c>
      <c r="I1142" s="4" t="s">
        <v>5077</v>
      </c>
      <c r="J1142" s="6" t="s">
        <v>5074</v>
      </c>
      <c r="K1142" s="4"/>
      <c r="L1142" s="4" t="s">
        <v>5078</v>
      </c>
      <c r="M1142" s="4" t="s">
        <v>38</v>
      </c>
      <c r="N1142" s="4"/>
      <c r="O1142" s="4"/>
      <c r="P1142" s="4" t="str">
        <f>IF(OR(M1142="Customer", M1142="Opportunity", H1142="Yes", H1142=TRUE, G1142="Yes", G1142=TRUE, O1142&gt;0), "YES", "NO")</f>
        <v>YES</v>
      </c>
    </row>
    <row r="1143" spans="1:16" ht="15" x14ac:dyDescent="0.2">
      <c r="A1143" s="2" t="s">
        <v>5079</v>
      </c>
      <c r="B1143" s="3" t="str">
        <f t="shared" si="59"/>
        <v>sherri@olympusamerica.com</v>
      </c>
      <c r="C1143" s="3">
        <f t="shared" si="60"/>
        <v>1</v>
      </c>
      <c r="D1143" s="2" t="s">
        <v>5080</v>
      </c>
      <c r="E1143" s="2" t="s">
        <v>5081</v>
      </c>
      <c r="F1143" s="2" t="s">
        <v>5082</v>
      </c>
      <c r="I1143" s="2" t="s">
        <v>5083</v>
      </c>
      <c r="L1143" s="2" t="s">
        <v>5084</v>
      </c>
      <c r="M1143" s="2" t="s">
        <v>45</v>
      </c>
    </row>
    <row r="1144" spans="1:16" ht="13" x14ac:dyDescent="0.15">
      <c r="A1144" s="4" t="s">
        <v>5085</v>
      </c>
      <c r="B1144" s="3" t="str">
        <f t="shared" si="59"/>
        <v>Yes</v>
      </c>
      <c r="C1144" s="3">
        <f t="shared" si="60"/>
        <v>446</v>
      </c>
      <c r="D1144" s="5">
        <v>11516590851</v>
      </c>
      <c r="E1144" s="4" t="s">
        <v>5086</v>
      </c>
      <c r="F1144" s="4" t="s">
        <v>427</v>
      </c>
      <c r="G1144" s="4"/>
      <c r="H1144" s="4" t="s">
        <v>34</v>
      </c>
      <c r="I1144" s="4" t="s">
        <v>5087</v>
      </c>
      <c r="J1144" s="6" t="s">
        <v>5074</v>
      </c>
      <c r="K1144" s="4"/>
      <c r="L1144" s="4" t="s">
        <v>5088</v>
      </c>
      <c r="M1144" s="4" t="s">
        <v>38</v>
      </c>
      <c r="N1144" s="4"/>
      <c r="O1144" s="4"/>
      <c r="P1144" s="4" t="str">
        <f>IF(OR(M1144="Customer", M1144="Opportunity", H1144="Yes", H1144=TRUE, G1144="Yes", G1144=TRUE, O1144&gt;0), "YES", "NO")</f>
        <v>YES</v>
      </c>
    </row>
    <row r="1145" spans="1:16" ht="13" x14ac:dyDescent="0.15">
      <c r="A1145" s="4" t="s">
        <v>5089</v>
      </c>
      <c r="B1145" s="3" t="str">
        <f t="shared" si="59"/>
        <v>Yes</v>
      </c>
      <c r="C1145" s="3">
        <f t="shared" si="60"/>
        <v>446</v>
      </c>
      <c r="D1145" s="5">
        <v>11514176038</v>
      </c>
      <c r="E1145" s="4" t="s">
        <v>5090</v>
      </c>
      <c r="F1145" s="4" t="s">
        <v>3505</v>
      </c>
      <c r="G1145" s="4"/>
      <c r="H1145" s="4" t="s">
        <v>34</v>
      </c>
      <c r="I1145" s="4" t="s">
        <v>5091</v>
      </c>
      <c r="J1145" s="6" t="s">
        <v>5092</v>
      </c>
      <c r="K1145" s="4"/>
      <c r="L1145" s="4" t="s">
        <v>5093</v>
      </c>
      <c r="M1145" s="4" t="s">
        <v>38</v>
      </c>
      <c r="N1145" s="4"/>
      <c r="O1145" s="4"/>
      <c r="P1145" s="4" t="str">
        <f>IF(OR(M1145="Customer", M1145="Opportunity", H1145="Yes", H1145=TRUE, G1145="Yes", G1145=TRUE, O1145&gt;0), "YES", "NO")</f>
        <v>YES</v>
      </c>
    </row>
    <row r="1146" spans="1:16" ht="15" x14ac:dyDescent="0.2">
      <c r="A1146" s="2" t="s">
        <v>5094</v>
      </c>
      <c r="B1146" s="3" t="str">
        <f t="shared" si="59"/>
        <v>jchoi@onemedical.com</v>
      </c>
      <c r="C1146" s="3">
        <f t="shared" si="60"/>
        <v>1</v>
      </c>
      <c r="D1146" s="2" t="s">
        <v>5095</v>
      </c>
      <c r="E1146" s="2" t="s">
        <v>5096</v>
      </c>
      <c r="F1146" s="2" t="s">
        <v>5097</v>
      </c>
      <c r="I1146" s="2" t="s">
        <v>5098</v>
      </c>
      <c r="L1146" s="2" t="s">
        <v>5099</v>
      </c>
      <c r="M1146" s="2" t="s">
        <v>22</v>
      </c>
    </row>
    <row r="1147" spans="1:16" ht="15" x14ac:dyDescent="0.2">
      <c r="A1147" s="2" t="s">
        <v>5094</v>
      </c>
      <c r="B1147" s="3" t="str">
        <f t="shared" si="59"/>
        <v>afilani@onemedical.com</v>
      </c>
      <c r="C1147" s="3">
        <f t="shared" si="60"/>
        <v>1</v>
      </c>
      <c r="D1147" s="2" t="s">
        <v>5100</v>
      </c>
      <c r="E1147" s="2" t="s">
        <v>5101</v>
      </c>
      <c r="F1147" s="2" t="s">
        <v>5102</v>
      </c>
      <c r="I1147" s="2" t="s">
        <v>5103</v>
      </c>
      <c r="L1147" s="2" t="s">
        <v>1790</v>
      </c>
      <c r="M1147" s="2" t="s">
        <v>45</v>
      </c>
    </row>
    <row r="1148" spans="1:16" ht="15" x14ac:dyDescent="0.2">
      <c r="A1148" s="2" t="s">
        <v>5094</v>
      </c>
      <c r="B1148" s="3" t="str">
        <f t="shared" si="59"/>
        <v>rdavid@onemedical.com</v>
      </c>
      <c r="C1148" s="3">
        <f t="shared" si="60"/>
        <v>1</v>
      </c>
      <c r="D1148" s="2" t="s">
        <v>5104</v>
      </c>
      <c r="E1148" s="2" t="s">
        <v>5105</v>
      </c>
      <c r="F1148" s="2" t="s">
        <v>119</v>
      </c>
      <c r="I1148" s="2" t="s">
        <v>5106</v>
      </c>
      <c r="L1148" s="2" t="s">
        <v>4796</v>
      </c>
      <c r="M1148" s="2" t="s">
        <v>45</v>
      </c>
    </row>
    <row r="1149" spans="1:16" ht="13" x14ac:dyDescent="0.15">
      <c r="A1149" s="4" t="s">
        <v>5107</v>
      </c>
      <c r="B1149" s="3" t="str">
        <f t="shared" si="59"/>
        <v>Yes</v>
      </c>
      <c r="C1149" s="3">
        <f t="shared" si="60"/>
        <v>446</v>
      </c>
      <c r="D1149" s="5">
        <v>11514947195</v>
      </c>
      <c r="E1149" s="4" t="s">
        <v>5108</v>
      </c>
      <c r="F1149" s="4" t="s">
        <v>5109</v>
      </c>
      <c r="G1149" s="4"/>
      <c r="H1149" s="4" t="s">
        <v>34</v>
      </c>
      <c r="I1149" s="4" t="s">
        <v>5110</v>
      </c>
      <c r="J1149" s="6" t="s">
        <v>5111</v>
      </c>
      <c r="K1149" s="4"/>
      <c r="L1149" s="4" t="s">
        <v>5112</v>
      </c>
      <c r="M1149" s="4" t="s">
        <v>38</v>
      </c>
      <c r="N1149" s="4"/>
      <c r="O1149" s="4"/>
      <c r="P1149" s="4" t="str">
        <f t="shared" ref="P1149:P1157" si="64">IF(OR(M1149="Customer", M1149="Opportunity", H1149="Yes", H1149=TRUE, G1149="Yes", G1149=TRUE, O1149&gt;0), "YES", "NO")</f>
        <v>YES</v>
      </c>
    </row>
    <row r="1150" spans="1:16" ht="13" x14ac:dyDescent="0.15">
      <c r="A1150" s="4" t="s">
        <v>5113</v>
      </c>
      <c r="B1150" s="3" t="str">
        <f t="shared" si="59"/>
        <v>Yes</v>
      </c>
      <c r="C1150" s="3">
        <f t="shared" si="60"/>
        <v>446</v>
      </c>
      <c r="D1150" s="5">
        <v>11514643523</v>
      </c>
      <c r="E1150" s="4" t="s">
        <v>3278</v>
      </c>
      <c r="F1150" s="4" t="s">
        <v>5114</v>
      </c>
      <c r="G1150" s="4"/>
      <c r="H1150" s="4" t="s">
        <v>34</v>
      </c>
      <c r="I1150" s="4" t="s">
        <v>5115</v>
      </c>
      <c r="J1150" s="6" t="s">
        <v>5116</v>
      </c>
      <c r="K1150" s="4"/>
      <c r="L1150" s="4" t="s">
        <v>777</v>
      </c>
      <c r="M1150" s="4" t="s">
        <v>38</v>
      </c>
      <c r="N1150" s="4"/>
      <c r="O1150" s="4"/>
      <c r="P1150" s="4" t="str">
        <f t="shared" si="64"/>
        <v>YES</v>
      </c>
    </row>
    <row r="1151" spans="1:16" ht="13" x14ac:dyDescent="0.15">
      <c r="A1151" s="4" t="s">
        <v>5113</v>
      </c>
      <c r="B1151" s="3" t="str">
        <f t="shared" si="59"/>
        <v>Yes</v>
      </c>
      <c r="C1151" s="3">
        <f t="shared" si="60"/>
        <v>446</v>
      </c>
      <c r="D1151" s="5">
        <v>4259</v>
      </c>
      <c r="E1151" s="4" t="s">
        <v>5117</v>
      </c>
      <c r="F1151" s="4" t="s">
        <v>2804</v>
      </c>
      <c r="G1151" s="4"/>
      <c r="H1151" s="4" t="s">
        <v>34</v>
      </c>
      <c r="I1151" s="4" t="s">
        <v>5118</v>
      </c>
      <c r="J1151" s="6" t="s">
        <v>5119</v>
      </c>
      <c r="K1151" s="4"/>
      <c r="L1151" s="4" t="s">
        <v>5120</v>
      </c>
      <c r="M1151" s="4" t="s">
        <v>38</v>
      </c>
      <c r="N1151" s="4"/>
      <c r="O1151" s="4"/>
      <c r="P1151" s="4" t="str">
        <f t="shared" si="64"/>
        <v>YES</v>
      </c>
    </row>
    <row r="1152" spans="1:16" ht="13" x14ac:dyDescent="0.15">
      <c r="A1152" s="4" t="s">
        <v>5121</v>
      </c>
      <c r="B1152" s="3" t="str">
        <f t="shared" si="59"/>
        <v>janet.scott@organon.com</v>
      </c>
      <c r="C1152" s="3">
        <f t="shared" si="60"/>
        <v>1</v>
      </c>
      <c r="D1152" s="5">
        <v>25021798173</v>
      </c>
      <c r="E1152" s="4" t="s">
        <v>3792</v>
      </c>
      <c r="F1152" s="4" t="s">
        <v>794</v>
      </c>
      <c r="G1152" s="4" t="s">
        <v>34</v>
      </c>
      <c r="H1152" s="4"/>
      <c r="I1152" s="4" t="s">
        <v>5122</v>
      </c>
      <c r="J1152" s="6" t="s">
        <v>5123</v>
      </c>
      <c r="K1152" s="4"/>
      <c r="L1152" s="4" t="s">
        <v>5124</v>
      </c>
      <c r="M1152" s="4"/>
      <c r="N1152" s="4"/>
      <c r="O1152" s="4"/>
      <c r="P1152" s="4" t="str">
        <f t="shared" si="64"/>
        <v>YES</v>
      </c>
    </row>
    <row r="1153" spans="1:16" ht="13" x14ac:dyDescent="0.15">
      <c r="A1153" s="4" t="s">
        <v>5125</v>
      </c>
      <c r="B1153" s="3" t="str">
        <f t="shared" si="59"/>
        <v>babar.shamshad@orlandohealth.com</v>
      </c>
      <c r="C1153" s="3">
        <f t="shared" si="60"/>
        <v>1</v>
      </c>
      <c r="D1153" s="5">
        <v>25006767179</v>
      </c>
      <c r="E1153" s="4" t="s">
        <v>5126</v>
      </c>
      <c r="F1153" s="4" t="s">
        <v>5127</v>
      </c>
      <c r="G1153" s="4" t="s">
        <v>34</v>
      </c>
      <c r="H1153" s="4"/>
      <c r="I1153" s="4" t="s">
        <v>5128</v>
      </c>
      <c r="J1153" s="6" t="s">
        <v>5129</v>
      </c>
      <c r="K1153" s="4"/>
      <c r="L1153" s="4" t="s">
        <v>5130</v>
      </c>
      <c r="M1153" s="4"/>
      <c r="N1153" s="4"/>
      <c r="O1153" s="4"/>
      <c r="P1153" s="4" t="str">
        <f t="shared" si="64"/>
        <v>YES</v>
      </c>
    </row>
    <row r="1154" spans="1:16" ht="13" x14ac:dyDescent="0.15">
      <c r="A1154" s="4" t="s">
        <v>5131</v>
      </c>
      <c r="B1154" s="3" t="str">
        <f t="shared" ref="B1154:B1217" si="65">IF(H1154&lt;&gt;"",H1154,I1154)</f>
        <v>Yes</v>
      </c>
      <c r="C1154" s="3">
        <f t="shared" ref="C1154:C1217" si="66">COUNTIF($B$2:$B$1586,B1154)</f>
        <v>446</v>
      </c>
      <c r="D1154" s="5">
        <v>11491769683</v>
      </c>
      <c r="E1154" s="4" t="s">
        <v>5132</v>
      </c>
      <c r="F1154" s="4" t="s">
        <v>5133</v>
      </c>
      <c r="G1154" s="4"/>
      <c r="H1154" s="4" t="s">
        <v>34</v>
      </c>
      <c r="I1154" s="4" t="s">
        <v>5134</v>
      </c>
      <c r="J1154" s="6" t="s">
        <v>5135</v>
      </c>
      <c r="K1154" s="4"/>
      <c r="L1154" s="4" t="s">
        <v>5136</v>
      </c>
      <c r="M1154" s="4" t="s">
        <v>38</v>
      </c>
      <c r="N1154" s="4"/>
      <c r="O1154" s="4"/>
      <c r="P1154" s="4" t="str">
        <f t="shared" si="64"/>
        <v>YES</v>
      </c>
    </row>
    <row r="1155" spans="1:16" ht="13" x14ac:dyDescent="0.15">
      <c r="A1155" s="4" t="s">
        <v>5131</v>
      </c>
      <c r="B1155" s="3" t="str">
        <f t="shared" si="65"/>
        <v>Yes</v>
      </c>
      <c r="C1155" s="3">
        <f t="shared" si="66"/>
        <v>446</v>
      </c>
      <c r="D1155" s="5">
        <v>11515568277</v>
      </c>
      <c r="E1155" s="4" t="s">
        <v>5137</v>
      </c>
      <c r="F1155" s="4" t="s">
        <v>5138</v>
      </c>
      <c r="G1155" s="4"/>
      <c r="H1155" s="4" t="s">
        <v>34</v>
      </c>
      <c r="I1155" s="4" t="s">
        <v>5139</v>
      </c>
      <c r="J1155" s="6" t="s">
        <v>5135</v>
      </c>
      <c r="K1155" s="4"/>
      <c r="L1155" s="4" t="s">
        <v>5140</v>
      </c>
      <c r="M1155" s="4" t="s">
        <v>38</v>
      </c>
      <c r="N1155" s="4"/>
      <c r="O1155" s="4"/>
      <c r="P1155" s="4" t="str">
        <f t="shared" si="64"/>
        <v>YES</v>
      </c>
    </row>
    <row r="1156" spans="1:16" ht="13" x14ac:dyDescent="0.15">
      <c r="A1156" s="4" t="s">
        <v>5141</v>
      </c>
      <c r="B1156" s="3" t="str">
        <f t="shared" si="65"/>
        <v>Yes</v>
      </c>
      <c r="C1156" s="3">
        <f t="shared" si="66"/>
        <v>446</v>
      </c>
      <c r="D1156" s="5">
        <v>6451</v>
      </c>
      <c r="E1156" s="4" t="s">
        <v>564</v>
      </c>
      <c r="F1156" s="4" t="s">
        <v>5142</v>
      </c>
      <c r="G1156" s="4"/>
      <c r="H1156" s="4" t="s">
        <v>34</v>
      </c>
      <c r="I1156" s="4" t="s">
        <v>5143</v>
      </c>
      <c r="J1156" s="6" t="s">
        <v>5144</v>
      </c>
      <c r="K1156" s="4"/>
      <c r="L1156" s="4" t="s">
        <v>5145</v>
      </c>
      <c r="M1156" s="4" t="s">
        <v>30</v>
      </c>
      <c r="N1156" s="4"/>
      <c r="O1156" s="4"/>
      <c r="P1156" s="4" t="str">
        <f t="shared" si="64"/>
        <v>YES</v>
      </c>
    </row>
    <row r="1157" spans="1:16" ht="13" x14ac:dyDescent="0.15">
      <c r="A1157" s="4" t="s">
        <v>5146</v>
      </c>
      <c r="B1157" s="3" t="str">
        <f t="shared" si="65"/>
        <v>Yes</v>
      </c>
      <c r="C1157" s="3">
        <f t="shared" si="66"/>
        <v>446</v>
      </c>
      <c r="D1157" s="5">
        <v>707</v>
      </c>
      <c r="E1157" s="4" t="s">
        <v>5147</v>
      </c>
      <c r="F1157" s="4" t="s">
        <v>5148</v>
      </c>
      <c r="G1157" s="4"/>
      <c r="H1157" s="4" t="s">
        <v>34</v>
      </c>
      <c r="I1157" s="4" t="s">
        <v>5149</v>
      </c>
      <c r="J1157" s="6" t="s">
        <v>5144</v>
      </c>
      <c r="K1157" s="4"/>
      <c r="L1157" s="4" t="s">
        <v>5150</v>
      </c>
      <c r="M1157" s="4" t="s">
        <v>38</v>
      </c>
      <c r="N1157" s="4"/>
      <c r="O1157" s="4"/>
      <c r="P1157" s="4" t="str">
        <f t="shared" si="64"/>
        <v>YES</v>
      </c>
    </row>
    <row r="1158" spans="1:16" ht="15" x14ac:dyDescent="0.2">
      <c r="A1158" s="2" t="s">
        <v>5151</v>
      </c>
      <c r="B1158" s="3" t="str">
        <f t="shared" si="65"/>
        <v>andrew.timm@osfhealthcare.org</v>
      </c>
      <c r="C1158" s="3">
        <f t="shared" si="66"/>
        <v>1</v>
      </c>
      <c r="D1158" s="2" t="s">
        <v>5152</v>
      </c>
      <c r="E1158" s="2" t="s">
        <v>245</v>
      </c>
      <c r="F1158" s="2" t="s">
        <v>5153</v>
      </c>
      <c r="I1158" s="2" t="s">
        <v>5154</v>
      </c>
      <c r="L1158" s="2" t="s">
        <v>5155</v>
      </c>
      <c r="M1158" s="2" t="s">
        <v>45</v>
      </c>
    </row>
    <row r="1159" spans="1:16" ht="15" x14ac:dyDescent="0.2">
      <c r="A1159" s="2" t="s">
        <v>5151</v>
      </c>
      <c r="B1159" s="3" t="str">
        <f t="shared" si="65"/>
        <v>mckenzie.schroeder@osfhealthcare.org</v>
      </c>
      <c r="C1159" s="3">
        <f t="shared" si="66"/>
        <v>1</v>
      </c>
      <c r="D1159" s="2" t="s">
        <v>5156</v>
      </c>
      <c r="E1159" s="2" t="s">
        <v>5157</v>
      </c>
      <c r="F1159" s="2" t="s">
        <v>3082</v>
      </c>
      <c r="I1159" s="2" t="s">
        <v>5158</v>
      </c>
      <c r="L1159" s="2" t="s">
        <v>5159</v>
      </c>
      <c r="M1159" s="2" t="s">
        <v>45</v>
      </c>
    </row>
    <row r="1160" spans="1:16" ht="15" x14ac:dyDescent="0.2">
      <c r="A1160" s="2" t="s">
        <v>5151</v>
      </c>
      <c r="B1160" s="3" t="str">
        <f t="shared" si="65"/>
        <v>christopher.talcott@osfhealthcare.org</v>
      </c>
      <c r="C1160" s="3">
        <f t="shared" si="66"/>
        <v>1</v>
      </c>
      <c r="D1160" s="2" t="s">
        <v>5160</v>
      </c>
      <c r="E1160" s="2" t="s">
        <v>70</v>
      </c>
      <c r="F1160" s="2" t="s">
        <v>5161</v>
      </c>
      <c r="I1160" s="2" t="s">
        <v>5162</v>
      </c>
      <c r="L1160" s="2" t="s">
        <v>5163</v>
      </c>
      <c r="M1160" s="2" t="s">
        <v>45</v>
      </c>
    </row>
    <row r="1161" spans="1:16" ht="13" x14ac:dyDescent="0.15">
      <c r="A1161" s="4" t="s">
        <v>5164</v>
      </c>
      <c r="B1161" s="3" t="str">
        <f t="shared" si="65"/>
        <v>scott.stanton@hyh.com</v>
      </c>
      <c r="C1161" s="3">
        <f t="shared" si="66"/>
        <v>1</v>
      </c>
      <c r="D1161" s="5">
        <v>25006767187</v>
      </c>
      <c r="E1161" s="4" t="s">
        <v>794</v>
      </c>
      <c r="F1161" s="4" t="s">
        <v>5165</v>
      </c>
      <c r="G1161" s="4" t="s">
        <v>34</v>
      </c>
      <c r="H1161" s="4"/>
      <c r="I1161" s="4" t="s">
        <v>5166</v>
      </c>
      <c r="J1161" s="6" t="s">
        <v>5167</v>
      </c>
      <c r="K1161" s="4"/>
      <c r="L1161" s="4" t="s">
        <v>5168</v>
      </c>
      <c r="M1161" s="4"/>
      <c r="N1161" s="4"/>
      <c r="O1161" s="4"/>
      <c r="P1161" s="4" t="str">
        <f>IF(OR(M1161="Customer", M1161="Opportunity", H1161="Yes", H1161=TRUE, G1161="Yes", G1161=TRUE, O1161&gt;0), "YES", "NO")</f>
        <v>YES</v>
      </c>
    </row>
    <row r="1162" spans="1:16" ht="13" x14ac:dyDescent="0.15">
      <c r="A1162" s="4" t="s">
        <v>5164</v>
      </c>
      <c r="B1162" s="3" t="str">
        <f t="shared" si="65"/>
        <v>prateek.dixit@owens-minor.com</v>
      </c>
      <c r="C1162" s="3">
        <f t="shared" si="66"/>
        <v>1</v>
      </c>
      <c r="D1162" s="5">
        <v>25013427509</v>
      </c>
      <c r="E1162" s="4" t="s">
        <v>5169</v>
      </c>
      <c r="F1162" s="4" t="s">
        <v>5170</v>
      </c>
      <c r="G1162" s="4" t="s">
        <v>34</v>
      </c>
      <c r="H1162" s="4"/>
      <c r="I1162" s="4" t="s">
        <v>5171</v>
      </c>
      <c r="J1162" s="6" t="s">
        <v>5172</v>
      </c>
      <c r="K1162" s="4"/>
      <c r="L1162" s="4" t="s">
        <v>5173</v>
      </c>
      <c r="M1162" s="4"/>
      <c r="N1162" s="4"/>
      <c r="O1162" s="4"/>
      <c r="P1162" s="4" t="str">
        <f>IF(OR(M1162="Customer", M1162="Opportunity", H1162="Yes", H1162=TRUE, G1162="Yes", G1162=TRUE, O1162&gt;0), "YES", "NO")</f>
        <v>YES</v>
      </c>
    </row>
    <row r="1163" spans="1:16" ht="13" x14ac:dyDescent="0.15">
      <c r="A1163" s="4" t="s">
        <v>5174</v>
      </c>
      <c r="B1163" s="3" t="str">
        <f t="shared" si="65"/>
        <v>Yes</v>
      </c>
      <c r="C1163" s="3">
        <f t="shared" si="66"/>
        <v>446</v>
      </c>
      <c r="D1163" s="5">
        <v>11514678184</v>
      </c>
      <c r="E1163" s="4" t="s">
        <v>5175</v>
      </c>
      <c r="F1163" s="4" t="s">
        <v>5176</v>
      </c>
      <c r="G1163" s="4"/>
      <c r="H1163" s="4" t="s">
        <v>34</v>
      </c>
      <c r="I1163" s="4" t="s">
        <v>5177</v>
      </c>
      <c r="J1163" s="6" t="s">
        <v>5178</v>
      </c>
      <c r="K1163" s="4"/>
      <c r="L1163" s="4" t="s">
        <v>2067</v>
      </c>
      <c r="M1163" s="4" t="s">
        <v>38</v>
      </c>
      <c r="N1163" s="4"/>
      <c r="O1163" s="4"/>
      <c r="P1163" s="4" t="str">
        <f>IF(OR(M1163="Customer", M1163="Opportunity", H1163="Yes", H1163=TRUE, G1163="Yes", G1163=TRUE, O1163&gt;0), "YES", "NO")</f>
        <v>YES</v>
      </c>
    </row>
    <row r="1164" spans="1:16" ht="13" x14ac:dyDescent="0.15">
      <c r="A1164" s="4" t="s">
        <v>5174</v>
      </c>
      <c r="B1164" s="3" t="str">
        <f t="shared" si="65"/>
        <v>Yes</v>
      </c>
      <c r="C1164" s="3">
        <f t="shared" si="66"/>
        <v>446</v>
      </c>
      <c r="D1164" s="5">
        <v>1811</v>
      </c>
      <c r="E1164" s="4" t="s">
        <v>5179</v>
      </c>
      <c r="F1164" s="4" t="s">
        <v>5180</v>
      </c>
      <c r="G1164" s="4"/>
      <c r="H1164" s="4" t="s">
        <v>34</v>
      </c>
      <c r="I1164" s="4" t="s">
        <v>5181</v>
      </c>
      <c r="J1164" s="6" t="s">
        <v>5178</v>
      </c>
      <c r="K1164" s="4"/>
      <c r="L1164" s="4" t="s">
        <v>5140</v>
      </c>
      <c r="M1164" s="4" t="s">
        <v>38</v>
      </c>
      <c r="N1164" s="4"/>
      <c r="O1164" s="4"/>
      <c r="P1164" s="4" t="str">
        <f>IF(OR(M1164="Customer", M1164="Opportunity", H1164="Yes", H1164=TRUE, G1164="Yes", G1164=TRUE, O1164&gt;0), "YES", "NO")</f>
        <v>YES</v>
      </c>
    </row>
    <row r="1165" spans="1:16" ht="13" x14ac:dyDescent="0.15">
      <c r="A1165" s="4" t="s">
        <v>5182</v>
      </c>
      <c r="B1165" s="3" t="str">
        <f t="shared" si="65"/>
        <v>Yes</v>
      </c>
      <c r="C1165" s="3">
        <f t="shared" si="66"/>
        <v>446</v>
      </c>
      <c r="D1165" s="5">
        <v>1322</v>
      </c>
      <c r="E1165" s="4" t="s">
        <v>119</v>
      </c>
      <c r="F1165" s="4" t="s">
        <v>5183</v>
      </c>
      <c r="G1165" s="4"/>
      <c r="H1165" s="4" t="s">
        <v>34</v>
      </c>
      <c r="I1165" s="4" t="s">
        <v>5184</v>
      </c>
      <c r="J1165" s="6" t="s">
        <v>5185</v>
      </c>
      <c r="K1165" s="4"/>
      <c r="L1165" s="4" t="s">
        <v>5186</v>
      </c>
      <c r="M1165" s="4" t="s">
        <v>38</v>
      </c>
      <c r="N1165" s="4"/>
      <c r="O1165" s="4"/>
      <c r="P1165" s="4" t="str">
        <f>IF(OR(M1165="Customer", M1165="Opportunity", H1165="Yes", H1165=TRUE, G1165="Yes", G1165=TRUE, O1165&gt;0), "YES", "NO")</f>
        <v>YES</v>
      </c>
    </row>
    <row r="1166" spans="1:16" ht="15" x14ac:dyDescent="0.2">
      <c r="A1166" s="2" t="s">
        <v>5187</v>
      </c>
      <c r="B1166" s="3" t="str">
        <f t="shared" si="65"/>
        <v>dball@pagosaspringsmedicalcenter.org</v>
      </c>
      <c r="C1166" s="3">
        <f t="shared" si="66"/>
        <v>1</v>
      </c>
      <c r="D1166" s="2" t="s">
        <v>5188</v>
      </c>
      <c r="E1166" s="2" t="s">
        <v>119</v>
      </c>
      <c r="F1166" s="2" t="s">
        <v>5189</v>
      </c>
      <c r="I1166" s="2" t="s">
        <v>5190</v>
      </c>
      <c r="L1166" s="2" t="s">
        <v>5191</v>
      </c>
      <c r="M1166" s="2" t="s">
        <v>22</v>
      </c>
    </row>
    <row r="1167" spans="1:16" ht="15" x14ac:dyDescent="0.2">
      <c r="A1167" s="2" t="s">
        <v>5192</v>
      </c>
      <c r="B1167" s="3" t="str">
        <f t="shared" si="65"/>
        <v>glowe@paragonhealthcare.com</v>
      </c>
      <c r="C1167" s="3">
        <f t="shared" si="66"/>
        <v>1</v>
      </c>
      <c r="D1167" s="2" t="s">
        <v>5193</v>
      </c>
      <c r="E1167" s="2" t="s">
        <v>5194</v>
      </c>
      <c r="F1167" s="2" t="s">
        <v>5195</v>
      </c>
      <c r="I1167" s="2" t="s">
        <v>5196</v>
      </c>
      <c r="L1167" s="2" t="s">
        <v>195</v>
      </c>
      <c r="M1167" s="2" t="s">
        <v>45</v>
      </c>
    </row>
    <row r="1168" spans="1:16" ht="13" x14ac:dyDescent="0.15">
      <c r="A1168" s="4" t="s">
        <v>5197</v>
      </c>
      <c r="B1168" s="3" t="str">
        <f t="shared" si="65"/>
        <v>Yes</v>
      </c>
      <c r="C1168" s="3">
        <f t="shared" si="66"/>
        <v>446</v>
      </c>
      <c r="D1168" s="5">
        <v>11514947199</v>
      </c>
      <c r="E1168" s="4" t="s">
        <v>5198</v>
      </c>
      <c r="F1168" s="4" t="s">
        <v>5199</v>
      </c>
      <c r="G1168" s="4"/>
      <c r="H1168" s="4" t="s">
        <v>34</v>
      </c>
      <c r="I1168" s="4" t="s">
        <v>5200</v>
      </c>
      <c r="J1168" s="6" t="s">
        <v>5201</v>
      </c>
      <c r="K1168" s="4"/>
      <c r="L1168" s="4" t="s">
        <v>5202</v>
      </c>
      <c r="M1168" s="4" t="s">
        <v>38</v>
      </c>
      <c r="N1168" s="4"/>
      <c r="O1168" s="4"/>
      <c r="P1168" s="4" t="str">
        <f t="shared" ref="P1168:P1175" si="67">IF(OR(M1168="Customer", M1168="Opportunity", H1168="Yes", H1168=TRUE, G1168="Yes", G1168=TRUE, O1168&gt;0), "YES", "NO")</f>
        <v>YES</v>
      </c>
    </row>
    <row r="1169" spans="1:16" ht="13" x14ac:dyDescent="0.15">
      <c r="A1169" s="4" t="s">
        <v>5203</v>
      </c>
      <c r="B1169" s="3" t="str">
        <f t="shared" si="65"/>
        <v>Yes</v>
      </c>
      <c r="C1169" s="3">
        <f t="shared" si="66"/>
        <v>446</v>
      </c>
      <c r="D1169" s="5">
        <v>1567</v>
      </c>
      <c r="E1169" s="4" t="s">
        <v>526</v>
      </c>
      <c r="F1169" s="4" t="s">
        <v>5204</v>
      </c>
      <c r="G1169" s="4"/>
      <c r="H1169" s="4" t="s">
        <v>34</v>
      </c>
      <c r="I1169" s="4" t="s">
        <v>5205</v>
      </c>
      <c r="J1169" s="6" t="s">
        <v>5206</v>
      </c>
      <c r="K1169" s="4"/>
      <c r="L1169" s="4" t="s">
        <v>1388</v>
      </c>
      <c r="M1169" s="4" t="s">
        <v>38</v>
      </c>
      <c r="N1169" s="4"/>
      <c r="O1169" s="4"/>
      <c r="P1169" s="4" t="str">
        <f t="shared" si="67"/>
        <v>YES</v>
      </c>
    </row>
    <row r="1170" spans="1:16" ht="13" x14ac:dyDescent="0.15">
      <c r="A1170" s="4" t="s">
        <v>5207</v>
      </c>
      <c r="B1170" s="3" t="str">
        <f t="shared" si="65"/>
        <v>Yes</v>
      </c>
      <c r="C1170" s="3">
        <f t="shared" si="66"/>
        <v>446</v>
      </c>
      <c r="D1170" s="5">
        <v>19393</v>
      </c>
      <c r="E1170" s="4" t="s">
        <v>5208</v>
      </c>
      <c r="F1170" s="4" t="s">
        <v>5209</v>
      </c>
      <c r="G1170" s="4"/>
      <c r="H1170" s="4" t="s">
        <v>34</v>
      </c>
      <c r="I1170" s="4" t="s">
        <v>5210</v>
      </c>
      <c r="J1170" s="6" t="s">
        <v>5211</v>
      </c>
      <c r="K1170" s="4"/>
      <c r="L1170" s="4" t="s">
        <v>5212</v>
      </c>
      <c r="M1170" s="4" t="s">
        <v>38</v>
      </c>
      <c r="N1170" s="4"/>
      <c r="O1170" s="4"/>
      <c r="P1170" s="4" t="str">
        <f t="shared" si="67"/>
        <v>YES</v>
      </c>
    </row>
    <row r="1171" spans="1:16" ht="13" x14ac:dyDescent="0.15">
      <c r="A1171" s="4" t="s">
        <v>5207</v>
      </c>
      <c r="B1171" s="3" t="str">
        <f t="shared" si="65"/>
        <v>Yes</v>
      </c>
      <c r="C1171" s="3">
        <f t="shared" si="66"/>
        <v>446</v>
      </c>
      <c r="D1171" s="5">
        <v>214</v>
      </c>
      <c r="E1171" s="4" t="s">
        <v>4139</v>
      </c>
      <c r="F1171" s="4" t="s">
        <v>5213</v>
      </c>
      <c r="G1171" s="4"/>
      <c r="H1171" s="4" t="s">
        <v>34</v>
      </c>
      <c r="I1171" s="4" t="s">
        <v>5214</v>
      </c>
      <c r="J1171" s="6" t="s">
        <v>5211</v>
      </c>
      <c r="K1171" s="4"/>
      <c r="L1171" s="4" t="s">
        <v>5215</v>
      </c>
      <c r="M1171" s="4" t="s">
        <v>38</v>
      </c>
      <c r="N1171" s="4"/>
      <c r="O1171" s="4"/>
      <c r="P1171" s="4" t="str">
        <f t="shared" si="67"/>
        <v>YES</v>
      </c>
    </row>
    <row r="1172" spans="1:16" ht="13" x14ac:dyDescent="0.15">
      <c r="A1172" s="4" t="s">
        <v>5207</v>
      </c>
      <c r="B1172" s="3" t="str">
        <f t="shared" si="65"/>
        <v>Yes</v>
      </c>
      <c r="C1172" s="3">
        <f t="shared" si="66"/>
        <v>446</v>
      </c>
      <c r="D1172" s="5">
        <v>3913</v>
      </c>
      <c r="E1172" s="4" t="s">
        <v>4021</v>
      </c>
      <c r="F1172" s="4" t="s">
        <v>5216</v>
      </c>
      <c r="G1172" s="4"/>
      <c r="H1172" s="4" t="s">
        <v>34</v>
      </c>
      <c r="I1172" s="4" t="s">
        <v>5217</v>
      </c>
      <c r="J1172" s="6" t="s">
        <v>5211</v>
      </c>
      <c r="K1172" s="4"/>
      <c r="L1172" s="4" t="s">
        <v>5218</v>
      </c>
      <c r="M1172" s="4" t="s">
        <v>38</v>
      </c>
      <c r="N1172" s="4"/>
      <c r="O1172" s="4"/>
      <c r="P1172" s="4" t="str">
        <f t="shared" si="67"/>
        <v>YES</v>
      </c>
    </row>
    <row r="1173" spans="1:16" ht="13" x14ac:dyDescent="0.15">
      <c r="A1173" s="4" t="s">
        <v>5219</v>
      </c>
      <c r="B1173" s="3" t="str">
        <f t="shared" si="65"/>
        <v>Yes</v>
      </c>
      <c r="C1173" s="3">
        <f t="shared" si="66"/>
        <v>446</v>
      </c>
      <c r="D1173" s="5">
        <v>3254</v>
      </c>
      <c r="E1173" s="4" t="s">
        <v>5220</v>
      </c>
      <c r="F1173" s="4" t="s">
        <v>5221</v>
      </c>
      <c r="G1173" s="4"/>
      <c r="H1173" s="4" t="s">
        <v>34</v>
      </c>
      <c r="I1173" s="4" t="s">
        <v>5222</v>
      </c>
      <c r="J1173" s="6" t="s">
        <v>5223</v>
      </c>
      <c r="K1173" s="4"/>
      <c r="L1173" s="4" t="s">
        <v>5224</v>
      </c>
      <c r="M1173" s="4" t="s">
        <v>38</v>
      </c>
      <c r="N1173" s="4"/>
      <c r="O1173" s="4"/>
      <c r="P1173" s="4" t="str">
        <f t="shared" si="67"/>
        <v>YES</v>
      </c>
    </row>
    <row r="1174" spans="1:16" ht="13" x14ac:dyDescent="0.15">
      <c r="A1174" s="4" t="s">
        <v>5225</v>
      </c>
      <c r="B1174" s="3" t="str">
        <f t="shared" si="65"/>
        <v>preethika.shindhe@philips.com</v>
      </c>
      <c r="C1174" s="3">
        <f t="shared" si="66"/>
        <v>1</v>
      </c>
      <c r="D1174" s="5">
        <v>25013427510</v>
      </c>
      <c r="E1174" s="4" t="s">
        <v>5226</v>
      </c>
      <c r="F1174" s="4" t="s">
        <v>5227</v>
      </c>
      <c r="G1174" s="4" t="s">
        <v>34</v>
      </c>
      <c r="H1174" s="4"/>
      <c r="I1174" s="4" t="s">
        <v>5228</v>
      </c>
      <c r="J1174" s="6" t="s">
        <v>5229</v>
      </c>
      <c r="K1174" s="4"/>
      <c r="L1174" s="4" t="s">
        <v>5230</v>
      </c>
      <c r="M1174" s="4"/>
      <c r="N1174" s="4"/>
      <c r="O1174" s="4"/>
      <c r="P1174" s="4" t="str">
        <f t="shared" si="67"/>
        <v>YES</v>
      </c>
    </row>
    <row r="1175" spans="1:16" ht="13" x14ac:dyDescent="0.15">
      <c r="A1175" s="4" t="s">
        <v>5225</v>
      </c>
      <c r="B1175" s="3" t="str">
        <f t="shared" si="65"/>
        <v>janeine.charpiat@philips.com</v>
      </c>
      <c r="C1175" s="3">
        <f t="shared" si="66"/>
        <v>2</v>
      </c>
      <c r="D1175" s="5">
        <v>8780</v>
      </c>
      <c r="E1175" s="4" t="s">
        <v>5231</v>
      </c>
      <c r="F1175" s="4" t="s">
        <v>5232</v>
      </c>
      <c r="G1175" s="4" t="s">
        <v>34</v>
      </c>
      <c r="H1175" s="4"/>
      <c r="I1175" s="4" t="s">
        <v>5233</v>
      </c>
      <c r="J1175" s="6" t="s">
        <v>5229</v>
      </c>
      <c r="K1175" s="4"/>
      <c r="L1175" s="4" t="s">
        <v>5234</v>
      </c>
      <c r="M1175" s="4" t="s">
        <v>38</v>
      </c>
      <c r="N1175" s="4"/>
      <c r="O1175" s="4"/>
      <c r="P1175" s="4" t="str">
        <f t="shared" si="67"/>
        <v>YES</v>
      </c>
    </row>
    <row r="1176" spans="1:16" ht="15" x14ac:dyDescent="0.2">
      <c r="A1176" s="2" t="s">
        <v>5225</v>
      </c>
      <c r="B1176" s="3" t="str">
        <f t="shared" si="65"/>
        <v>kyle.wildgen@philips.com</v>
      </c>
      <c r="C1176" s="3">
        <f t="shared" si="66"/>
        <v>1</v>
      </c>
      <c r="D1176" s="2" t="s">
        <v>5235</v>
      </c>
      <c r="E1176" s="2" t="s">
        <v>2585</v>
      </c>
      <c r="F1176" s="2" t="s">
        <v>5236</v>
      </c>
      <c r="I1176" s="2" t="s">
        <v>5237</v>
      </c>
      <c r="L1176" s="2" t="s">
        <v>68</v>
      </c>
      <c r="M1176" s="2" t="s">
        <v>45</v>
      </c>
    </row>
    <row r="1177" spans="1:16" ht="15" x14ac:dyDescent="0.2">
      <c r="A1177" s="2" t="s">
        <v>5225</v>
      </c>
      <c r="B1177" s="3" t="str">
        <f t="shared" si="65"/>
        <v>jeffrey.jurman@philips.com</v>
      </c>
      <c r="C1177" s="3">
        <f t="shared" si="66"/>
        <v>1</v>
      </c>
      <c r="D1177" s="2" t="s">
        <v>5238</v>
      </c>
      <c r="E1177" s="2" t="s">
        <v>1208</v>
      </c>
      <c r="F1177" s="2" t="s">
        <v>5239</v>
      </c>
      <c r="I1177" s="2" t="s">
        <v>5240</v>
      </c>
      <c r="L1177" s="2" t="s">
        <v>5241</v>
      </c>
      <c r="M1177" s="2" t="s">
        <v>45</v>
      </c>
    </row>
    <row r="1178" spans="1:16" ht="15" x14ac:dyDescent="0.2">
      <c r="A1178" s="2" t="s">
        <v>5225</v>
      </c>
      <c r="B1178" s="3" t="str">
        <f t="shared" si="65"/>
        <v>radhika.chaturvedi@philips.com</v>
      </c>
      <c r="C1178" s="3">
        <f t="shared" si="66"/>
        <v>1</v>
      </c>
      <c r="D1178" s="2" t="s">
        <v>5242</v>
      </c>
      <c r="E1178" s="2" t="s">
        <v>5243</v>
      </c>
      <c r="F1178" s="2" t="s">
        <v>5244</v>
      </c>
      <c r="I1178" s="2" t="s">
        <v>5245</v>
      </c>
      <c r="L1178" s="2" t="s">
        <v>5246</v>
      </c>
      <c r="M1178" s="2" t="s">
        <v>45</v>
      </c>
    </row>
    <row r="1179" spans="1:16" ht="15" x14ac:dyDescent="0.2">
      <c r="A1179" s="2" t="s">
        <v>5225</v>
      </c>
      <c r="B1179" s="3" t="str">
        <f t="shared" si="65"/>
        <v>joshua.king@philips.com</v>
      </c>
      <c r="C1179" s="3">
        <f t="shared" si="66"/>
        <v>1</v>
      </c>
      <c r="D1179" s="2" t="s">
        <v>5247</v>
      </c>
      <c r="E1179" s="2" t="s">
        <v>641</v>
      </c>
      <c r="F1179" s="2" t="s">
        <v>3657</v>
      </c>
      <c r="I1179" s="2" t="s">
        <v>5248</v>
      </c>
      <c r="L1179" s="2" t="s">
        <v>5249</v>
      </c>
      <c r="M1179" s="2" t="s">
        <v>45</v>
      </c>
    </row>
    <row r="1180" spans="1:16" ht="15" x14ac:dyDescent="0.2">
      <c r="A1180" s="2" t="s">
        <v>5225</v>
      </c>
      <c r="B1180" s="3" t="str">
        <f t="shared" si="65"/>
        <v>matthew.langevin@philips.com</v>
      </c>
      <c r="C1180" s="3">
        <f t="shared" si="66"/>
        <v>1</v>
      </c>
      <c r="D1180" s="2" t="s">
        <v>5250</v>
      </c>
      <c r="E1180" s="2" t="s">
        <v>207</v>
      </c>
      <c r="F1180" s="2" t="s">
        <v>5251</v>
      </c>
      <c r="I1180" s="2" t="s">
        <v>5252</v>
      </c>
      <c r="L1180" s="2" t="s">
        <v>5253</v>
      </c>
      <c r="M1180" s="2" t="s">
        <v>45</v>
      </c>
    </row>
    <row r="1181" spans="1:16" ht="15" x14ac:dyDescent="0.2">
      <c r="A1181" s="2" t="s">
        <v>5225</v>
      </c>
      <c r="B1181" s="3" t="str">
        <f t="shared" si="65"/>
        <v>rashmi.rao@philips.com</v>
      </c>
      <c r="C1181" s="3">
        <f t="shared" si="66"/>
        <v>1</v>
      </c>
      <c r="D1181" s="2" t="s">
        <v>5254</v>
      </c>
      <c r="E1181" s="2" t="s">
        <v>5255</v>
      </c>
      <c r="F1181" s="2" t="s">
        <v>817</v>
      </c>
      <c r="I1181" s="2" t="s">
        <v>5256</v>
      </c>
      <c r="L1181" s="2" t="s">
        <v>5257</v>
      </c>
      <c r="M1181" s="2" t="s">
        <v>45</v>
      </c>
    </row>
    <row r="1182" spans="1:16" ht="15" x14ac:dyDescent="0.2">
      <c r="A1182" s="2" t="s">
        <v>5225</v>
      </c>
      <c r="B1182" s="3" t="str">
        <f t="shared" si="65"/>
        <v>tom.kinahan@philips.com</v>
      </c>
      <c r="C1182" s="3">
        <f t="shared" si="66"/>
        <v>1</v>
      </c>
      <c r="D1182" s="2" t="s">
        <v>5258</v>
      </c>
      <c r="E1182" s="2" t="s">
        <v>945</v>
      </c>
      <c r="F1182" s="2" t="s">
        <v>5259</v>
      </c>
      <c r="I1182" s="2" t="s">
        <v>5260</v>
      </c>
      <c r="L1182" s="2" t="s">
        <v>5261</v>
      </c>
      <c r="M1182" s="2" t="s">
        <v>45</v>
      </c>
    </row>
    <row r="1183" spans="1:16" ht="15" x14ac:dyDescent="0.2">
      <c r="A1183" s="2" t="s">
        <v>5225</v>
      </c>
      <c r="B1183" s="3" t="str">
        <f t="shared" si="65"/>
        <v>stephanie.cahill@philips.com</v>
      </c>
      <c r="C1183" s="3">
        <f t="shared" si="66"/>
        <v>1</v>
      </c>
      <c r="D1183" s="2" t="s">
        <v>5262</v>
      </c>
      <c r="E1183" s="2" t="s">
        <v>2173</v>
      </c>
      <c r="F1183" s="2" t="s">
        <v>5263</v>
      </c>
      <c r="I1183" s="2" t="s">
        <v>5264</v>
      </c>
      <c r="L1183" s="2" t="s">
        <v>5265</v>
      </c>
      <c r="M1183" s="2" t="s">
        <v>45</v>
      </c>
    </row>
    <row r="1184" spans="1:16" ht="15" x14ac:dyDescent="0.2">
      <c r="A1184" s="2" t="s">
        <v>5225</v>
      </c>
      <c r="B1184" s="3" t="str">
        <f t="shared" si="65"/>
        <v>preethi.amurthur@philips.com</v>
      </c>
      <c r="C1184" s="3">
        <f t="shared" si="66"/>
        <v>1</v>
      </c>
      <c r="D1184" s="2" t="s">
        <v>5266</v>
      </c>
      <c r="E1184" s="2" t="s">
        <v>5267</v>
      </c>
      <c r="F1184" s="2" t="s">
        <v>5268</v>
      </c>
      <c r="I1184" s="2" t="s">
        <v>5269</v>
      </c>
      <c r="L1184" s="2" t="s">
        <v>5270</v>
      </c>
      <c r="M1184" s="2" t="s">
        <v>45</v>
      </c>
    </row>
    <row r="1185" spans="1:16" ht="15" x14ac:dyDescent="0.2">
      <c r="A1185" s="2" t="s">
        <v>5225</v>
      </c>
      <c r="B1185" s="3" t="str">
        <f t="shared" si="65"/>
        <v>christina.haley@philips.com</v>
      </c>
      <c r="C1185" s="3">
        <f t="shared" si="66"/>
        <v>1</v>
      </c>
      <c r="D1185" s="2" t="s">
        <v>5271</v>
      </c>
      <c r="E1185" s="2" t="s">
        <v>5272</v>
      </c>
      <c r="F1185" s="2" t="s">
        <v>226</v>
      </c>
      <c r="I1185" s="2" t="s">
        <v>5273</v>
      </c>
      <c r="L1185" s="2" t="s">
        <v>5274</v>
      </c>
      <c r="M1185" s="2" t="s">
        <v>22</v>
      </c>
    </row>
    <row r="1186" spans="1:16" ht="15" x14ac:dyDescent="0.2">
      <c r="A1186" s="2" t="s">
        <v>5225</v>
      </c>
      <c r="B1186" s="3" t="str">
        <f t="shared" si="65"/>
        <v>jay.vandervoort@philips.com</v>
      </c>
      <c r="C1186" s="3">
        <f t="shared" si="66"/>
        <v>1</v>
      </c>
      <c r="D1186" s="2" t="s">
        <v>5275</v>
      </c>
      <c r="E1186" s="2" t="s">
        <v>5276</v>
      </c>
      <c r="F1186" s="2" t="s">
        <v>5277</v>
      </c>
      <c r="I1186" s="2" t="s">
        <v>5278</v>
      </c>
      <c r="L1186" s="2" t="s">
        <v>5279</v>
      </c>
      <c r="M1186" s="2" t="s">
        <v>45</v>
      </c>
    </row>
    <row r="1187" spans="1:16" ht="15" x14ac:dyDescent="0.2">
      <c r="A1187" s="2" t="s">
        <v>5225</v>
      </c>
      <c r="B1187" s="3" t="str">
        <f t="shared" si="65"/>
        <v>alexander.heemskerk@philips.com</v>
      </c>
      <c r="C1187" s="3">
        <f t="shared" si="66"/>
        <v>1</v>
      </c>
      <c r="D1187" s="2" t="s">
        <v>5280</v>
      </c>
      <c r="E1187" s="2" t="s">
        <v>1409</v>
      </c>
      <c r="F1187" s="2" t="s">
        <v>5281</v>
      </c>
      <c r="I1187" s="2" t="s">
        <v>5282</v>
      </c>
      <c r="L1187" s="2" t="s">
        <v>5283</v>
      </c>
      <c r="M1187" s="2" t="s">
        <v>22</v>
      </c>
    </row>
    <row r="1188" spans="1:16" ht="15" x14ac:dyDescent="0.2">
      <c r="A1188" s="2" t="s">
        <v>5225</v>
      </c>
      <c r="B1188" s="3" t="str">
        <f t="shared" si="65"/>
        <v>dirk.de.wit@philips.com</v>
      </c>
      <c r="C1188" s="3">
        <f t="shared" si="66"/>
        <v>1</v>
      </c>
      <c r="D1188" s="2" t="s">
        <v>5284</v>
      </c>
      <c r="E1188" s="2" t="s">
        <v>910</v>
      </c>
      <c r="F1188" s="2" t="s">
        <v>910</v>
      </c>
      <c r="I1188" s="2" t="s">
        <v>5285</v>
      </c>
      <c r="L1188" s="2" t="s">
        <v>910</v>
      </c>
      <c r="M1188" s="2" t="s">
        <v>45</v>
      </c>
    </row>
    <row r="1189" spans="1:16" ht="15" x14ac:dyDescent="0.2">
      <c r="A1189" s="2" t="s">
        <v>5225</v>
      </c>
      <c r="B1189" s="3" t="str">
        <f t="shared" si="65"/>
        <v>rene.pluis@philips.com</v>
      </c>
      <c r="C1189" s="3">
        <f t="shared" si="66"/>
        <v>1</v>
      </c>
      <c r="D1189" s="2" t="s">
        <v>5286</v>
      </c>
      <c r="E1189" s="2" t="s">
        <v>5287</v>
      </c>
      <c r="F1189" s="2" t="s">
        <v>5288</v>
      </c>
      <c r="I1189" s="2" t="s">
        <v>5289</v>
      </c>
      <c r="L1189" s="2" t="s">
        <v>5290</v>
      </c>
      <c r="M1189" s="2" t="s">
        <v>45</v>
      </c>
    </row>
    <row r="1190" spans="1:16" ht="15" x14ac:dyDescent="0.2">
      <c r="A1190" s="2" t="s">
        <v>5225</v>
      </c>
      <c r="B1190" s="3" t="str">
        <f t="shared" si="65"/>
        <v>rima.cataldo@philips.com</v>
      </c>
      <c r="C1190" s="3">
        <f t="shared" si="66"/>
        <v>1</v>
      </c>
      <c r="D1190" s="2" t="s">
        <v>5291</v>
      </c>
      <c r="E1190" s="2" t="s">
        <v>5292</v>
      </c>
      <c r="F1190" s="2" t="s">
        <v>5293</v>
      </c>
      <c r="I1190" s="2" t="s">
        <v>5294</v>
      </c>
      <c r="L1190" s="2" t="s">
        <v>5295</v>
      </c>
      <c r="M1190" s="2" t="s">
        <v>917</v>
      </c>
    </row>
    <row r="1191" spans="1:16" ht="15" x14ac:dyDescent="0.2">
      <c r="A1191" s="2" t="s">
        <v>5225</v>
      </c>
      <c r="B1191" s="3" t="str">
        <f t="shared" si="65"/>
        <v>edwin.mooij@philips.com</v>
      </c>
      <c r="C1191" s="3">
        <f t="shared" si="66"/>
        <v>1</v>
      </c>
      <c r="D1191" s="2" t="s">
        <v>5296</v>
      </c>
      <c r="E1191" s="2" t="s">
        <v>5297</v>
      </c>
      <c r="F1191" s="2" t="s">
        <v>5298</v>
      </c>
      <c r="I1191" s="2" t="s">
        <v>5299</v>
      </c>
      <c r="L1191" s="2" t="s">
        <v>5300</v>
      </c>
      <c r="M1191" s="2" t="s">
        <v>45</v>
      </c>
    </row>
    <row r="1192" spans="1:16" ht="15" x14ac:dyDescent="0.2">
      <c r="A1192" s="2" t="s">
        <v>5225</v>
      </c>
      <c r="B1192" s="3" t="str">
        <f t="shared" si="65"/>
        <v>inbal.glass@philips.com</v>
      </c>
      <c r="C1192" s="3">
        <f t="shared" si="66"/>
        <v>1</v>
      </c>
      <c r="D1192" s="2" t="s">
        <v>5301</v>
      </c>
      <c r="E1192" s="2" t="s">
        <v>910</v>
      </c>
      <c r="F1192" s="2" t="s">
        <v>910</v>
      </c>
      <c r="I1192" s="2" t="s">
        <v>5302</v>
      </c>
      <c r="L1192" s="2" t="s">
        <v>910</v>
      </c>
      <c r="M1192" s="2" t="s">
        <v>22</v>
      </c>
    </row>
    <row r="1193" spans="1:16" ht="15" x14ac:dyDescent="0.2">
      <c r="A1193" s="2" t="s">
        <v>5225</v>
      </c>
      <c r="B1193" s="3" t="str">
        <f t="shared" si="65"/>
        <v>janeine.charpiat@philips.com</v>
      </c>
      <c r="C1193" s="3">
        <f t="shared" si="66"/>
        <v>2</v>
      </c>
      <c r="D1193" s="2" t="s">
        <v>5303</v>
      </c>
      <c r="E1193" s="2" t="s">
        <v>5231</v>
      </c>
      <c r="F1193" s="2" t="s">
        <v>5232</v>
      </c>
      <c r="I1193" s="2" t="s">
        <v>5233</v>
      </c>
      <c r="L1193" s="2" t="s">
        <v>5304</v>
      </c>
      <c r="M1193" s="2" t="s">
        <v>45</v>
      </c>
    </row>
    <row r="1194" spans="1:16" ht="15" x14ac:dyDescent="0.2">
      <c r="A1194" s="2" t="s">
        <v>5225</v>
      </c>
      <c r="B1194" s="3" t="str">
        <f t="shared" si="65"/>
        <v>dirk.wit@philips.com</v>
      </c>
      <c r="C1194" s="3">
        <f t="shared" si="66"/>
        <v>1</v>
      </c>
      <c r="D1194" s="2" t="s">
        <v>5305</v>
      </c>
      <c r="E1194" s="2" t="s">
        <v>5306</v>
      </c>
      <c r="F1194" s="2" t="s">
        <v>5307</v>
      </c>
      <c r="I1194" s="2" t="s">
        <v>5308</v>
      </c>
      <c r="L1194" s="2" t="s">
        <v>5309</v>
      </c>
      <c r="M1194" s="2" t="s">
        <v>22</v>
      </c>
    </row>
    <row r="1195" spans="1:16" ht="13" x14ac:dyDescent="0.15">
      <c r="A1195" s="4" t="s">
        <v>5310</v>
      </c>
      <c r="B1195" s="3" t="str">
        <f t="shared" si="65"/>
        <v>Yes</v>
      </c>
      <c r="C1195" s="3">
        <f t="shared" si="66"/>
        <v>446</v>
      </c>
      <c r="D1195" s="5">
        <v>11512440144</v>
      </c>
      <c r="E1195" s="4" t="s">
        <v>526</v>
      </c>
      <c r="F1195" s="4" t="s">
        <v>5311</v>
      </c>
      <c r="G1195" s="4"/>
      <c r="H1195" s="4" t="s">
        <v>34</v>
      </c>
      <c r="I1195" s="4" t="s">
        <v>5312</v>
      </c>
      <c r="J1195" s="6" t="s">
        <v>5229</v>
      </c>
      <c r="K1195" s="4"/>
      <c r="L1195" s="4" t="s">
        <v>4849</v>
      </c>
      <c r="M1195" s="4" t="s">
        <v>38</v>
      </c>
      <c r="N1195" s="4"/>
      <c r="O1195" s="4"/>
      <c r="P1195" s="4" t="str">
        <f>IF(OR(M1195="Customer", M1195="Opportunity", H1195="Yes", H1195=TRUE, G1195="Yes", G1195=TRUE, O1195&gt;0), "YES", "NO")</f>
        <v>YES</v>
      </c>
    </row>
    <row r="1196" spans="1:16" ht="15" x14ac:dyDescent="0.2">
      <c r="A1196" s="2" t="s">
        <v>5313</v>
      </c>
      <c r="B1196" s="3" t="str">
        <f t="shared" si="65"/>
        <v>shannon.mason@piedmonthealthcare.com</v>
      </c>
      <c r="C1196" s="3">
        <f t="shared" si="66"/>
        <v>1</v>
      </c>
      <c r="D1196" s="2" t="s">
        <v>5314</v>
      </c>
      <c r="E1196" s="2" t="s">
        <v>5315</v>
      </c>
      <c r="F1196" s="2" t="s">
        <v>5316</v>
      </c>
      <c r="I1196" s="2" t="s">
        <v>5317</v>
      </c>
      <c r="L1196" s="2" t="s">
        <v>309</v>
      </c>
      <c r="M1196" s="2" t="s">
        <v>45</v>
      </c>
    </row>
    <row r="1197" spans="1:16" ht="15" x14ac:dyDescent="0.2">
      <c r="A1197" s="2" t="s">
        <v>5318</v>
      </c>
      <c r="B1197" s="3" t="str">
        <f t="shared" si="65"/>
        <v>ea-olabode@pinemedical.com</v>
      </c>
      <c r="C1197" s="3">
        <f t="shared" si="66"/>
        <v>1</v>
      </c>
      <c r="D1197" s="2" t="s">
        <v>5319</v>
      </c>
      <c r="E1197" s="2" t="s">
        <v>2230</v>
      </c>
      <c r="F1197" s="2" t="s">
        <v>5320</v>
      </c>
      <c r="I1197" s="2" t="s">
        <v>5321</v>
      </c>
      <c r="L1197" s="2" t="s">
        <v>5322</v>
      </c>
      <c r="M1197" s="2" t="s">
        <v>45</v>
      </c>
    </row>
    <row r="1198" spans="1:16" ht="15" x14ac:dyDescent="0.2">
      <c r="A1198" s="2" t="s">
        <v>5318</v>
      </c>
      <c r="B1198" s="3" t="str">
        <f t="shared" si="65"/>
        <v>aadegbite@pinemedical.com</v>
      </c>
      <c r="C1198" s="3">
        <f t="shared" si="66"/>
        <v>1</v>
      </c>
      <c r="D1198" s="2" t="s">
        <v>5323</v>
      </c>
      <c r="E1198" s="2" t="s">
        <v>5324</v>
      </c>
      <c r="F1198" s="2" t="s">
        <v>5325</v>
      </c>
      <c r="I1198" s="2" t="s">
        <v>5326</v>
      </c>
      <c r="L1198" s="2" t="s">
        <v>5327</v>
      </c>
      <c r="M1198" s="2" t="s">
        <v>45</v>
      </c>
    </row>
    <row r="1199" spans="1:16" ht="13" x14ac:dyDescent="0.15">
      <c r="A1199" s="4" t="s">
        <v>5328</v>
      </c>
      <c r="B1199" s="3" t="str">
        <f t="shared" si="65"/>
        <v>jaclyn.sanchez@ppswcf.org</v>
      </c>
      <c r="C1199" s="3">
        <f t="shared" si="66"/>
        <v>1</v>
      </c>
      <c r="D1199" s="5">
        <v>25006940678</v>
      </c>
      <c r="E1199" s="4" t="s">
        <v>4040</v>
      </c>
      <c r="F1199" s="4" t="s">
        <v>1772</v>
      </c>
      <c r="G1199" s="4" t="s">
        <v>34</v>
      </c>
      <c r="H1199" s="4"/>
      <c r="I1199" s="4" t="s">
        <v>5329</v>
      </c>
      <c r="J1199" s="6" t="s">
        <v>5330</v>
      </c>
      <c r="K1199" s="4"/>
      <c r="L1199" s="4" t="s">
        <v>5331</v>
      </c>
      <c r="M1199" s="4"/>
      <c r="N1199" s="4"/>
      <c r="O1199" s="4"/>
      <c r="P1199" s="4" t="str">
        <f>IF(OR(M1199="Customer", M1199="Opportunity", H1199="Yes", H1199=TRUE, G1199="Yes", G1199=TRUE, O1199&gt;0), "YES", "NO")</f>
        <v>YES</v>
      </c>
    </row>
    <row r="1200" spans="1:16" ht="13" x14ac:dyDescent="0.15">
      <c r="A1200" s="4" t="s">
        <v>5332</v>
      </c>
      <c r="B1200" s="3" t="str">
        <f t="shared" si="65"/>
        <v>Yes</v>
      </c>
      <c r="C1200" s="3">
        <f t="shared" si="66"/>
        <v>446</v>
      </c>
      <c r="D1200" s="5">
        <v>11510870832</v>
      </c>
      <c r="E1200" s="4" t="s">
        <v>541</v>
      </c>
      <c r="F1200" s="4" t="s">
        <v>5333</v>
      </c>
      <c r="G1200" s="4"/>
      <c r="H1200" s="4" t="s">
        <v>34</v>
      </c>
      <c r="I1200" s="4" t="s">
        <v>5334</v>
      </c>
      <c r="J1200" s="6" t="s">
        <v>3417</v>
      </c>
      <c r="K1200" s="4"/>
      <c r="L1200" s="4" t="s">
        <v>2433</v>
      </c>
      <c r="M1200" s="4" t="s">
        <v>38</v>
      </c>
      <c r="N1200" s="4"/>
      <c r="O1200" s="4"/>
      <c r="P1200" s="4" t="str">
        <f>IF(OR(M1200="Customer", M1200="Opportunity", H1200="Yes", H1200=TRUE, G1200="Yes", G1200=TRUE, O1200&gt;0), "YES", "NO")</f>
        <v>YES</v>
      </c>
    </row>
    <row r="1201" spans="1:16" ht="13" x14ac:dyDescent="0.15">
      <c r="A1201" s="4" t="s">
        <v>5335</v>
      </c>
      <c r="B1201" s="3" t="str">
        <f t="shared" si="65"/>
        <v>Yes</v>
      </c>
      <c r="C1201" s="3">
        <f t="shared" si="66"/>
        <v>446</v>
      </c>
      <c r="D1201" s="5">
        <v>11511423351</v>
      </c>
      <c r="E1201" s="4" t="s">
        <v>5336</v>
      </c>
      <c r="F1201" s="4" t="s">
        <v>5337</v>
      </c>
      <c r="G1201" s="4"/>
      <c r="H1201" s="4" t="s">
        <v>34</v>
      </c>
      <c r="I1201" s="4" t="s">
        <v>5338</v>
      </c>
      <c r="J1201" s="6" t="s">
        <v>5339</v>
      </c>
      <c r="K1201" s="4"/>
      <c r="L1201" s="4" t="s">
        <v>5340</v>
      </c>
      <c r="M1201" s="4" t="s">
        <v>38</v>
      </c>
      <c r="N1201" s="4"/>
      <c r="O1201" s="4"/>
      <c r="P1201" s="4" t="str">
        <f>IF(OR(M1201="Customer", M1201="Opportunity", H1201="Yes", H1201=TRUE, G1201="Yes", G1201=TRUE, O1201&gt;0), "YES", "NO")</f>
        <v>YES</v>
      </c>
    </row>
    <row r="1202" spans="1:16" ht="13" x14ac:dyDescent="0.15">
      <c r="A1202" s="4" t="s">
        <v>5341</v>
      </c>
      <c r="B1202" s="3" t="str">
        <f t="shared" si="65"/>
        <v>Yes</v>
      </c>
      <c r="C1202" s="3">
        <f t="shared" si="66"/>
        <v>446</v>
      </c>
      <c r="D1202" s="5">
        <v>808</v>
      </c>
      <c r="E1202" s="4" t="s">
        <v>5342</v>
      </c>
      <c r="F1202" s="4" t="s">
        <v>5343</v>
      </c>
      <c r="G1202" s="4"/>
      <c r="H1202" s="4" t="s">
        <v>34</v>
      </c>
      <c r="I1202" s="4" t="s">
        <v>5344</v>
      </c>
      <c r="J1202" s="6" t="s">
        <v>5345</v>
      </c>
      <c r="K1202" s="4"/>
      <c r="L1202" s="4" t="s">
        <v>5346</v>
      </c>
      <c r="M1202" s="4" t="s">
        <v>38</v>
      </c>
      <c r="N1202" s="4"/>
      <c r="O1202" s="4"/>
      <c r="P1202" s="4" t="str">
        <f>IF(OR(M1202="Customer", M1202="Opportunity", H1202="Yes", H1202=TRUE, G1202="Yes", G1202=TRUE, O1202&gt;0), "YES", "NO")</f>
        <v>YES</v>
      </c>
    </row>
    <row r="1203" spans="1:16" ht="15" x14ac:dyDescent="0.2">
      <c r="A1203" s="2" t="s">
        <v>5347</v>
      </c>
      <c r="B1203" s="3" t="str">
        <f t="shared" si="65"/>
        <v>sizbicki@primehealthcare.com</v>
      </c>
      <c r="C1203" s="3">
        <f t="shared" si="66"/>
        <v>1</v>
      </c>
      <c r="D1203" s="2" t="s">
        <v>5348</v>
      </c>
      <c r="E1203" s="2" t="s">
        <v>794</v>
      </c>
      <c r="F1203" s="2" t="s">
        <v>5349</v>
      </c>
      <c r="I1203" s="2" t="s">
        <v>5350</v>
      </c>
      <c r="L1203" s="2" t="s">
        <v>5351</v>
      </c>
      <c r="M1203" s="2" t="s">
        <v>45</v>
      </c>
    </row>
    <row r="1204" spans="1:16" ht="15" x14ac:dyDescent="0.2">
      <c r="A1204" s="2" t="s">
        <v>5347</v>
      </c>
      <c r="B1204" s="3" t="str">
        <f t="shared" si="65"/>
        <v>kgandavarapu@primehealthcare.com</v>
      </c>
      <c r="C1204" s="3">
        <f t="shared" si="66"/>
        <v>1</v>
      </c>
      <c r="D1204" s="2" t="s">
        <v>5352</v>
      </c>
      <c r="E1204" s="2" t="s">
        <v>5353</v>
      </c>
      <c r="F1204" s="2" t="s">
        <v>5354</v>
      </c>
      <c r="I1204" s="2" t="s">
        <v>5355</v>
      </c>
      <c r="L1204" s="2" t="s">
        <v>5356</v>
      </c>
      <c r="M1204" s="2" t="s">
        <v>45</v>
      </c>
    </row>
    <row r="1205" spans="1:16" ht="15" x14ac:dyDescent="0.2">
      <c r="A1205" s="2" t="s">
        <v>5347</v>
      </c>
      <c r="B1205" s="3" t="str">
        <f t="shared" si="65"/>
        <v>pkwiatkowski@primehealthcare.com</v>
      </c>
      <c r="C1205" s="3">
        <f t="shared" si="66"/>
        <v>1</v>
      </c>
      <c r="D1205" s="2" t="s">
        <v>5357</v>
      </c>
      <c r="E1205" s="2" t="s">
        <v>526</v>
      </c>
      <c r="F1205" s="2" t="s">
        <v>5358</v>
      </c>
      <c r="I1205" s="2" t="s">
        <v>5359</v>
      </c>
      <c r="L1205" s="2" t="s">
        <v>361</v>
      </c>
      <c r="M1205" s="2" t="s">
        <v>45</v>
      </c>
    </row>
    <row r="1206" spans="1:16" ht="15" x14ac:dyDescent="0.2">
      <c r="A1206" s="2" t="s">
        <v>5347</v>
      </c>
      <c r="B1206" s="3" t="str">
        <f t="shared" si="65"/>
        <v>sreddy@primehealthcare.com</v>
      </c>
      <c r="C1206" s="3">
        <f t="shared" si="66"/>
        <v>1</v>
      </c>
      <c r="D1206" s="2" t="s">
        <v>5360</v>
      </c>
      <c r="E1206" s="2" t="s">
        <v>1080</v>
      </c>
      <c r="F1206" s="2" t="s">
        <v>5361</v>
      </c>
      <c r="I1206" s="2" t="s">
        <v>5362</v>
      </c>
      <c r="L1206" s="2" t="s">
        <v>5363</v>
      </c>
      <c r="M1206" s="2" t="s">
        <v>45</v>
      </c>
    </row>
    <row r="1207" spans="1:16" ht="13" x14ac:dyDescent="0.15">
      <c r="A1207" s="4" t="s">
        <v>5364</v>
      </c>
      <c r="B1207" s="3" t="str">
        <f t="shared" si="65"/>
        <v>Yes</v>
      </c>
      <c r="C1207" s="3">
        <f t="shared" si="66"/>
        <v>446</v>
      </c>
      <c r="D1207" s="5">
        <v>11510627240</v>
      </c>
      <c r="E1207" s="4" t="s">
        <v>5365</v>
      </c>
      <c r="F1207" s="4" t="s">
        <v>3942</v>
      </c>
      <c r="G1207" s="4"/>
      <c r="H1207" s="4" t="s">
        <v>34</v>
      </c>
      <c r="I1207" s="4" t="s">
        <v>5366</v>
      </c>
      <c r="J1207" s="6" t="s">
        <v>5367</v>
      </c>
      <c r="K1207" s="4"/>
      <c r="L1207" s="4" t="s">
        <v>5368</v>
      </c>
      <c r="M1207" s="4" t="s">
        <v>38</v>
      </c>
      <c r="N1207" s="4"/>
      <c r="O1207" s="4"/>
      <c r="P1207" s="4" t="str">
        <f t="shared" ref="P1207:P1227" si="68">IF(OR(M1207="Customer", M1207="Opportunity", H1207="Yes", H1207=TRUE, G1207="Yes", G1207=TRUE, O1207&gt;0), "YES", "NO")</f>
        <v>YES</v>
      </c>
    </row>
    <row r="1208" spans="1:16" ht="13" x14ac:dyDescent="0.15">
      <c r="A1208" s="4" t="s">
        <v>5369</v>
      </c>
      <c r="B1208" s="3" t="str">
        <f t="shared" si="65"/>
        <v>Yes</v>
      </c>
      <c r="C1208" s="3">
        <f t="shared" si="66"/>
        <v>446</v>
      </c>
      <c r="D1208" s="5">
        <v>1324</v>
      </c>
      <c r="E1208" s="4" t="s">
        <v>348</v>
      </c>
      <c r="F1208" s="4" t="s">
        <v>5370</v>
      </c>
      <c r="G1208" s="4"/>
      <c r="H1208" s="4" t="s">
        <v>34</v>
      </c>
      <c r="I1208" s="4" t="s">
        <v>5371</v>
      </c>
      <c r="J1208" s="6" t="s">
        <v>5372</v>
      </c>
      <c r="K1208" s="4"/>
      <c r="L1208" s="4" t="s">
        <v>3408</v>
      </c>
      <c r="M1208" s="4" t="s">
        <v>38</v>
      </c>
      <c r="N1208" s="4"/>
      <c r="O1208" s="4"/>
      <c r="P1208" s="4" t="str">
        <f t="shared" si="68"/>
        <v>YES</v>
      </c>
    </row>
    <row r="1209" spans="1:16" ht="13" x14ac:dyDescent="0.15">
      <c r="A1209" s="4" t="s">
        <v>5373</v>
      </c>
      <c r="B1209" s="3" t="str">
        <f t="shared" si="65"/>
        <v>Yes</v>
      </c>
      <c r="C1209" s="3">
        <f t="shared" si="66"/>
        <v>446</v>
      </c>
      <c r="D1209" s="5">
        <v>11512269196</v>
      </c>
      <c r="E1209" s="4" t="s">
        <v>4576</v>
      </c>
      <c r="F1209" s="4" t="s">
        <v>2211</v>
      </c>
      <c r="G1209" s="4"/>
      <c r="H1209" s="4" t="s">
        <v>34</v>
      </c>
      <c r="I1209" s="4" t="s">
        <v>5374</v>
      </c>
      <c r="J1209" s="6" t="s">
        <v>5375</v>
      </c>
      <c r="K1209" s="4"/>
      <c r="L1209" s="4" t="s">
        <v>5376</v>
      </c>
      <c r="M1209" s="4" t="s">
        <v>38</v>
      </c>
      <c r="N1209" s="4"/>
      <c r="O1209" s="4"/>
      <c r="P1209" s="4" t="str">
        <f t="shared" si="68"/>
        <v>YES</v>
      </c>
    </row>
    <row r="1210" spans="1:16" ht="13" x14ac:dyDescent="0.15">
      <c r="A1210" s="4" t="s">
        <v>5373</v>
      </c>
      <c r="B1210" s="3" t="str">
        <f t="shared" si="65"/>
        <v>Yes</v>
      </c>
      <c r="C1210" s="3">
        <f t="shared" si="66"/>
        <v>446</v>
      </c>
      <c r="D1210" s="5">
        <v>11512440146</v>
      </c>
      <c r="E1210" s="4" t="s">
        <v>4162</v>
      </c>
      <c r="F1210" s="4" t="s">
        <v>5377</v>
      </c>
      <c r="G1210" s="4"/>
      <c r="H1210" s="4" t="s">
        <v>34</v>
      </c>
      <c r="I1210" s="4" t="s">
        <v>5378</v>
      </c>
      <c r="J1210" s="6" t="s">
        <v>5375</v>
      </c>
      <c r="K1210" s="4"/>
      <c r="L1210" s="4" t="s">
        <v>5379</v>
      </c>
      <c r="M1210" s="4" t="s">
        <v>38</v>
      </c>
      <c r="N1210" s="4"/>
      <c r="O1210" s="4"/>
      <c r="P1210" s="4" t="str">
        <f t="shared" si="68"/>
        <v>YES</v>
      </c>
    </row>
    <row r="1211" spans="1:16" ht="13" x14ac:dyDescent="0.15">
      <c r="A1211" s="4" t="s">
        <v>5380</v>
      </c>
      <c r="B1211" s="3" t="str">
        <f t="shared" si="65"/>
        <v>Yes</v>
      </c>
      <c r="C1211" s="3">
        <f t="shared" si="66"/>
        <v>446</v>
      </c>
      <c r="D1211" s="5">
        <v>11512310383</v>
      </c>
      <c r="E1211" s="4" t="s">
        <v>550</v>
      </c>
      <c r="F1211" s="4" t="s">
        <v>441</v>
      </c>
      <c r="G1211" s="4"/>
      <c r="H1211" s="4" t="s">
        <v>34</v>
      </c>
      <c r="I1211" s="4" t="s">
        <v>5381</v>
      </c>
      <c r="J1211" s="6" t="s">
        <v>5382</v>
      </c>
      <c r="K1211" s="4"/>
      <c r="L1211" s="4" t="s">
        <v>5383</v>
      </c>
      <c r="M1211" s="4" t="s">
        <v>38</v>
      </c>
      <c r="N1211" s="4"/>
      <c r="O1211" s="4"/>
      <c r="P1211" s="4" t="str">
        <f t="shared" si="68"/>
        <v>YES</v>
      </c>
    </row>
    <row r="1212" spans="1:16" ht="13" x14ac:dyDescent="0.15">
      <c r="A1212" s="4" t="s">
        <v>5380</v>
      </c>
      <c r="B1212" s="3" t="str">
        <f t="shared" si="65"/>
        <v>Yes</v>
      </c>
      <c r="C1212" s="3">
        <f t="shared" si="66"/>
        <v>446</v>
      </c>
      <c r="D1212" s="5">
        <v>562</v>
      </c>
      <c r="E1212" s="4" t="s">
        <v>2173</v>
      </c>
      <c r="F1212" s="4" t="s">
        <v>5384</v>
      </c>
      <c r="G1212" s="4"/>
      <c r="H1212" s="4" t="s">
        <v>34</v>
      </c>
      <c r="I1212" s="4" t="s">
        <v>5385</v>
      </c>
      <c r="J1212" s="6" t="s">
        <v>5382</v>
      </c>
      <c r="K1212" s="4"/>
      <c r="L1212" s="4" t="s">
        <v>5386</v>
      </c>
      <c r="M1212" s="4" t="s">
        <v>38</v>
      </c>
      <c r="N1212" s="4"/>
      <c r="O1212" s="4"/>
      <c r="P1212" s="4" t="str">
        <f t="shared" si="68"/>
        <v>YES</v>
      </c>
    </row>
    <row r="1213" spans="1:16" ht="13" x14ac:dyDescent="0.15">
      <c r="A1213" s="4" t="s">
        <v>5387</v>
      </c>
      <c r="B1213" s="3" t="str">
        <f t="shared" si="65"/>
        <v>Yes</v>
      </c>
      <c r="C1213" s="3">
        <f t="shared" si="66"/>
        <v>446</v>
      </c>
      <c r="D1213" s="5">
        <v>11512440145</v>
      </c>
      <c r="E1213" s="4" t="s">
        <v>5388</v>
      </c>
      <c r="F1213" s="4" t="s">
        <v>5389</v>
      </c>
      <c r="G1213" s="4"/>
      <c r="H1213" s="4" t="s">
        <v>34</v>
      </c>
      <c r="I1213" s="4" t="s">
        <v>5390</v>
      </c>
      <c r="J1213" s="4" t="s">
        <v>5391</v>
      </c>
      <c r="K1213" s="4"/>
      <c r="L1213" s="4" t="s">
        <v>5392</v>
      </c>
      <c r="M1213" s="4" t="s">
        <v>38</v>
      </c>
      <c r="N1213" s="4"/>
      <c r="O1213" s="4"/>
      <c r="P1213" s="4" t="str">
        <f t="shared" si="68"/>
        <v>YES</v>
      </c>
    </row>
    <row r="1214" spans="1:16" ht="13" x14ac:dyDescent="0.15">
      <c r="A1214" s="6" t="s">
        <v>5393</v>
      </c>
      <c r="B1214" s="3" t="str">
        <f t="shared" si="65"/>
        <v>Yes</v>
      </c>
      <c r="C1214" s="3">
        <f t="shared" si="66"/>
        <v>446</v>
      </c>
      <c r="D1214" s="5">
        <v>11513567151</v>
      </c>
      <c r="E1214" s="4" t="s">
        <v>5194</v>
      </c>
      <c r="F1214" s="4" t="s">
        <v>5394</v>
      </c>
      <c r="G1214" s="4"/>
      <c r="H1214" s="4" t="s">
        <v>34</v>
      </c>
      <c r="I1214" s="4" t="s">
        <v>5395</v>
      </c>
      <c r="J1214" s="6" t="s">
        <v>5396</v>
      </c>
      <c r="K1214" s="4"/>
      <c r="L1214" s="4" t="s">
        <v>5397</v>
      </c>
      <c r="M1214" s="4" t="s">
        <v>38</v>
      </c>
      <c r="N1214" s="4"/>
      <c r="O1214" s="4"/>
      <c r="P1214" s="4" t="str">
        <f t="shared" si="68"/>
        <v>YES</v>
      </c>
    </row>
    <row r="1215" spans="1:16" ht="13" x14ac:dyDescent="0.15">
      <c r="A1215" s="4" t="s">
        <v>5398</v>
      </c>
      <c r="B1215" s="3" t="str">
        <f t="shared" si="65"/>
        <v>Yes</v>
      </c>
      <c r="C1215" s="3">
        <f t="shared" si="66"/>
        <v>446</v>
      </c>
      <c r="D1215" s="5">
        <v>11514703104</v>
      </c>
      <c r="E1215" s="4" t="s">
        <v>5399</v>
      </c>
      <c r="F1215" s="4" t="s">
        <v>5400</v>
      </c>
      <c r="G1215" s="4"/>
      <c r="H1215" s="4" t="s">
        <v>34</v>
      </c>
      <c r="I1215" s="4" t="s">
        <v>5401</v>
      </c>
      <c r="J1215" s="6" t="s">
        <v>5402</v>
      </c>
      <c r="K1215" s="4"/>
      <c r="L1215" s="4" t="s">
        <v>5403</v>
      </c>
      <c r="M1215" s="4" t="s">
        <v>38</v>
      </c>
      <c r="N1215" s="4"/>
      <c r="O1215" s="4"/>
      <c r="P1215" s="4" t="str">
        <f t="shared" si="68"/>
        <v>YES</v>
      </c>
    </row>
    <row r="1216" spans="1:16" ht="13" x14ac:dyDescent="0.15">
      <c r="A1216" s="4" t="s">
        <v>5398</v>
      </c>
      <c r="B1216" s="3" t="str">
        <f t="shared" si="65"/>
        <v>Yes</v>
      </c>
      <c r="C1216" s="3">
        <f t="shared" si="66"/>
        <v>446</v>
      </c>
      <c r="D1216" s="5">
        <v>11512997225</v>
      </c>
      <c r="E1216" s="4" t="s">
        <v>5404</v>
      </c>
      <c r="F1216" s="4" t="s">
        <v>5405</v>
      </c>
      <c r="G1216" s="4"/>
      <c r="H1216" s="4" t="s">
        <v>34</v>
      </c>
      <c r="I1216" s="4" t="s">
        <v>5406</v>
      </c>
      <c r="J1216" s="6" t="s">
        <v>5402</v>
      </c>
      <c r="K1216" s="4"/>
      <c r="L1216" s="4" t="s">
        <v>5407</v>
      </c>
      <c r="M1216" s="4" t="s">
        <v>38</v>
      </c>
      <c r="N1216" s="4"/>
      <c r="O1216" s="4"/>
      <c r="P1216" s="4" t="str">
        <f t="shared" si="68"/>
        <v>YES</v>
      </c>
    </row>
    <row r="1217" spans="1:16" ht="13" x14ac:dyDescent="0.15">
      <c r="A1217" s="4" t="s">
        <v>5408</v>
      </c>
      <c r="B1217" s="3" t="str">
        <f t="shared" si="65"/>
        <v>Yes</v>
      </c>
      <c r="C1217" s="3">
        <f t="shared" si="66"/>
        <v>446</v>
      </c>
      <c r="D1217" s="5">
        <v>11510627243</v>
      </c>
      <c r="E1217" s="4" t="s">
        <v>3410</v>
      </c>
      <c r="F1217" s="4" t="s">
        <v>5409</v>
      </c>
      <c r="G1217" s="4"/>
      <c r="H1217" s="4" t="s">
        <v>34</v>
      </c>
      <c r="I1217" s="4" t="s">
        <v>5410</v>
      </c>
      <c r="J1217" s="6" t="s">
        <v>5411</v>
      </c>
      <c r="K1217" s="4"/>
      <c r="L1217" s="4" t="s">
        <v>5412</v>
      </c>
      <c r="M1217" s="4" t="s">
        <v>38</v>
      </c>
      <c r="N1217" s="4"/>
      <c r="O1217" s="4"/>
      <c r="P1217" s="4" t="str">
        <f t="shared" si="68"/>
        <v>YES</v>
      </c>
    </row>
    <row r="1218" spans="1:16" ht="13" x14ac:dyDescent="0.15">
      <c r="A1218" s="4" t="s">
        <v>5408</v>
      </c>
      <c r="B1218" s="3" t="str">
        <f t="shared" ref="B1218:B1281" si="69">IF(H1218&lt;&gt;"",H1218,I1218)</f>
        <v>Yes</v>
      </c>
      <c r="C1218" s="3">
        <f t="shared" ref="C1218:C1281" si="70">COUNTIF($B$2:$B$1586,B1218)</f>
        <v>446</v>
      </c>
      <c r="D1218" s="5">
        <v>6661</v>
      </c>
      <c r="E1218" s="4" t="s">
        <v>417</v>
      </c>
      <c r="F1218" s="4" t="s">
        <v>5413</v>
      </c>
      <c r="G1218" s="4"/>
      <c r="H1218" s="4" t="s">
        <v>34</v>
      </c>
      <c r="I1218" s="4" t="s">
        <v>5414</v>
      </c>
      <c r="J1218" s="6" t="s">
        <v>5411</v>
      </c>
      <c r="K1218" s="4"/>
      <c r="L1218" s="4" t="s">
        <v>3408</v>
      </c>
      <c r="M1218" s="4" t="s">
        <v>38</v>
      </c>
      <c r="N1218" s="4"/>
      <c r="O1218" s="4"/>
      <c r="P1218" s="4" t="str">
        <f t="shared" si="68"/>
        <v>YES</v>
      </c>
    </row>
    <row r="1219" spans="1:16" ht="13" x14ac:dyDescent="0.15">
      <c r="A1219" s="4" t="s">
        <v>5415</v>
      </c>
      <c r="B1219" s="3" t="str">
        <f t="shared" si="69"/>
        <v>Yes</v>
      </c>
      <c r="C1219" s="3">
        <f t="shared" si="70"/>
        <v>446</v>
      </c>
      <c r="D1219" s="5">
        <v>11491769682</v>
      </c>
      <c r="E1219" s="4" t="s">
        <v>5416</v>
      </c>
      <c r="F1219" s="4" t="s">
        <v>5417</v>
      </c>
      <c r="G1219" s="4"/>
      <c r="H1219" s="4" t="s">
        <v>34</v>
      </c>
      <c r="I1219" s="4" t="s">
        <v>5418</v>
      </c>
      <c r="J1219" s="6" t="s">
        <v>5419</v>
      </c>
      <c r="K1219" s="7">
        <v>45677.67083333333</v>
      </c>
      <c r="L1219" s="4" t="s">
        <v>248</v>
      </c>
      <c r="M1219" s="4" t="s">
        <v>1033</v>
      </c>
      <c r="N1219" s="4" t="s">
        <v>5420</v>
      </c>
      <c r="O1219" s="5">
        <v>1</v>
      </c>
      <c r="P1219" s="4" t="str">
        <f t="shared" si="68"/>
        <v>YES</v>
      </c>
    </row>
    <row r="1220" spans="1:16" ht="13" x14ac:dyDescent="0.15">
      <c r="A1220" s="4" t="s">
        <v>5421</v>
      </c>
      <c r="B1220" s="3" t="str">
        <f t="shared" si="69"/>
        <v>Yes</v>
      </c>
      <c r="C1220" s="3">
        <f t="shared" si="70"/>
        <v>446</v>
      </c>
      <c r="D1220" s="5">
        <v>11514429084</v>
      </c>
      <c r="E1220" s="4" t="s">
        <v>5422</v>
      </c>
      <c r="F1220" s="4" t="s">
        <v>5423</v>
      </c>
      <c r="G1220" s="4"/>
      <c r="H1220" s="4" t="s">
        <v>34</v>
      </c>
      <c r="I1220" s="4" t="s">
        <v>5424</v>
      </c>
      <c r="J1220" s="6" t="s">
        <v>5425</v>
      </c>
      <c r="K1220" s="4"/>
      <c r="L1220" s="4" t="s">
        <v>5426</v>
      </c>
      <c r="M1220" s="4" t="s">
        <v>38</v>
      </c>
      <c r="N1220" s="4"/>
      <c r="O1220" s="4"/>
      <c r="P1220" s="4" t="str">
        <f t="shared" si="68"/>
        <v>YES</v>
      </c>
    </row>
    <row r="1221" spans="1:16" ht="13" x14ac:dyDescent="0.15">
      <c r="A1221" s="4" t="s">
        <v>5421</v>
      </c>
      <c r="B1221" s="3" t="str">
        <f t="shared" si="69"/>
        <v>Yes</v>
      </c>
      <c r="C1221" s="3">
        <f t="shared" si="70"/>
        <v>446</v>
      </c>
      <c r="D1221" s="5">
        <v>1510</v>
      </c>
      <c r="E1221" s="4" t="s">
        <v>5427</v>
      </c>
      <c r="F1221" s="4" t="s">
        <v>5428</v>
      </c>
      <c r="G1221" s="4"/>
      <c r="H1221" s="4" t="s">
        <v>34</v>
      </c>
      <c r="I1221" s="4" t="s">
        <v>5429</v>
      </c>
      <c r="J1221" s="6" t="s">
        <v>5425</v>
      </c>
      <c r="K1221" s="4"/>
      <c r="L1221" s="4" t="s">
        <v>1407</v>
      </c>
      <c r="M1221" s="4" t="s">
        <v>38</v>
      </c>
      <c r="N1221" s="4"/>
      <c r="O1221" s="4"/>
      <c r="P1221" s="4" t="str">
        <f t="shared" si="68"/>
        <v>YES</v>
      </c>
    </row>
    <row r="1222" spans="1:16" ht="13" x14ac:dyDescent="0.15">
      <c r="A1222" s="4" t="s">
        <v>5430</v>
      </c>
      <c r="B1222" s="3" t="str">
        <f t="shared" si="69"/>
        <v>Yes</v>
      </c>
      <c r="C1222" s="3">
        <f t="shared" si="70"/>
        <v>446</v>
      </c>
      <c r="D1222" s="5">
        <v>1318</v>
      </c>
      <c r="E1222" s="4" t="s">
        <v>5431</v>
      </c>
      <c r="F1222" s="4" t="s">
        <v>5432</v>
      </c>
      <c r="G1222" s="4"/>
      <c r="H1222" s="4" t="s">
        <v>34</v>
      </c>
      <c r="I1222" s="4" t="s">
        <v>5433</v>
      </c>
      <c r="J1222" s="6" t="s">
        <v>5434</v>
      </c>
      <c r="K1222" s="4"/>
      <c r="L1222" s="4" t="s">
        <v>5435</v>
      </c>
      <c r="M1222" s="4" t="s">
        <v>38</v>
      </c>
      <c r="N1222" s="4"/>
      <c r="O1222" s="4"/>
      <c r="P1222" s="4" t="str">
        <f t="shared" si="68"/>
        <v>YES</v>
      </c>
    </row>
    <row r="1223" spans="1:16" ht="13" x14ac:dyDescent="0.15">
      <c r="A1223" s="4" t="s">
        <v>5430</v>
      </c>
      <c r="B1223" s="3" t="str">
        <f t="shared" si="69"/>
        <v>Yes</v>
      </c>
      <c r="C1223" s="3">
        <f t="shared" si="70"/>
        <v>446</v>
      </c>
      <c r="D1223" s="5">
        <v>2369</v>
      </c>
      <c r="E1223" s="4" t="s">
        <v>5436</v>
      </c>
      <c r="F1223" s="4" t="s">
        <v>5437</v>
      </c>
      <c r="G1223" s="4"/>
      <c r="H1223" s="4" t="s">
        <v>34</v>
      </c>
      <c r="I1223" s="4" t="s">
        <v>5438</v>
      </c>
      <c r="J1223" s="6" t="s">
        <v>5434</v>
      </c>
      <c r="K1223" s="4"/>
      <c r="L1223" s="4" t="s">
        <v>5439</v>
      </c>
      <c r="M1223" s="4" t="s">
        <v>38</v>
      </c>
      <c r="N1223" s="4"/>
      <c r="O1223" s="4"/>
      <c r="P1223" s="4" t="str">
        <f t="shared" si="68"/>
        <v>YES</v>
      </c>
    </row>
    <row r="1224" spans="1:16" ht="13" x14ac:dyDescent="0.15">
      <c r="A1224" s="4" t="s">
        <v>5440</v>
      </c>
      <c r="B1224" s="3" t="str">
        <f t="shared" si="69"/>
        <v>Yes</v>
      </c>
      <c r="C1224" s="3">
        <f t="shared" si="70"/>
        <v>446</v>
      </c>
      <c r="D1224" s="5">
        <v>11512458409</v>
      </c>
      <c r="E1224" s="4" t="s">
        <v>2603</v>
      </c>
      <c r="F1224" s="4" t="s">
        <v>5441</v>
      </c>
      <c r="G1224" s="4"/>
      <c r="H1224" s="4" t="s">
        <v>34</v>
      </c>
      <c r="I1224" s="4" t="s">
        <v>5442</v>
      </c>
      <c r="J1224" s="6" t="s">
        <v>5443</v>
      </c>
      <c r="K1224" s="4"/>
      <c r="L1224" s="4" t="s">
        <v>984</v>
      </c>
      <c r="M1224" s="4" t="s">
        <v>38</v>
      </c>
      <c r="N1224" s="4"/>
      <c r="O1224" s="4"/>
      <c r="P1224" s="4" t="str">
        <f t="shared" si="68"/>
        <v>YES</v>
      </c>
    </row>
    <row r="1225" spans="1:16" ht="13" x14ac:dyDescent="0.15">
      <c r="A1225" s="4" t="s">
        <v>5444</v>
      </c>
      <c r="B1225" s="3" t="str">
        <f t="shared" si="69"/>
        <v>Yes</v>
      </c>
      <c r="C1225" s="3">
        <f t="shared" si="70"/>
        <v>446</v>
      </c>
      <c r="D1225" s="5">
        <v>3718</v>
      </c>
      <c r="E1225" s="4" t="s">
        <v>5445</v>
      </c>
      <c r="F1225" s="4" t="s">
        <v>5446</v>
      </c>
      <c r="G1225" s="4"/>
      <c r="H1225" s="4" t="s">
        <v>34</v>
      </c>
      <c r="I1225" s="4" t="s">
        <v>5447</v>
      </c>
      <c r="J1225" s="6" t="s">
        <v>5448</v>
      </c>
      <c r="K1225" s="4"/>
      <c r="L1225" s="4" t="s">
        <v>5449</v>
      </c>
      <c r="M1225" s="4" t="s">
        <v>38</v>
      </c>
      <c r="N1225" s="4"/>
      <c r="O1225" s="4"/>
      <c r="P1225" s="4" t="str">
        <f t="shared" si="68"/>
        <v>YES</v>
      </c>
    </row>
    <row r="1226" spans="1:16" ht="13" x14ac:dyDescent="0.15">
      <c r="A1226" s="4" t="s">
        <v>5450</v>
      </c>
      <c r="B1226" s="3" t="str">
        <f t="shared" si="69"/>
        <v>Yes</v>
      </c>
      <c r="C1226" s="3">
        <f t="shared" si="70"/>
        <v>446</v>
      </c>
      <c r="D1226" s="5">
        <v>11514678186</v>
      </c>
      <c r="E1226" s="4" t="s">
        <v>3034</v>
      </c>
      <c r="F1226" s="4" t="s">
        <v>5451</v>
      </c>
      <c r="G1226" s="4"/>
      <c r="H1226" s="4" t="s">
        <v>34</v>
      </c>
      <c r="I1226" s="4" t="s">
        <v>5452</v>
      </c>
      <c r="J1226" s="6" t="s">
        <v>5453</v>
      </c>
      <c r="K1226" s="4"/>
      <c r="L1226" s="4" t="s">
        <v>5454</v>
      </c>
      <c r="M1226" s="4" t="s">
        <v>38</v>
      </c>
      <c r="N1226" s="4"/>
      <c r="O1226" s="4"/>
      <c r="P1226" s="4" t="str">
        <f t="shared" si="68"/>
        <v>YES</v>
      </c>
    </row>
    <row r="1227" spans="1:16" ht="13" x14ac:dyDescent="0.15">
      <c r="A1227" s="4" t="s">
        <v>5455</v>
      </c>
      <c r="B1227" s="3" t="str">
        <f t="shared" si="69"/>
        <v>Yes</v>
      </c>
      <c r="C1227" s="3">
        <f t="shared" si="70"/>
        <v>446</v>
      </c>
      <c r="D1227" s="5">
        <v>501</v>
      </c>
      <c r="E1227" s="4" t="s">
        <v>5456</v>
      </c>
      <c r="F1227" s="4" t="s">
        <v>4240</v>
      </c>
      <c r="G1227" s="4"/>
      <c r="H1227" s="4" t="s">
        <v>34</v>
      </c>
      <c r="I1227" s="4" t="s">
        <v>5457</v>
      </c>
      <c r="J1227" s="6" t="s">
        <v>5458</v>
      </c>
      <c r="K1227" s="4"/>
      <c r="L1227" s="4" t="s">
        <v>5459</v>
      </c>
      <c r="M1227" s="4" t="s">
        <v>38</v>
      </c>
      <c r="N1227" s="4"/>
      <c r="O1227" s="4"/>
      <c r="P1227" s="4" t="str">
        <f t="shared" si="68"/>
        <v>YES</v>
      </c>
    </row>
    <row r="1228" spans="1:16" ht="15" x14ac:dyDescent="0.2">
      <c r="A1228" s="2" t="s">
        <v>5460</v>
      </c>
      <c r="B1228" s="3" t="str">
        <f t="shared" si="69"/>
        <v>mborrusso@regencyhealthcare.com</v>
      </c>
      <c r="C1228" s="3">
        <f t="shared" si="70"/>
        <v>1</v>
      </c>
      <c r="D1228" s="2" t="s">
        <v>5461</v>
      </c>
      <c r="E1228" s="2" t="s">
        <v>207</v>
      </c>
      <c r="F1228" s="2" t="s">
        <v>5462</v>
      </c>
      <c r="I1228" s="2" t="s">
        <v>5463</v>
      </c>
      <c r="L1228" s="2" t="s">
        <v>5464</v>
      </c>
      <c r="M1228" s="2" t="s">
        <v>45</v>
      </c>
    </row>
    <row r="1229" spans="1:16" ht="13" x14ac:dyDescent="0.15">
      <c r="A1229" s="4" t="s">
        <v>5465</v>
      </c>
      <c r="B1229" s="3" t="str">
        <f t="shared" si="69"/>
        <v>steven.ramirez@renown.org</v>
      </c>
      <c r="C1229" s="3">
        <f t="shared" si="70"/>
        <v>1</v>
      </c>
      <c r="D1229" s="5">
        <v>25006940679</v>
      </c>
      <c r="E1229" s="4" t="s">
        <v>2696</v>
      </c>
      <c r="F1229" s="4" t="s">
        <v>5466</v>
      </c>
      <c r="G1229" s="4" t="s">
        <v>34</v>
      </c>
      <c r="H1229" s="4"/>
      <c r="I1229" s="4" t="s">
        <v>5467</v>
      </c>
      <c r="J1229" s="6" t="s">
        <v>5468</v>
      </c>
      <c r="K1229" s="4"/>
      <c r="L1229" s="4" t="s">
        <v>5469</v>
      </c>
      <c r="M1229" s="4"/>
      <c r="N1229" s="4"/>
      <c r="O1229" s="4"/>
      <c r="P1229" s="4" t="str">
        <f>IF(OR(M1229="Customer", M1229="Opportunity", H1229="Yes", H1229=TRUE, G1229="Yes", G1229=TRUE, O1229&gt;0), "YES", "NO")</f>
        <v>YES</v>
      </c>
    </row>
    <row r="1230" spans="1:16" ht="15" x14ac:dyDescent="0.2">
      <c r="A1230" s="2" t="s">
        <v>5470</v>
      </c>
      <c r="B1230" s="3" t="str">
        <f t="shared" si="69"/>
        <v>hstephenson@resmed.com</v>
      </c>
      <c r="C1230" s="3">
        <f t="shared" si="70"/>
        <v>1</v>
      </c>
      <c r="D1230" s="2" t="s">
        <v>5471</v>
      </c>
      <c r="E1230" s="2" t="s">
        <v>5472</v>
      </c>
      <c r="F1230" s="2" t="s">
        <v>5473</v>
      </c>
      <c r="I1230" s="2" t="s">
        <v>5474</v>
      </c>
      <c r="L1230" s="2" t="s">
        <v>5475</v>
      </c>
      <c r="M1230" s="2" t="s">
        <v>22</v>
      </c>
    </row>
    <row r="1231" spans="1:16" ht="15" x14ac:dyDescent="0.2">
      <c r="A1231" s="2" t="s">
        <v>5470</v>
      </c>
      <c r="B1231" s="3" t="str">
        <f t="shared" si="69"/>
        <v>cdawson@resmed.com</v>
      </c>
      <c r="C1231" s="3">
        <f t="shared" si="70"/>
        <v>1</v>
      </c>
      <c r="D1231" s="2" t="s">
        <v>5476</v>
      </c>
      <c r="E1231" s="2" t="s">
        <v>2673</v>
      </c>
      <c r="F1231" s="2" t="s">
        <v>5477</v>
      </c>
      <c r="I1231" s="2" t="s">
        <v>5478</v>
      </c>
      <c r="L1231" s="2" t="s">
        <v>3178</v>
      </c>
      <c r="M1231" s="2" t="s">
        <v>22</v>
      </c>
    </row>
    <row r="1232" spans="1:16" ht="15" x14ac:dyDescent="0.2">
      <c r="A1232" s="2" t="s">
        <v>5470</v>
      </c>
      <c r="B1232" s="3" t="str">
        <f t="shared" si="69"/>
        <v>rschwechler@resmed.com</v>
      </c>
      <c r="C1232" s="3">
        <f t="shared" si="70"/>
        <v>1</v>
      </c>
      <c r="D1232" s="2" t="s">
        <v>5479</v>
      </c>
      <c r="E1232" s="2" t="s">
        <v>5480</v>
      </c>
      <c r="F1232" s="2" t="s">
        <v>5481</v>
      </c>
      <c r="I1232" s="2" t="s">
        <v>5482</v>
      </c>
      <c r="L1232" s="2" t="s">
        <v>5483</v>
      </c>
      <c r="M1232" s="2" t="s">
        <v>22</v>
      </c>
    </row>
    <row r="1233" spans="1:16" ht="15" x14ac:dyDescent="0.2">
      <c r="A1233" s="2" t="s">
        <v>5484</v>
      </c>
      <c r="B1233" s="3" t="str">
        <f t="shared" si="69"/>
        <v>mindy.notch@ridgeviewmedical.org</v>
      </c>
      <c r="C1233" s="3">
        <f t="shared" si="70"/>
        <v>1</v>
      </c>
      <c r="D1233" s="2" t="s">
        <v>5485</v>
      </c>
      <c r="E1233" s="2" t="s">
        <v>5486</v>
      </c>
      <c r="F1233" s="2" t="s">
        <v>5487</v>
      </c>
      <c r="I1233" s="2" t="s">
        <v>5488</v>
      </c>
      <c r="L1233" s="2" t="s">
        <v>1225</v>
      </c>
      <c r="M1233" s="2" t="s">
        <v>45</v>
      </c>
    </row>
    <row r="1234" spans="1:16" ht="15" x14ac:dyDescent="0.2">
      <c r="A1234" s="2" t="s">
        <v>5484</v>
      </c>
      <c r="B1234" s="3" t="str">
        <f t="shared" si="69"/>
        <v>nick.barrett@ridgeviewmedical.org</v>
      </c>
      <c r="C1234" s="3">
        <f t="shared" si="70"/>
        <v>1</v>
      </c>
      <c r="D1234" s="2" t="s">
        <v>5489</v>
      </c>
      <c r="E1234" s="2" t="s">
        <v>1345</v>
      </c>
      <c r="F1234" s="2" t="s">
        <v>3830</v>
      </c>
      <c r="I1234" s="2" t="s">
        <v>5490</v>
      </c>
      <c r="L1234" s="2" t="s">
        <v>5491</v>
      </c>
      <c r="M1234" s="2" t="s">
        <v>45</v>
      </c>
    </row>
    <row r="1235" spans="1:16" ht="15" x14ac:dyDescent="0.2">
      <c r="A1235" s="2" t="s">
        <v>5492</v>
      </c>
      <c r="B1235" s="3" t="str">
        <f t="shared" si="69"/>
        <v>jason.melo@rightwayhealthcare.com</v>
      </c>
      <c r="C1235" s="3">
        <f t="shared" si="70"/>
        <v>1</v>
      </c>
      <c r="D1235" s="2" t="s">
        <v>5493</v>
      </c>
      <c r="E1235" s="2" t="s">
        <v>405</v>
      </c>
      <c r="F1235" s="2" t="s">
        <v>5494</v>
      </c>
      <c r="I1235" s="2" t="s">
        <v>5495</v>
      </c>
      <c r="L1235" s="2" t="s">
        <v>5496</v>
      </c>
      <c r="M1235" s="2" t="s">
        <v>45</v>
      </c>
    </row>
    <row r="1236" spans="1:16" ht="13" x14ac:dyDescent="0.15">
      <c r="A1236" s="4" t="s">
        <v>5497</v>
      </c>
      <c r="B1236" s="3" t="str">
        <f t="shared" si="69"/>
        <v>Yes</v>
      </c>
      <c r="C1236" s="3">
        <f t="shared" si="70"/>
        <v>446</v>
      </c>
      <c r="D1236" s="5">
        <v>11513567146</v>
      </c>
      <c r="E1236" s="4" t="s">
        <v>785</v>
      </c>
      <c r="F1236" s="4" t="s">
        <v>5498</v>
      </c>
      <c r="G1236" s="4"/>
      <c r="H1236" s="4" t="s">
        <v>34</v>
      </c>
      <c r="I1236" s="4" t="s">
        <v>5499</v>
      </c>
      <c r="J1236" s="6" t="s">
        <v>5500</v>
      </c>
      <c r="K1236" s="4"/>
      <c r="L1236" s="4" t="s">
        <v>1326</v>
      </c>
      <c r="M1236" s="4" t="s">
        <v>38</v>
      </c>
      <c r="N1236" s="4"/>
      <c r="O1236" s="4"/>
      <c r="P1236" s="4" t="str">
        <f t="shared" ref="P1236:P1242" si="71">IF(OR(M1236="Customer", M1236="Opportunity", H1236="Yes", H1236=TRUE, G1236="Yes", G1236=TRUE, O1236&gt;0), "YES", "NO")</f>
        <v>YES</v>
      </c>
    </row>
    <row r="1237" spans="1:16" ht="13" x14ac:dyDescent="0.15">
      <c r="A1237" s="4" t="s">
        <v>5501</v>
      </c>
      <c r="B1237" s="3" t="str">
        <f t="shared" si="69"/>
        <v>mark.busenhart@roche.com</v>
      </c>
      <c r="C1237" s="3">
        <f t="shared" si="70"/>
        <v>1</v>
      </c>
      <c r="D1237" s="5">
        <v>95135338115</v>
      </c>
      <c r="E1237" s="4" t="s">
        <v>192</v>
      </c>
      <c r="F1237" s="4" t="s">
        <v>5502</v>
      </c>
      <c r="G1237" s="4"/>
      <c r="H1237" s="4"/>
      <c r="I1237" s="4" t="s">
        <v>5503</v>
      </c>
      <c r="J1237" s="6" t="s">
        <v>5504</v>
      </c>
      <c r="K1237" s="7">
        <v>45714.473611111112</v>
      </c>
      <c r="L1237" s="4" t="s">
        <v>5505</v>
      </c>
      <c r="M1237" s="4" t="s">
        <v>1033</v>
      </c>
      <c r="N1237" s="4"/>
      <c r="O1237" s="5">
        <v>1</v>
      </c>
      <c r="P1237" s="4" t="str">
        <f t="shared" si="71"/>
        <v>YES</v>
      </c>
    </row>
    <row r="1238" spans="1:16" ht="13" x14ac:dyDescent="0.15">
      <c r="A1238" s="4" t="s">
        <v>5501</v>
      </c>
      <c r="B1238" s="3" t="str">
        <f t="shared" si="69"/>
        <v>bill.oconnell@roche.com</v>
      </c>
      <c r="C1238" s="3">
        <f t="shared" si="70"/>
        <v>1</v>
      </c>
      <c r="D1238" s="5">
        <v>25011012468</v>
      </c>
      <c r="E1238" s="4" t="s">
        <v>1849</v>
      </c>
      <c r="F1238" s="4" t="s">
        <v>5506</v>
      </c>
      <c r="G1238" s="4" t="s">
        <v>34</v>
      </c>
      <c r="H1238" s="4"/>
      <c r="I1238" s="4" t="s">
        <v>5507</v>
      </c>
      <c r="J1238" s="6" t="s">
        <v>5504</v>
      </c>
      <c r="K1238" s="4"/>
      <c r="L1238" s="4" t="s">
        <v>5508</v>
      </c>
      <c r="M1238" s="4"/>
      <c r="N1238" s="4"/>
      <c r="O1238" s="4"/>
      <c r="P1238" s="4" t="str">
        <f t="shared" si="71"/>
        <v>YES</v>
      </c>
    </row>
    <row r="1239" spans="1:16" ht="13" x14ac:dyDescent="0.15">
      <c r="A1239" s="6" t="s">
        <v>5509</v>
      </c>
      <c r="B1239" s="3" t="str">
        <f t="shared" si="69"/>
        <v>Yes</v>
      </c>
      <c r="C1239" s="3">
        <f t="shared" si="70"/>
        <v>446</v>
      </c>
      <c r="D1239" s="5">
        <v>11512440148</v>
      </c>
      <c r="E1239" s="4" t="s">
        <v>2526</v>
      </c>
      <c r="F1239" s="4" t="s">
        <v>5510</v>
      </c>
      <c r="G1239" s="4"/>
      <c r="H1239" s="4" t="s">
        <v>34</v>
      </c>
      <c r="I1239" s="4" t="s">
        <v>5511</v>
      </c>
      <c r="J1239" s="6" t="s">
        <v>5512</v>
      </c>
      <c r="K1239" s="4"/>
      <c r="L1239" s="4" t="s">
        <v>5513</v>
      </c>
      <c r="M1239" s="4" t="s">
        <v>38</v>
      </c>
      <c r="N1239" s="4"/>
      <c r="O1239" s="4"/>
      <c r="P1239" s="4" t="str">
        <f t="shared" si="71"/>
        <v>YES</v>
      </c>
    </row>
    <row r="1240" spans="1:16" ht="13" x14ac:dyDescent="0.15">
      <c r="A1240" s="4" t="s">
        <v>5514</v>
      </c>
      <c r="B1240" s="3" t="str">
        <f t="shared" si="69"/>
        <v>Yes</v>
      </c>
      <c r="C1240" s="3">
        <f t="shared" si="70"/>
        <v>446</v>
      </c>
      <c r="D1240" s="5">
        <v>11511367834</v>
      </c>
      <c r="E1240" s="4" t="s">
        <v>1704</v>
      </c>
      <c r="F1240" s="4" t="s">
        <v>5515</v>
      </c>
      <c r="G1240" s="4"/>
      <c r="H1240" s="4" t="s">
        <v>34</v>
      </c>
      <c r="I1240" s="4" t="s">
        <v>5516</v>
      </c>
      <c r="J1240" s="6" t="s">
        <v>5517</v>
      </c>
      <c r="K1240" s="4"/>
      <c r="L1240" s="4" t="s">
        <v>5518</v>
      </c>
      <c r="M1240" s="4" t="s">
        <v>38</v>
      </c>
      <c r="N1240" s="4"/>
      <c r="O1240" s="4"/>
      <c r="P1240" s="4" t="str">
        <f t="shared" si="71"/>
        <v>YES</v>
      </c>
    </row>
    <row r="1241" spans="1:16" ht="13" x14ac:dyDescent="0.15">
      <c r="A1241" s="4" t="s">
        <v>5519</v>
      </c>
      <c r="B1241" s="3" t="str">
        <f t="shared" si="69"/>
        <v>Yes</v>
      </c>
      <c r="C1241" s="3">
        <f t="shared" si="70"/>
        <v>446</v>
      </c>
      <c r="D1241" s="5">
        <v>11513126832</v>
      </c>
      <c r="E1241" s="4" t="s">
        <v>1648</v>
      </c>
      <c r="F1241" s="4" t="s">
        <v>5520</v>
      </c>
      <c r="G1241" s="4"/>
      <c r="H1241" s="4" t="s">
        <v>34</v>
      </c>
      <c r="I1241" s="4" t="s">
        <v>5521</v>
      </c>
      <c r="J1241" s="6" t="s">
        <v>5522</v>
      </c>
      <c r="K1241" s="4"/>
      <c r="L1241" s="4" t="s">
        <v>5523</v>
      </c>
      <c r="M1241" s="4" t="s">
        <v>38</v>
      </c>
      <c r="N1241" s="4"/>
      <c r="O1241" s="4"/>
      <c r="P1241" s="4" t="str">
        <f t="shared" si="71"/>
        <v>YES</v>
      </c>
    </row>
    <row r="1242" spans="1:16" ht="13" x14ac:dyDescent="0.15">
      <c r="A1242" s="4" t="s">
        <v>5524</v>
      </c>
      <c r="B1242" s="3" t="str">
        <f t="shared" si="69"/>
        <v>Yes</v>
      </c>
      <c r="C1242" s="3">
        <f t="shared" si="70"/>
        <v>446</v>
      </c>
      <c r="D1242" s="5">
        <v>11512202048</v>
      </c>
      <c r="E1242" s="4" t="s">
        <v>5525</v>
      </c>
      <c r="F1242" s="4" t="s">
        <v>1026</v>
      </c>
      <c r="G1242" s="4"/>
      <c r="H1242" s="4" t="s">
        <v>34</v>
      </c>
      <c r="I1242" s="4" t="s">
        <v>5526</v>
      </c>
      <c r="J1242" s="6" t="s">
        <v>5527</v>
      </c>
      <c r="K1242" s="4"/>
      <c r="L1242" s="4" t="s">
        <v>5528</v>
      </c>
      <c r="M1242" s="4" t="s">
        <v>38</v>
      </c>
      <c r="N1242" s="4"/>
      <c r="O1242" s="4"/>
      <c r="P1242" s="4" t="str">
        <f t="shared" si="71"/>
        <v>YES</v>
      </c>
    </row>
    <row r="1243" spans="1:16" ht="15" x14ac:dyDescent="0.2">
      <c r="A1243" s="2" t="s">
        <v>5529</v>
      </c>
      <c r="B1243" s="3" t="str">
        <f t="shared" si="69"/>
        <v>anarvaez@samaritanhealthcare.com</v>
      </c>
      <c r="C1243" s="3">
        <f t="shared" si="70"/>
        <v>1</v>
      </c>
      <c r="D1243" s="2" t="s">
        <v>5530</v>
      </c>
      <c r="E1243" s="2" t="s">
        <v>5531</v>
      </c>
      <c r="F1243" s="2" t="s">
        <v>5532</v>
      </c>
      <c r="I1243" s="2" t="s">
        <v>5533</v>
      </c>
      <c r="L1243" s="2" t="s">
        <v>68</v>
      </c>
      <c r="M1243" s="2" t="s">
        <v>22</v>
      </c>
    </row>
    <row r="1244" spans="1:16" ht="13" x14ac:dyDescent="0.15">
      <c r="A1244" s="4" t="s">
        <v>5534</v>
      </c>
      <c r="B1244" s="3" t="str">
        <f t="shared" si="69"/>
        <v>Yes</v>
      </c>
      <c r="C1244" s="3">
        <f t="shared" si="70"/>
        <v>446</v>
      </c>
      <c r="D1244" s="5">
        <v>11493886869</v>
      </c>
      <c r="E1244" s="4" t="s">
        <v>5535</v>
      </c>
      <c r="F1244" s="4" t="s">
        <v>5536</v>
      </c>
      <c r="G1244" s="4"/>
      <c r="H1244" s="4" t="s">
        <v>34</v>
      </c>
      <c r="I1244" s="4" t="s">
        <v>5537</v>
      </c>
      <c r="J1244" s="6" t="s">
        <v>5538</v>
      </c>
      <c r="K1244" s="4"/>
      <c r="L1244" s="4" t="s">
        <v>5539</v>
      </c>
      <c r="M1244" s="4" t="s">
        <v>38</v>
      </c>
      <c r="N1244" s="4"/>
      <c r="O1244" s="4"/>
      <c r="P1244" s="4" t="str">
        <f>IF(OR(M1244="Customer", M1244="Opportunity", H1244="Yes", H1244=TRUE, G1244="Yes", G1244=TRUE, O1244&gt;0), "YES", "NO")</f>
        <v>YES</v>
      </c>
    </row>
    <row r="1245" spans="1:16" ht="13" x14ac:dyDescent="0.15">
      <c r="A1245" s="4" t="s">
        <v>5540</v>
      </c>
      <c r="B1245" s="3" t="str">
        <f t="shared" si="69"/>
        <v>Yes</v>
      </c>
      <c r="C1245" s="3">
        <f t="shared" si="70"/>
        <v>446</v>
      </c>
      <c r="D1245" s="5">
        <v>11512947719</v>
      </c>
      <c r="E1245" s="4" t="s">
        <v>5541</v>
      </c>
      <c r="F1245" s="4" t="s">
        <v>5542</v>
      </c>
      <c r="G1245" s="4"/>
      <c r="H1245" s="4" t="s">
        <v>34</v>
      </c>
      <c r="I1245" s="4" t="s">
        <v>5543</v>
      </c>
      <c r="J1245" s="6" t="s">
        <v>5544</v>
      </c>
      <c r="K1245" s="4"/>
      <c r="L1245" s="4" t="s">
        <v>5545</v>
      </c>
      <c r="M1245" s="4" t="s">
        <v>38</v>
      </c>
      <c r="N1245" s="4"/>
      <c r="O1245" s="4"/>
      <c r="P1245" s="4" t="str">
        <f>IF(OR(M1245="Customer", M1245="Opportunity", H1245="Yes", H1245=TRUE, G1245="Yes", G1245=TRUE, O1245&gt;0), "YES", "NO")</f>
        <v>YES</v>
      </c>
    </row>
    <row r="1246" spans="1:16" ht="13" x14ac:dyDescent="0.15">
      <c r="A1246" s="4" t="s">
        <v>5546</v>
      </c>
      <c r="B1246" s="3" t="str">
        <f t="shared" si="69"/>
        <v>Yes</v>
      </c>
      <c r="C1246" s="3">
        <f t="shared" si="70"/>
        <v>446</v>
      </c>
      <c r="D1246" s="5">
        <v>11570</v>
      </c>
      <c r="E1246" s="4" t="s">
        <v>603</v>
      </c>
      <c r="F1246" s="4" t="s">
        <v>5547</v>
      </c>
      <c r="G1246" s="4"/>
      <c r="H1246" s="4" t="s">
        <v>34</v>
      </c>
      <c r="I1246" s="4" t="s">
        <v>5548</v>
      </c>
      <c r="J1246" s="6" t="s">
        <v>4979</v>
      </c>
      <c r="K1246" s="4"/>
      <c r="L1246" s="4" t="s">
        <v>5549</v>
      </c>
      <c r="M1246" s="4" t="s">
        <v>38</v>
      </c>
      <c r="N1246" s="4"/>
      <c r="O1246" s="4"/>
      <c r="P1246" s="4" t="str">
        <f>IF(OR(M1246="Customer", M1246="Opportunity", H1246="Yes", H1246=TRUE, G1246="Yes", G1246=TRUE, O1246&gt;0), "YES", "NO")</f>
        <v>YES</v>
      </c>
    </row>
    <row r="1247" spans="1:16" ht="13" x14ac:dyDescent="0.15">
      <c r="A1247" s="4" t="s">
        <v>5550</v>
      </c>
      <c r="B1247" s="3" t="str">
        <f t="shared" si="69"/>
        <v>Yes</v>
      </c>
      <c r="C1247" s="3">
        <f t="shared" si="70"/>
        <v>446</v>
      </c>
      <c r="D1247" s="5">
        <v>11513088425</v>
      </c>
      <c r="E1247" s="4" t="s">
        <v>5551</v>
      </c>
      <c r="F1247" s="4" t="s">
        <v>188</v>
      </c>
      <c r="G1247" s="4"/>
      <c r="H1247" s="4" t="s">
        <v>34</v>
      </c>
      <c r="I1247" s="4" t="s">
        <v>5552</v>
      </c>
      <c r="J1247" s="6" t="s">
        <v>5553</v>
      </c>
      <c r="K1247" s="4"/>
      <c r="L1247" s="4" t="s">
        <v>5554</v>
      </c>
      <c r="M1247" s="4" t="s">
        <v>38</v>
      </c>
      <c r="N1247" s="4"/>
      <c r="O1247" s="4"/>
      <c r="P1247" s="4" t="str">
        <f>IF(OR(M1247="Customer", M1247="Opportunity", H1247="Yes", H1247=TRUE, G1247="Yes", G1247=TRUE, O1247&gt;0), "YES", "NO")</f>
        <v>YES</v>
      </c>
    </row>
    <row r="1248" spans="1:16" ht="15" x14ac:dyDescent="0.2">
      <c r="A1248" s="2" t="s">
        <v>5555</v>
      </c>
      <c r="B1248" s="3" t="str">
        <f t="shared" si="69"/>
        <v>je@selectmedical.com</v>
      </c>
      <c r="C1248" s="3">
        <f t="shared" si="70"/>
        <v>1</v>
      </c>
      <c r="D1248" s="2" t="s">
        <v>5556</v>
      </c>
      <c r="E1248" s="2" t="s">
        <v>5557</v>
      </c>
      <c r="F1248" s="2" t="s">
        <v>4719</v>
      </c>
      <c r="I1248" s="2" t="s">
        <v>5558</v>
      </c>
      <c r="L1248" s="2" t="s">
        <v>5559</v>
      </c>
      <c r="M1248" s="2" t="s">
        <v>45</v>
      </c>
    </row>
    <row r="1249" spans="1:16" ht="15" x14ac:dyDescent="0.2">
      <c r="A1249" s="2" t="s">
        <v>5555</v>
      </c>
      <c r="B1249" s="3" t="str">
        <f t="shared" si="69"/>
        <v>mfeist@selectmedical.com</v>
      </c>
      <c r="C1249" s="3">
        <f t="shared" si="70"/>
        <v>1</v>
      </c>
      <c r="D1249" s="2" t="s">
        <v>5560</v>
      </c>
      <c r="E1249" s="2" t="s">
        <v>59</v>
      </c>
      <c r="F1249" s="2" t="s">
        <v>5561</v>
      </c>
      <c r="I1249" s="2" t="s">
        <v>5562</v>
      </c>
      <c r="L1249" s="2" t="s">
        <v>5563</v>
      </c>
      <c r="M1249" s="2" t="s">
        <v>45</v>
      </c>
    </row>
    <row r="1250" spans="1:16" ht="15" x14ac:dyDescent="0.2">
      <c r="A1250" s="2" t="s">
        <v>5555</v>
      </c>
      <c r="B1250" s="3" t="str">
        <f t="shared" si="69"/>
        <v>atamanini@selectmedical.com</v>
      </c>
      <c r="C1250" s="3">
        <f t="shared" si="70"/>
        <v>1</v>
      </c>
      <c r="D1250" s="2" t="s">
        <v>5564</v>
      </c>
      <c r="E1250" s="2" t="s">
        <v>831</v>
      </c>
      <c r="F1250" s="2" t="s">
        <v>5565</v>
      </c>
      <c r="I1250" s="2" t="s">
        <v>5566</v>
      </c>
      <c r="L1250" s="2" t="s">
        <v>5567</v>
      </c>
      <c r="M1250" s="2" t="s">
        <v>45</v>
      </c>
    </row>
    <row r="1251" spans="1:16" ht="15" x14ac:dyDescent="0.2">
      <c r="A1251" s="2" t="s">
        <v>5555</v>
      </c>
      <c r="B1251" s="3" t="str">
        <f t="shared" si="69"/>
        <v>spatel@selectmedical.com</v>
      </c>
      <c r="C1251" s="3">
        <f t="shared" si="70"/>
        <v>1</v>
      </c>
      <c r="D1251" s="2" t="s">
        <v>5568</v>
      </c>
      <c r="E1251" s="2" t="s">
        <v>5569</v>
      </c>
      <c r="F1251" s="2" t="s">
        <v>589</v>
      </c>
      <c r="I1251" s="2" t="s">
        <v>5570</v>
      </c>
      <c r="L1251" s="2" t="s">
        <v>68</v>
      </c>
      <c r="M1251" s="2" t="s">
        <v>45</v>
      </c>
    </row>
    <row r="1252" spans="1:16" ht="15" x14ac:dyDescent="0.2">
      <c r="A1252" s="2" t="s">
        <v>5555</v>
      </c>
      <c r="B1252" s="3" t="str">
        <f t="shared" si="69"/>
        <v>mdobbs@selectmedical.com</v>
      </c>
      <c r="C1252" s="3">
        <f t="shared" si="70"/>
        <v>1</v>
      </c>
      <c r="D1252" s="2" t="s">
        <v>5571</v>
      </c>
      <c r="E1252" s="2" t="s">
        <v>59</v>
      </c>
      <c r="F1252" s="2" t="s">
        <v>5572</v>
      </c>
      <c r="I1252" s="2" t="s">
        <v>5573</v>
      </c>
      <c r="L1252" s="2" t="s">
        <v>1225</v>
      </c>
      <c r="M1252" s="2" t="s">
        <v>45</v>
      </c>
    </row>
    <row r="1253" spans="1:16" ht="15" x14ac:dyDescent="0.2">
      <c r="A1253" s="2" t="s">
        <v>5555</v>
      </c>
      <c r="B1253" s="3" t="str">
        <f t="shared" si="69"/>
        <v>drearick@selectmedical.com</v>
      </c>
      <c r="C1253" s="3">
        <f t="shared" si="70"/>
        <v>1</v>
      </c>
      <c r="D1253" s="2" t="s">
        <v>5574</v>
      </c>
      <c r="E1253" s="2" t="s">
        <v>1465</v>
      </c>
      <c r="F1253" s="2" t="s">
        <v>5575</v>
      </c>
      <c r="I1253" s="2" t="s">
        <v>5576</v>
      </c>
      <c r="L1253" s="2" t="s">
        <v>132</v>
      </c>
      <c r="M1253" s="2" t="s">
        <v>45</v>
      </c>
    </row>
    <row r="1254" spans="1:16" ht="13" x14ac:dyDescent="0.15">
      <c r="A1254" s="4" t="s">
        <v>5577</v>
      </c>
      <c r="B1254" s="3" t="str">
        <f t="shared" si="69"/>
        <v>Yes</v>
      </c>
      <c r="C1254" s="3">
        <f t="shared" si="70"/>
        <v>446</v>
      </c>
      <c r="D1254" s="5">
        <v>1302</v>
      </c>
      <c r="E1254" s="4" t="s">
        <v>541</v>
      </c>
      <c r="F1254" s="4" t="s">
        <v>5578</v>
      </c>
      <c r="G1254" s="4"/>
      <c r="H1254" s="4" t="s">
        <v>34</v>
      </c>
      <c r="I1254" s="4" t="s">
        <v>5579</v>
      </c>
      <c r="J1254" s="6" t="s">
        <v>5580</v>
      </c>
      <c r="K1254" s="4"/>
      <c r="L1254" s="4" t="s">
        <v>5581</v>
      </c>
      <c r="M1254" s="4" t="s">
        <v>38</v>
      </c>
      <c r="N1254" s="4"/>
      <c r="O1254" s="4"/>
      <c r="P1254" s="4" t="str">
        <f t="shared" ref="P1254:P1260" si="72">IF(OR(M1254="Customer", M1254="Opportunity", H1254="Yes", H1254=TRUE, G1254="Yes", G1254=TRUE, O1254&gt;0), "YES", "NO")</f>
        <v>YES</v>
      </c>
    </row>
    <row r="1255" spans="1:16" ht="13" x14ac:dyDescent="0.15">
      <c r="A1255" s="4" t="s">
        <v>5582</v>
      </c>
      <c r="B1255" s="3" t="str">
        <f t="shared" si="69"/>
        <v>Yes</v>
      </c>
      <c r="C1255" s="3">
        <f t="shared" si="70"/>
        <v>446</v>
      </c>
      <c r="D1255" s="5">
        <v>11514404897</v>
      </c>
      <c r="E1255" s="4" t="s">
        <v>5583</v>
      </c>
      <c r="F1255" s="4" t="s">
        <v>5584</v>
      </c>
      <c r="G1255" s="4"/>
      <c r="H1255" s="4" t="s">
        <v>34</v>
      </c>
      <c r="I1255" s="4" t="s">
        <v>5585</v>
      </c>
      <c r="J1255" s="6" t="s">
        <v>3583</v>
      </c>
      <c r="K1255" s="4"/>
      <c r="L1255" s="4" t="s">
        <v>675</v>
      </c>
      <c r="M1255" s="4" t="s">
        <v>38</v>
      </c>
      <c r="N1255" s="4"/>
      <c r="O1255" s="4"/>
      <c r="P1255" s="4" t="str">
        <f t="shared" si="72"/>
        <v>YES</v>
      </c>
    </row>
    <row r="1256" spans="1:16" ht="13" x14ac:dyDescent="0.15">
      <c r="A1256" s="4" t="s">
        <v>5586</v>
      </c>
      <c r="B1256" s="3" t="str">
        <f t="shared" si="69"/>
        <v>Yes</v>
      </c>
      <c r="C1256" s="3">
        <f t="shared" si="70"/>
        <v>446</v>
      </c>
      <c r="D1256" s="5">
        <v>11512440147</v>
      </c>
      <c r="E1256" s="4" t="s">
        <v>5587</v>
      </c>
      <c r="F1256" s="4" t="s">
        <v>1090</v>
      </c>
      <c r="G1256" s="4"/>
      <c r="H1256" s="4" t="s">
        <v>34</v>
      </c>
      <c r="I1256" s="4" t="s">
        <v>5588</v>
      </c>
      <c r="J1256" s="6" t="s">
        <v>5589</v>
      </c>
      <c r="K1256" s="4"/>
      <c r="L1256" s="4" t="s">
        <v>5590</v>
      </c>
      <c r="M1256" s="4" t="s">
        <v>38</v>
      </c>
      <c r="N1256" s="4"/>
      <c r="O1256" s="4"/>
      <c r="P1256" s="4" t="str">
        <f t="shared" si="72"/>
        <v>YES</v>
      </c>
    </row>
    <row r="1257" spans="1:16" ht="13" x14ac:dyDescent="0.15">
      <c r="A1257" s="4" t="s">
        <v>5591</v>
      </c>
      <c r="B1257" s="3" t="str">
        <f t="shared" si="69"/>
        <v>oliver.friedli@sentec.com</v>
      </c>
      <c r="C1257" s="3">
        <f t="shared" si="70"/>
        <v>1</v>
      </c>
      <c r="D1257" s="5">
        <v>35458549281</v>
      </c>
      <c r="E1257" s="4" t="s">
        <v>2202</v>
      </c>
      <c r="F1257" s="4" t="s">
        <v>5592</v>
      </c>
      <c r="G1257" s="4"/>
      <c r="H1257" s="4"/>
      <c r="I1257" s="4" t="s">
        <v>5593</v>
      </c>
      <c r="J1257" s="6" t="s">
        <v>5594</v>
      </c>
      <c r="K1257" s="7">
        <v>45307</v>
      </c>
      <c r="L1257" s="4" t="s">
        <v>5595</v>
      </c>
      <c r="M1257" s="4" t="s">
        <v>1033</v>
      </c>
      <c r="N1257" s="4" t="s">
        <v>5596</v>
      </c>
      <c r="O1257" s="5">
        <v>1</v>
      </c>
      <c r="P1257" s="4" t="str">
        <f t="shared" si="72"/>
        <v>YES</v>
      </c>
    </row>
    <row r="1258" spans="1:16" ht="13" x14ac:dyDescent="0.15">
      <c r="A1258" s="4" t="s">
        <v>5597</v>
      </c>
      <c r="B1258" s="3" t="str">
        <f t="shared" si="69"/>
        <v>Yes</v>
      </c>
      <c r="C1258" s="3">
        <f t="shared" si="70"/>
        <v>446</v>
      </c>
      <c r="D1258" s="5">
        <v>11515754085</v>
      </c>
      <c r="E1258" s="4" t="s">
        <v>5598</v>
      </c>
      <c r="F1258" s="4" t="s">
        <v>5599</v>
      </c>
      <c r="G1258" s="4"/>
      <c r="H1258" s="4" t="s">
        <v>34</v>
      </c>
      <c r="I1258" s="4" t="s">
        <v>5600</v>
      </c>
      <c r="J1258" s="6" t="s">
        <v>5601</v>
      </c>
      <c r="K1258" s="4"/>
      <c r="L1258" s="4" t="s">
        <v>5602</v>
      </c>
      <c r="M1258" s="4" t="s">
        <v>38</v>
      </c>
      <c r="N1258" s="4"/>
      <c r="O1258" s="4"/>
      <c r="P1258" s="4" t="str">
        <f t="shared" si="72"/>
        <v>YES</v>
      </c>
    </row>
    <row r="1259" spans="1:16" ht="13" x14ac:dyDescent="0.15">
      <c r="A1259" s="4" t="s">
        <v>5603</v>
      </c>
      <c r="B1259" s="3" t="str">
        <f t="shared" si="69"/>
        <v>Yes</v>
      </c>
      <c r="C1259" s="3">
        <f t="shared" si="70"/>
        <v>446</v>
      </c>
      <c r="D1259" s="5">
        <v>11514965901</v>
      </c>
      <c r="E1259" s="4" t="s">
        <v>5604</v>
      </c>
      <c r="F1259" s="4" t="s">
        <v>5605</v>
      </c>
      <c r="G1259" s="4"/>
      <c r="H1259" s="4" t="s">
        <v>34</v>
      </c>
      <c r="I1259" s="4" t="s">
        <v>5606</v>
      </c>
      <c r="J1259" s="6" t="s">
        <v>5607</v>
      </c>
      <c r="K1259" s="4"/>
      <c r="L1259" s="4" t="s">
        <v>5608</v>
      </c>
      <c r="M1259" s="4" t="s">
        <v>38</v>
      </c>
      <c r="N1259" s="4"/>
      <c r="O1259" s="4"/>
      <c r="P1259" s="4" t="str">
        <f t="shared" si="72"/>
        <v>YES</v>
      </c>
    </row>
    <row r="1260" spans="1:16" ht="13" x14ac:dyDescent="0.15">
      <c r="A1260" s="4" t="s">
        <v>5609</v>
      </c>
      <c r="B1260" s="3" t="str">
        <f t="shared" si="69"/>
        <v>Yes</v>
      </c>
      <c r="C1260" s="3">
        <f t="shared" si="70"/>
        <v>446</v>
      </c>
      <c r="D1260" s="5">
        <v>11512458410</v>
      </c>
      <c r="E1260" s="4" t="s">
        <v>5610</v>
      </c>
      <c r="F1260" s="4" t="s">
        <v>5611</v>
      </c>
      <c r="G1260" s="4"/>
      <c r="H1260" s="4" t="s">
        <v>34</v>
      </c>
      <c r="I1260" s="4" t="s">
        <v>5612</v>
      </c>
      <c r="J1260" s="6" t="s">
        <v>5613</v>
      </c>
      <c r="K1260" s="4"/>
      <c r="L1260" s="4" t="s">
        <v>1614</v>
      </c>
      <c r="M1260" s="4" t="s">
        <v>38</v>
      </c>
      <c r="N1260" s="4"/>
      <c r="O1260" s="4"/>
      <c r="P1260" s="4" t="str">
        <f t="shared" si="72"/>
        <v>YES</v>
      </c>
    </row>
    <row r="1261" spans="1:16" ht="15" x14ac:dyDescent="0.2">
      <c r="A1261" s="2" t="s">
        <v>5609</v>
      </c>
      <c r="B1261" s="3" t="str">
        <f t="shared" si="69"/>
        <v>brian.roman@shl-medical.com</v>
      </c>
      <c r="C1261" s="3">
        <f t="shared" si="70"/>
        <v>1</v>
      </c>
      <c r="D1261" s="2" t="s">
        <v>5614</v>
      </c>
      <c r="E1261" s="2" t="s">
        <v>541</v>
      </c>
      <c r="F1261" s="2" t="s">
        <v>5615</v>
      </c>
      <c r="I1261" s="2" t="s">
        <v>5616</v>
      </c>
      <c r="L1261" s="2" t="s">
        <v>132</v>
      </c>
      <c r="M1261" s="2" t="s">
        <v>45</v>
      </c>
    </row>
    <row r="1262" spans="1:16" ht="15" x14ac:dyDescent="0.2">
      <c r="A1262" s="2" t="s">
        <v>5617</v>
      </c>
      <c r="B1262" s="3" t="str">
        <f t="shared" si="69"/>
        <v>alistar.dean@siemens.com</v>
      </c>
      <c r="C1262" s="3">
        <f t="shared" si="70"/>
        <v>1</v>
      </c>
      <c r="D1262" s="2" t="s">
        <v>5618</v>
      </c>
      <c r="E1262" s="2" t="s">
        <v>5619</v>
      </c>
      <c r="F1262" s="2" t="s">
        <v>618</v>
      </c>
      <c r="I1262" s="2" t="s">
        <v>5620</v>
      </c>
      <c r="L1262" s="2" t="s">
        <v>5621</v>
      </c>
      <c r="M1262" s="2" t="s">
        <v>1247</v>
      </c>
    </row>
    <row r="1263" spans="1:16" ht="15" x14ac:dyDescent="0.2">
      <c r="A1263" s="2" t="s">
        <v>5617</v>
      </c>
      <c r="B1263" s="3" t="str">
        <f t="shared" si="69"/>
        <v>hiroo.tsugawa@siemens.com</v>
      </c>
      <c r="C1263" s="3">
        <f t="shared" si="70"/>
        <v>1</v>
      </c>
      <c r="D1263" s="2" t="s">
        <v>5622</v>
      </c>
      <c r="E1263" s="2" t="s">
        <v>5623</v>
      </c>
      <c r="F1263" s="2" t="s">
        <v>5624</v>
      </c>
      <c r="I1263" s="2" t="s">
        <v>5625</v>
      </c>
      <c r="L1263" s="2" t="s">
        <v>5626</v>
      </c>
      <c r="M1263" s="2" t="s">
        <v>1247</v>
      </c>
    </row>
    <row r="1264" spans="1:16" ht="15" x14ac:dyDescent="0.2">
      <c r="A1264" s="2" t="s">
        <v>5617</v>
      </c>
      <c r="B1264" s="3" t="str">
        <f t="shared" si="69"/>
        <v>ahmed.abdelwahab@siemens.com</v>
      </c>
      <c r="C1264" s="3">
        <f t="shared" si="70"/>
        <v>1</v>
      </c>
      <c r="D1264" s="2" t="s">
        <v>5627</v>
      </c>
      <c r="E1264" s="2" t="s">
        <v>5628</v>
      </c>
      <c r="F1264" s="2" t="s">
        <v>5629</v>
      </c>
      <c r="I1264" s="2" t="s">
        <v>5630</v>
      </c>
      <c r="L1264" s="2" t="s">
        <v>910</v>
      </c>
      <c r="M1264" s="2" t="s">
        <v>1247</v>
      </c>
    </row>
    <row r="1265" spans="1:13" ht="15" x14ac:dyDescent="0.2">
      <c r="A1265" s="2" t="s">
        <v>5617</v>
      </c>
      <c r="B1265" s="3" t="str">
        <f t="shared" si="69"/>
        <v>nina.freitag@siemens.com</v>
      </c>
      <c r="C1265" s="3">
        <f t="shared" si="70"/>
        <v>1</v>
      </c>
      <c r="D1265" s="2" t="s">
        <v>5631</v>
      </c>
      <c r="E1265" s="2" t="s">
        <v>5632</v>
      </c>
      <c r="F1265" s="2" t="s">
        <v>5633</v>
      </c>
      <c r="I1265" s="2" t="s">
        <v>5634</v>
      </c>
      <c r="L1265" s="2" t="s">
        <v>5635</v>
      </c>
      <c r="M1265" s="2" t="s">
        <v>1247</v>
      </c>
    </row>
    <row r="1266" spans="1:13" ht="15" x14ac:dyDescent="0.2">
      <c r="A1266" s="2" t="s">
        <v>5617</v>
      </c>
      <c r="B1266" s="3" t="str">
        <f t="shared" si="69"/>
        <v>boaz.budnick@siemens.com</v>
      </c>
      <c r="C1266" s="3">
        <f t="shared" si="70"/>
        <v>1</v>
      </c>
      <c r="D1266" s="2" t="s">
        <v>5636</v>
      </c>
      <c r="E1266" s="2" t="s">
        <v>5637</v>
      </c>
      <c r="F1266" s="2" t="s">
        <v>5638</v>
      </c>
      <c r="I1266" s="2" t="s">
        <v>5639</v>
      </c>
      <c r="L1266" s="2" t="s">
        <v>910</v>
      </c>
      <c r="M1266" s="2" t="s">
        <v>1247</v>
      </c>
    </row>
    <row r="1267" spans="1:13" ht="15" x14ac:dyDescent="0.2">
      <c r="A1267" s="2" t="s">
        <v>5617</v>
      </c>
      <c r="B1267" s="3" t="str">
        <f t="shared" si="69"/>
        <v>oane.van_der_heide@siemens.com</v>
      </c>
      <c r="C1267" s="3">
        <f t="shared" si="70"/>
        <v>1</v>
      </c>
      <c r="D1267" s="2" t="s">
        <v>5640</v>
      </c>
      <c r="E1267" s="2" t="s">
        <v>5641</v>
      </c>
      <c r="F1267" s="2" t="s">
        <v>5642</v>
      </c>
      <c r="I1267" s="2" t="s">
        <v>5643</v>
      </c>
      <c r="L1267" s="2" t="s">
        <v>5644</v>
      </c>
      <c r="M1267" s="2" t="s">
        <v>1247</v>
      </c>
    </row>
    <row r="1268" spans="1:13" ht="15" x14ac:dyDescent="0.2">
      <c r="A1268" s="2" t="s">
        <v>5617</v>
      </c>
      <c r="B1268" s="3" t="str">
        <f t="shared" si="69"/>
        <v>vivekkumar.gupta@siemens.com</v>
      </c>
      <c r="C1268" s="3">
        <f t="shared" si="70"/>
        <v>1</v>
      </c>
      <c r="D1268" s="2" t="s">
        <v>5645</v>
      </c>
      <c r="E1268" s="2" t="s">
        <v>5646</v>
      </c>
      <c r="F1268" s="2" t="s">
        <v>910</v>
      </c>
      <c r="I1268" s="2" t="s">
        <v>5647</v>
      </c>
      <c r="L1268" s="2" t="s">
        <v>910</v>
      </c>
      <c r="M1268" s="2" t="s">
        <v>1247</v>
      </c>
    </row>
    <row r="1269" spans="1:13" ht="15" x14ac:dyDescent="0.2">
      <c r="A1269" s="2" t="s">
        <v>5617</v>
      </c>
      <c r="B1269" s="3" t="str">
        <f t="shared" si="69"/>
        <v>jiaxi.lu@siemens.com</v>
      </c>
      <c r="C1269" s="3">
        <f t="shared" si="70"/>
        <v>1</v>
      </c>
      <c r="D1269" s="2" t="s">
        <v>5648</v>
      </c>
      <c r="E1269" s="2" t="s">
        <v>5649</v>
      </c>
      <c r="F1269" s="2" t="s">
        <v>5650</v>
      </c>
      <c r="I1269" s="2" t="s">
        <v>5651</v>
      </c>
      <c r="L1269" s="2" t="s">
        <v>910</v>
      </c>
      <c r="M1269" s="2" t="s">
        <v>1247</v>
      </c>
    </row>
    <row r="1270" spans="1:13" ht="15" x14ac:dyDescent="0.2">
      <c r="A1270" s="2" t="s">
        <v>5617</v>
      </c>
      <c r="B1270" s="3" t="str">
        <f t="shared" si="69"/>
        <v>ajinkya.bhave@siemens.com</v>
      </c>
      <c r="C1270" s="3">
        <f t="shared" si="70"/>
        <v>1</v>
      </c>
      <c r="D1270" s="2" t="s">
        <v>5652</v>
      </c>
      <c r="E1270" s="2" t="s">
        <v>5653</v>
      </c>
      <c r="F1270" s="2" t="s">
        <v>5654</v>
      </c>
      <c r="I1270" s="2" t="s">
        <v>5655</v>
      </c>
      <c r="L1270" s="2" t="s">
        <v>657</v>
      </c>
      <c r="M1270" s="2" t="s">
        <v>1247</v>
      </c>
    </row>
    <row r="1271" spans="1:13" ht="15" x14ac:dyDescent="0.2">
      <c r="A1271" s="2" t="s">
        <v>5617</v>
      </c>
      <c r="B1271" s="3" t="str">
        <f t="shared" si="69"/>
        <v>lee.harrison@siemens.com</v>
      </c>
      <c r="C1271" s="3">
        <f t="shared" si="70"/>
        <v>1</v>
      </c>
      <c r="D1271" s="2" t="s">
        <v>5656</v>
      </c>
      <c r="E1271" s="2" t="s">
        <v>910</v>
      </c>
      <c r="F1271" s="2" t="s">
        <v>910</v>
      </c>
      <c r="I1271" s="2" t="s">
        <v>5657</v>
      </c>
      <c r="L1271" s="2" t="s">
        <v>910</v>
      </c>
      <c r="M1271" s="2" t="s">
        <v>1247</v>
      </c>
    </row>
    <row r="1272" spans="1:13" ht="15" x14ac:dyDescent="0.2">
      <c r="A1272" s="2" t="s">
        <v>5617</v>
      </c>
      <c r="B1272" s="3" t="str">
        <f t="shared" si="69"/>
        <v>dennis.cappendijk@siemens.com</v>
      </c>
      <c r="C1272" s="3">
        <f t="shared" si="70"/>
        <v>1</v>
      </c>
      <c r="D1272" s="2" t="s">
        <v>5658</v>
      </c>
      <c r="E1272" s="2" t="s">
        <v>3656</v>
      </c>
      <c r="F1272" s="2" t="s">
        <v>5659</v>
      </c>
      <c r="I1272" s="2" t="s">
        <v>5660</v>
      </c>
      <c r="L1272" s="2" t="s">
        <v>5661</v>
      </c>
      <c r="M1272" s="2" t="s">
        <v>1247</v>
      </c>
    </row>
    <row r="1273" spans="1:13" ht="15" x14ac:dyDescent="0.2">
      <c r="A1273" s="2" t="s">
        <v>5617</v>
      </c>
      <c r="B1273" s="3" t="str">
        <f t="shared" si="69"/>
        <v>pavel.shumejko@siemens.com</v>
      </c>
      <c r="C1273" s="3">
        <f t="shared" si="70"/>
        <v>1</v>
      </c>
      <c r="D1273" s="2" t="s">
        <v>5662</v>
      </c>
      <c r="E1273" s="2" t="s">
        <v>5663</v>
      </c>
      <c r="F1273" s="2" t="s">
        <v>5664</v>
      </c>
      <c r="I1273" s="2" t="s">
        <v>5665</v>
      </c>
      <c r="L1273" s="2" t="s">
        <v>2433</v>
      </c>
      <c r="M1273" s="2" t="s">
        <v>1247</v>
      </c>
    </row>
    <row r="1274" spans="1:13" ht="15" x14ac:dyDescent="0.2">
      <c r="A1274" s="2" t="s">
        <v>5617</v>
      </c>
      <c r="B1274" s="3" t="str">
        <f t="shared" si="69"/>
        <v>noah.cole@siemens.com</v>
      </c>
      <c r="C1274" s="3">
        <f t="shared" si="70"/>
        <v>1</v>
      </c>
      <c r="D1274" s="2" t="s">
        <v>5666</v>
      </c>
      <c r="E1274" s="2" t="s">
        <v>910</v>
      </c>
      <c r="F1274" s="2" t="s">
        <v>910</v>
      </c>
      <c r="I1274" s="2" t="s">
        <v>5667</v>
      </c>
      <c r="L1274" s="2" t="s">
        <v>910</v>
      </c>
      <c r="M1274" s="2" t="s">
        <v>1247</v>
      </c>
    </row>
    <row r="1275" spans="1:13" ht="15" x14ac:dyDescent="0.2">
      <c r="A1275" s="2" t="s">
        <v>5617</v>
      </c>
      <c r="B1275" s="3" t="str">
        <f t="shared" si="69"/>
        <v>enguerrand.prioux@siemens.com</v>
      </c>
      <c r="C1275" s="3">
        <f t="shared" si="70"/>
        <v>1</v>
      </c>
      <c r="D1275" s="2" t="s">
        <v>5668</v>
      </c>
      <c r="E1275" s="2" t="s">
        <v>5669</v>
      </c>
      <c r="F1275" s="2" t="s">
        <v>5670</v>
      </c>
      <c r="I1275" s="2" t="s">
        <v>5671</v>
      </c>
      <c r="L1275" s="2" t="s">
        <v>5672</v>
      </c>
      <c r="M1275" s="2" t="s">
        <v>1247</v>
      </c>
    </row>
    <row r="1276" spans="1:13" ht="15" x14ac:dyDescent="0.2">
      <c r="A1276" s="2" t="s">
        <v>5617</v>
      </c>
      <c r="B1276" s="3" t="str">
        <f t="shared" si="69"/>
        <v>mukherjee.saikat@siemens.com</v>
      </c>
      <c r="C1276" s="3">
        <f t="shared" si="70"/>
        <v>1</v>
      </c>
      <c r="D1276" s="2" t="s">
        <v>5673</v>
      </c>
      <c r="E1276" s="2" t="s">
        <v>5674</v>
      </c>
      <c r="F1276" s="2" t="s">
        <v>5675</v>
      </c>
      <c r="I1276" s="2" t="s">
        <v>5676</v>
      </c>
      <c r="L1276" s="2" t="s">
        <v>910</v>
      </c>
      <c r="M1276" s="2" t="s">
        <v>1247</v>
      </c>
    </row>
    <row r="1277" spans="1:13" ht="15" x14ac:dyDescent="0.2">
      <c r="A1277" s="2" t="s">
        <v>5617</v>
      </c>
      <c r="B1277" s="3" t="str">
        <f t="shared" si="69"/>
        <v>piyush.karkare@siemens.com</v>
      </c>
      <c r="C1277" s="3">
        <f t="shared" si="70"/>
        <v>1</v>
      </c>
      <c r="D1277" s="2" t="s">
        <v>5677</v>
      </c>
      <c r="E1277" s="2" t="s">
        <v>910</v>
      </c>
      <c r="F1277" s="2" t="s">
        <v>910</v>
      </c>
      <c r="I1277" s="2" t="s">
        <v>5678</v>
      </c>
      <c r="L1277" s="2" t="s">
        <v>910</v>
      </c>
      <c r="M1277" s="2" t="s">
        <v>1247</v>
      </c>
    </row>
    <row r="1278" spans="1:13" ht="15" x14ac:dyDescent="0.2">
      <c r="A1278" s="2" t="s">
        <v>5617</v>
      </c>
      <c r="B1278" s="3" t="str">
        <f t="shared" si="69"/>
        <v>zdenek.fiedler@siemens.com</v>
      </c>
      <c r="C1278" s="3">
        <f t="shared" si="70"/>
        <v>1</v>
      </c>
      <c r="D1278" s="2" t="s">
        <v>5679</v>
      </c>
      <c r="E1278" s="2" t="s">
        <v>5680</v>
      </c>
      <c r="F1278" s="2" t="s">
        <v>5681</v>
      </c>
      <c r="I1278" s="2" t="s">
        <v>5682</v>
      </c>
      <c r="L1278" s="2" t="s">
        <v>5683</v>
      </c>
      <c r="M1278" s="2" t="s">
        <v>463</v>
      </c>
    </row>
    <row r="1279" spans="1:13" ht="15" x14ac:dyDescent="0.2">
      <c r="A1279" s="2" t="s">
        <v>5617</v>
      </c>
      <c r="B1279" s="3" t="str">
        <f t="shared" si="69"/>
        <v>katharina.aumueller@siemens.com</v>
      </c>
      <c r="C1279" s="3">
        <f t="shared" si="70"/>
        <v>1</v>
      </c>
      <c r="D1279" s="2" t="s">
        <v>5684</v>
      </c>
      <c r="E1279" s="2" t="s">
        <v>5685</v>
      </c>
      <c r="F1279" s="2" t="s">
        <v>5686</v>
      </c>
      <c r="I1279" s="2" t="s">
        <v>5687</v>
      </c>
      <c r="L1279" s="2" t="s">
        <v>910</v>
      </c>
      <c r="M1279" s="2" t="s">
        <v>1247</v>
      </c>
    </row>
    <row r="1280" spans="1:13" ht="15" x14ac:dyDescent="0.2">
      <c r="A1280" s="2" t="s">
        <v>5617</v>
      </c>
      <c r="B1280" s="3" t="str">
        <f t="shared" si="69"/>
        <v>techpartner.plm@siemens.com</v>
      </c>
      <c r="C1280" s="3">
        <f t="shared" si="70"/>
        <v>1</v>
      </c>
      <c r="D1280" s="2" t="s">
        <v>5688</v>
      </c>
      <c r="E1280" s="2" t="s">
        <v>5689</v>
      </c>
      <c r="F1280" s="2" t="s">
        <v>5690</v>
      </c>
      <c r="I1280" s="2" t="s">
        <v>5691</v>
      </c>
      <c r="L1280" s="2" t="s">
        <v>910</v>
      </c>
      <c r="M1280" s="2" t="s">
        <v>22</v>
      </c>
    </row>
    <row r="1281" spans="1:13" ht="15" x14ac:dyDescent="0.2">
      <c r="A1281" s="2" t="s">
        <v>5617</v>
      </c>
      <c r="B1281" s="3" t="str">
        <f t="shared" si="69"/>
        <v>girish.maskerirama@siemens.com</v>
      </c>
      <c r="C1281" s="3">
        <f t="shared" si="70"/>
        <v>1</v>
      </c>
      <c r="D1281" s="2" t="s">
        <v>5692</v>
      </c>
      <c r="E1281" s="2" t="s">
        <v>5693</v>
      </c>
      <c r="F1281" s="2" t="s">
        <v>5694</v>
      </c>
      <c r="I1281" s="2" t="s">
        <v>5695</v>
      </c>
      <c r="L1281" s="2" t="s">
        <v>5696</v>
      </c>
      <c r="M1281" s="2" t="s">
        <v>1247</v>
      </c>
    </row>
    <row r="1282" spans="1:13" ht="15" x14ac:dyDescent="0.2">
      <c r="A1282" s="2" t="s">
        <v>5617</v>
      </c>
      <c r="B1282" s="3" t="str">
        <f t="shared" ref="B1282:B1345" si="73">IF(H1282&lt;&gt;"",H1282,I1282)</f>
        <v>brett.harris@siemens-healthineers.com</v>
      </c>
      <c r="C1282" s="3">
        <f t="shared" ref="C1282:C1345" si="74">COUNTIF($B$2:$B$1586,B1282)</f>
        <v>1</v>
      </c>
      <c r="D1282" s="2" t="s">
        <v>5697</v>
      </c>
      <c r="E1282" s="2" t="s">
        <v>1907</v>
      </c>
      <c r="F1282" s="2" t="s">
        <v>338</v>
      </c>
      <c r="I1282" s="2" t="s">
        <v>5698</v>
      </c>
      <c r="L1282" s="2" t="s">
        <v>5699</v>
      </c>
      <c r="M1282" s="2" t="s">
        <v>45</v>
      </c>
    </row>
    <row r="1283" spans="1:13" ht="15" x14ac:dyDescent="0.2">
      <c r="A1283" s="2" t="s">
        <v>5617</v>
      </c>
      <c r="B1283" s="3" t="str">
        <f t="shared" si="73"/>
        <v>frank@siemens.com</v>
      </c>
      <c r="C1283" s="3">
        <f t="shared" si="74"/>
        <v>1</v>
      </c>
      <c r="D1283" s="2" t="s">
        <v>5700</v>
      </c>
      <c r="E1283" s="2" t="s">
        <v>1998</v>
      </c>
      <c r="F1283" s="2" t="s">
        <v>5701</v>
      </c>
      <c r="I1283" s="2" t="s">
        <v>5702</v>
      </c>
      <c r="L1283" s="2" t="s">
        <v>910</v>
      </c>
      <c r="M1283" s="2" t="s">
        <v>1247</v>
      </c>
    </row>
    <row r="1284" spans="1:13" ht="15" x14ac:dyDescent="0.2">
      <c r="A1284" s="2" t="s">
        <v>5617</v>
      </c>
      <c r="B1284" s="3" t="str">
        <f t="shared" si="73"/>
        <v>wibke.reuter@siemens.com</v>
      </c>
      <c r="C1284" s="3">
        <f t="shared" si="74"/>
        <v>1</v>
      </c>
      <c r="D1284" s="2" t="s">
        <v>5703</v>
      </c>
      <c r="E1284" s="2" t="s">
        <v>5704</v>
      </c>
      <c r="F1284" s="2" t="s">
        <v>5705</v>
      </c>
      <c r="I1284" s="2" t="s">
        <v>5706</v>
      </c>
      <c r="L1284" s="2" t="s">
        <v>910</v>
      </c>
      <c r="M1284" s="2" t="s">
        <v>1247</v>
      </c>
    </row>
    <row r="1285" spans="1:13" ht="15" x14ac:dyDescent="0.2">
      <c r="A1285" s="2" t="s">
        <v>5617</v>
      </c>
      <c r="B1285" s="3" t="str">
        <f t="shared" si="73"/>
        <v>hm.von_stockhausen@siemens-healthineers.com</v>
      </c>
      <c r="C1285" s="3">
        <f t="shared" si="74"/>
        <v>2</v>
      </c>
      <c r="D1285" s="2" t="s">
        <v>5707</v>
      </c>
      <c r="E1285" s="2" t="s">
        <v>5708</v>
      </c>
      <c r="F1285" s="2" t="s">
        <v>5709</v>
      </c>
      <c r="I1285" s="2" t="s">
        <v>5710</v>
      </c>
      <c r="L1285" s="2" t="s">
        <v>5711</v>
      </c>
      <c r="M1285" s="2" t="s">
        <v>1247</v>
      </c>
    </row>
    <row r="1286" spans="1:13" ht="15" x14ac:dyDescent="0.2">
      <c r="A1286" s="2" t="s">
        <v>5617</v>
      </c>
      <c r="B1286" s="3" t="str">
        <f t="shared" si="73"/>
        <v>conhas.thakkar@siemens.com</v>
      </c>
      <c r="C1286" s="3">
        <f t="shared" si="74"/>
        <v>1</v>
      </c>
      <c r="D1286" s="2" t="s">
        <v>5712</v>
      </c>
      <c r="E1286" s="2" t="s">
        <v>5713</v>
      </c>
      <c r="F1286" s="2" t="s">
        <v>3712</v>
      </c>
      <c r="I1286" s="2" t="s">
        <v>5714</v>
      </c>
      <c r="L1286" s="2" t="s">
        <v>1518</v>
      </c>
      <c r="M1286" s="2" t="s">
        <v>1247</v>
      </c>
    </row>
    <row r="1287" spans="1:13" ht="15" x14ac:dyDescent="0.2">
      <c r="A1287" s="2" t="s">
        <v>5617</v>
      </c>
      <c r="B1287" s="3" t="str">
        <f t="shared" si="73"/>
        <v>thomasrichter@siemens.com</v>
      </c>
      <c r="C1287" s="3">
        <f t="shared" si="74"/>
        <v>1</v>
      </c>
      <c r="D1287" s="2" t="s">
        <v>5715</v>
      </c>
      <c r="E1287" s="2" t="s">
        <v>1126</v>
      </c>
      <c r="F1287" s="2" t="s">
        <v>5716</v>
      </c>
      <c r="I1287" s="2" t="s">
        <v>5717</v>
      </c>
      <c r="L1287" s="2" t="s">
        <v>910</v>
      </c>
      <c r="M1287" s="2" t="s">
        <v>1247</v>
      </c>
    </row>
    <row r="1288" spans="1:13" ht="15" x14ac:dyDescent="0.2">
      <c r="A1288" s="2" t="s">
        <v>5617</v>
      </c>
      <c r="B1288" s="3" t="str">
        <f t="shared" si="73"/>
        <v>froehlich.joachim@siemens.com</v>
      </c>
      <c r="C1288" s="3">
        <f t="shared" si="74"/>
        <v>1</v>
      </c>
      <c r="D1288" s="2" t="s">
        <v>5718</v>
      </c>
      <c r="E1288" s="2" t="s">
        <v>5719</v>
      </c>
      <c r="F1288" s="2" t="s">
        <v>5720</v>
      </c>
      <c r="I1288" s="2" t="s">
        <v>5721</v>
      </c>
      <c r="L1288" s="2" t="s">
        <v>4182</v>
      </c>
      <c r="M1288" s="2" t="s">
        <v>1247</v>
      </c>
    </row>
    <row r="1289" spans="1:13" ht="15" x14ac:dyDescent="0.2">
      <c r="A1289" s="2" t="s">
        <v>5617</v>
      </c>
      <c r="B1289" s="3" t="str">
        <f t="shared" si="73"/>
        <v>holger.last@siemens.com</v>
      </c>
      <c r="C1289" s="3">
        <f t="shared" si="74"/>
        <v>1</v>
      </c>
      <c r="D1289" s="2" t="s">
        <v>5722</v>
      </c>
      <c r="E1289" s="2" t="s">
        <v>5723</v>
      </c>
      <c r="F1289" s="2" t="s">
        <v>5724</v>
      </c>
      <c r="I1289" s="2" t="s">
        <v>5725</v>
      </c>
      <c r="L1289" s="2" t="s">
        <v>5150</v>
      </c>
      <c r="M1289" s="2" t="s">
        <v>1247</v>
      </c>
    </row>
    <row r="1290" spans="1:13" ht="15" x14ac:dyDescent="0.2">
      <c r="A1290" s="2" t="s">
        <v>5617</v>
      </c>
      <c r="B1290" s="3" t="str">
        <f t="shared" si="73"/>
        <v>lo.vandenberg@siemens.com</v>
      </c>
      <c r="C1290" s="3">
        <f t="shared" si="74"/>
        <v>1</v>
      </c>
      <c r="D1290" s="2" t="s">
        <v>5726</v>
      </c>
      <c r="E1290" s="2" t="s">
        <v>5727</v>
      </c>
      <c r="F1290" s="2" t="s">
        <v>5728</v>
      </c>
      <c r="I1290" s="2" t="s">
        <v>5729</v>
      </c>
      <c r="L1290" s="2" t="s">
        <v>2583</v>
      </c>
      <c r="M1290" s="2" t="s">
        <v>1247</v>
      </c>
    </row>
    <row r="1291" spans="1:13" ht="15" x14ac:dyDescent="0.2">
      <c r="A1291" s="2" t="s">
        <v>5617</v>
      </c>
      <c r="B1291" s="3" t="str">
        <f t="shared" si="73"/>
        <v>leron.baron@siemens.com</v>
      </c>
      <c r="C1291" s="3">
        <f t="shared" si="74"/>
        <v>1</v>
      </c>
      <c r="D1291" s="2" t="s">
        <v>5730</v>
      </c>
      <c r="E1291" s="2" t="s">
        <v>5731</v>
      </c>
      <c r="F1291" s="2" t="s">
        <v>5732</v>
      </c>
      <c r="I1291" s="2" t="s">
        <v>5733</v>
      </c>
      <c r="L1291" s="2" t="s">
        <v>910</v>
      </c>
      <c r="M1291" s="2" t="s">
        <v>1247</v>
      </c>
    </row>
    <row r="1292" spans="1:13" ht="15" x14ac:dyDescent="0.2">
      <c r="A1292" s="2" t="s">
        <v>5617</v>
      </c>
      <c r="B1292" s="3" t="str">
        <f t="shared" si="73"/>
        <v>navid.hermidas@siemens.com</v>
      </c>
      <c r="C1292" s="3">
        <f t="shared" si="74"/>
        <v>1</v>
      </c>
      <c r="D1292" s="2" t="s">
        <v>5734</v>
      </c>
      <c r="E1292" s="2" t="s">
        <v>5735</v>
      </c>
      <c r="F1292" s="2" t="s">
        <v>5736</v>
      </c>
      <c r="I1292" s="2" t="s">
        <v>5737</v>
      </c>
      <c r="L1292" s="2" t="s">
        <v>910</v>
      </c>
      <c r="M1292" s="2" t="s">
        <v>1247</v>
      </c>
    </row>
    <row r="1293" spans="1:13" ht="15" x14ac:dyDescent="0.2">
      <c r="A1293" s="2" t="s">
        <v>5617</v>
      </c>
      <c r="B1293" s="3" t="str">
        <f t="shared" si="73"/>
        <v>bhavuk.nagpal@siemens.com</v>
      </c>
      <c r="C1293" s="3">
        <f t="shared" si="74"/>
        <v>1</v>
      </c>
      <c r="D1293" s="2" t="s">
        <v>5738</v>
      </c>
      <c r="E1293" s="2" t="s">
        <v>5739</v>
      </c>
      <c r="F1293" s="2" t="s">
        <v>5740</v>
      </c>
      <c r="I1293" s="2" t="s">
        <v>5741</v>
      </c>
      <c r="L1293" s="2" t="s">
        <v>5742</v>
      </c>
      <c r="M1293" s="2" t="s">
        <v>1247</v>
      </c>
    </row>
    <row r="1294" spans="1:13" ht="15" x14ac:dyDescent="0.2">
      <c r="A1294" s="2" t="s">
        <v>5617</v>
      </c>
      <c r="B1294" s="3" t="str">
        <f t="shared" si="73"/>
        <v>loeffler.manuel@siemens.com</v>
      </c>
      <c r="C1294" s="3">
        <f t="shared" si="74"/>
        <v>1</v>
      </c>
      <c r="D1294" s="2" t="s">
        <v>5743</v>
      </c>
      <c r="E1294" s="2" t="s">
        <v>3123</v>
      </c>
      <c r="F1294" s="2" t="s">
        <v>5744</v>
      </c>
      <c r="I1294" s="2" t="s">
        <v>5745</v>
      </c>
      <c r="L1294" s="2" t="s">
        <v>5746</v>
      </c>
      <c r="M1294" s="2" t="s">
        <v>1247</v>
      </c>
    </row>
    <row r="1295" spans="1:13" ht="15" x14ac:dyDescent="0.2">
      <c r="A1295" s="2" t="s">
        <v>5617</v>
      </c>
      <c r="B1295" s="3" t="str">
        <f t="shared" si="73"/>
        <v>lennart.kilian@siemens.com</v>
      </c>
      <c r="C1295" s="3">
        <f t="shared" si="74"/>
        <v>1</v>
      </c>
      <c r="D1295" s="2" t="s">
        <v>5747</v>
      </c>
      <c r="E1295" s="2" t="s">
        <v>5748</v>
      </c>
      <c r="F1295" s="2" t="s">
        <v>5749</v>
      </c>
      <c r="I1295" s="2" t="s">
        <v>5750</v>
      </c>
      <c r="L1295" s="2" t="s">
        <v>910</v>
      </c>
      <c r="M1295" s="2" t="s">
        <v>1247</v>
      </c>
    </row>
    <row r="1296" spans="1:13" ht="15" x14ac:dyDescent="0.2">
      <c r="A1296" s="2" t="s">
        <v>5617</v>
      </c>
      <c r="B1296" s="3" t="str">
        <f t="shared" si="73"/>
        <v>cornel.klein@siemens.com</v>
      </c>
      <c r="C1296" s="3">
        <f t="shared" si="74"/>
        <v>1</v>
      </c>
      <c r="D1296" s="2" t="s">
        <v>5751</v>
      </c>
      <c r="E1296" s="2" t="s">
        <v>5752</v>
      </c>
      <c r="F1296" s="2" t="s">
        <v>5753</v>
      </c>
      <c r="I1296" s="2" t="s">
        <v>5754</v>
      </c>
      <c r="L1296" s="2" t="s">
        <v>910</v>
      </c>
      <c r="M1296" s="2" t="s">
        <v>1247</v>
      </c>
    </row>
    <row r="1297" spans="1:13" ht="15" x14ac:dyDescent="0.2">
      <c r="A1297" s="2" t="s">
        <v>5617</v>
      </c>
      <c r="B1297" s="3" t="str">
        <f t="shared" si="73"/>
        <v>alexander.belkov@siemens.com</v>
      </c>
      <c r="C1297" s="3">
        <f t="shared" si="74"/>
        <v>1</v>
      </c>
      <c r="D1297" s="2" t="s">
        <v>5755</v>
      </c>
      <c r="E1297" s="2" t="s">
        <v>1409</v>
      </c>
      <c r="F1297" s="2" t="s">
        <v>5756</v>
      </c>
      <c r="I1297" s="2" t="s">
        <v>5757</v>
      </c>
      <c r="L1297" s="2" t="s">
        <v>5758</v>
      </c>
      <c r="M1297" s="2" t="s">
        <v>1247</v>
      </c>
    </row>
    <row r="1298" spans="1:13" ht="15" x14ac:dyDescent="0.2">
      <c r="A1298" s="2" t="s">
        <v>5617</v>
      </c>
      <c r="B1298" s="3" t="str">
        <f t="shared" si="73"/>
        <v>james.mclean@siemens-healthineers.com</v>
      </c>
      <c r="C1298" s="3">
        <f t="shared" si="74"/>
        <v>1</v>
      </c>
      <c r="D1298" s="2" t="s">
        <v>5759</v>
      </c>
      <c r="E1298" s="2" t="s">
        <v>264</v>
      </c>
      <c r="F1298" s="2" t="s">
        <v>5760</v>
      </c>
      <c r="I1298" s="2" t="s">
        <v>5761</v>
      </c>
      <c r="L1298" s="2" t="s">
        <v>5762</v>
      </c>
      <c r="M1298" s="2" t="s">
        <v>45</v>
      </c>
    </row>
    <row r="1299" spans="1:13" ht="15" x14ac:dyDescent="0.2">
      <c r="A1299" s="2" t="s">
        <v>5617</v>
      </c>
      <c r="B1299" s="3" t="str">
        <f t="shared" si="73"/>
        <v>michael.freeman@siemens-healthineers.com</v>
      </c>
      <c r="C1299" s="3">
        <f t="shared" si="74"/>
        <v>1</v>
      </c>
      <c r="D1299" s="2" t="s">
        <v>5763</v>
      </c>
      <c r="E1299" s="2" t="s">
        <v>59</v>
      </c>
      <c r="F1299" s="2" t="s">
        <v>5764</v>
      </c>
      <c r="I1299" s="2" t="s">
        <v>5765</v>
      </c>
      <c r="L1299" s="2" t="s">
        <v>5766</v>
      </c>
      <c r="M1299" s="2" t="s">
        <v>45</v>
      </c>
    </row>
    <row r="1300" spans="1:13" ht="15" x14ac:dyDescent="0.2">
      <c r="A1300" s="2" t="s">
        <v>5617</v>
      </c>
      <c r="B1300" s="3" t="str">
        <f t="shared" si="73"/>
        <v>sharanya.bhaskar@siemens-healthineers.com</v>
      </c>
      <c r="C1300" s="3">
        <f t="shared" si="74"/>
        <v>1</v>
      </c>
      <c r="D1300" s="2" t="s">
        <v>5767</v>
      </c>
      <c r="E1300" s="2" t="s">
        <v>5768</v>
      </c>
      <c r="F1300" s="2" t="s">
        <v>3788</v>
      </c>
      <c r="I1300" s="2" t="s">
        <v>5769</v>
      </c>
      <c r="L1300" s="2" t="s">
        <v>5770</v>
      </c>
      <c r="M1300" s="2" t="s">
        <v>45</v>
      </c>
    </row>
    <row r="1301" spans="1:13" ht="15" x14ac:dyDescent="0.2">
      <c r="A1301" s="2" t="s">
        <v>5617</v>
      </c>
      <c r="B1301" s="3" t="str">
        <f t="shared" si="73"/>
        <v>alfonso.dejesus@siemens-healthineers.com</v>
      </c>
      <c r="C1301" s="3">
        <f t="shared" si="74"/>
        <v>1</v>
      </c>
      <c r="D1301" s="2" t="s">
        <v>5771</v>
      </c>
      <c r="E1301" s="2" t="s">
        <v>5772</v>
      </c>
      <c r="F1301" s="2" t="s">
        <v>5773</v>
      </c>
      <c r="I1301" s="2" t="s">
        <v>5774</v>
      </c>
      <c r="L1301" s="2" t="s">
        <v>5775</v>
      </c>
      <c r="M1301" s="2" t="s">
        <v>45</v>
      </c>
    </row>
    <row r="1302" spans="1:13" ht="15" x14ac:dyDescent="0.2">
      <c r="A1302" s="2" t="s">
        <v>5617</v>
      </c>
      <c r="B1302" s="3" t="str">
        <f t="shared" si="73"/>
        <v>navya.lakshmana@siemens-healthineers.com</v>
      </c>
      <c r="C1302" s="3">
        <f t="shared" si="74"/>
        <v>1</v>
      </c>
      <c r="D1302" s="2" t="s">
        <v>5776</v>
      </c>
      <c r="E1302" s="2" t="s">
        <v>5777</v>
      </c>
      <c r="F1302" s="2" t="s">
        <v>5778</v>
      </c>
      <c r="I1302" s="2" t="s">
        <v>5779</v>
      </c>
      <c r="L1302" s="2" t="s">
        <v>1893</v>
      </c>
      <c r="M1302" s="2" t="s">
        <v>45</v>
      </c>
    </row>
    <row r="1303" spans="1:13" ht="15" x14ac:dyDescent="0.2">
      <c r="A1303" s="2" t="s">
        <v>5617</v>
      </c>
      <c r="B1303" s="3" t="str">
        <f t="shared" si="73"/>
        <v>satyendra.singh@siemens-healthineers.com</v>
      </c>
      <c r="C1303" s="3">
        <f t="shared" si="74"/>
        <v>1</v>
      </c>
      <c r="D1303" s="2" t="s">
        <v>5780</v>
      </c>
      <c r="E1303" s="2" t="s">
        <v>5781</v>
      </c>
      <c r="F1303" s="2" t="s">
        <v>1039</v>
      </c>
      <c r="I1303" s="2" t="s">
        <v>5782</v>
      </c>
      <c r="L1303" s="2" t="s">
        <v>277</v>
      </c>
      <c r="M1303" s="2" t="s">
        <v>45</v>
      </c>
    </row>
    <row r="1304" spans="1:13" ht="15" x14ac:dyDescent="0.2">
      <c r="A1304" s="2" t="s">
        <v>5617</v>
      </c>
      <c r="B1304" s="3" t="str">
        <f t="shared" si="73"/>
        <v>jesse.eller@siemens-healthineers.com</v>
      </c>
      <c r="C1304" s="3">
        <f t="shared" si="74"/>
        <v>1</v>
      </c>
      <c r="D1304" s="2" t="s">
        <v>5783</v>
      </c>
      <c r="E1304" s="2" t="s">
        <v>1903</v>
      </c>
      <c r="F1304" s="2" t="s">
        <v>5784</v>
      </c>
      <c r="I1304" s="2" t="s">
        <v>5785</v>
      </c>
      <c r="L1304" s="2" t="s">
        <v>132</v>
      </c>
      <c r="M1304" s="2" t="s">
        <v>45</v>
      </c>
    </row>
    <row r="1305" spans="1:13" ht="15" x14ac:dyDescent="0.2">
      <c r="A1305" s="2" t="s">
        <v>5617</v>
      </c>
      <c r="B1305" s="3" t="str">
        <f t="shared" si="73"/>
        <v>michael.wickline@siemens-healthineers.com</v>
      </c>
      <c r="C1305" s="3">
        <f t="shared" si="74"/>
        <v>1</v>
      </c>
      <c r="D1305" s="2" t="s">
        <v>5786</v>
      </c>
      <c r="E1305" s="2" t="s">
        <v>59</v>
      </c>
      <c r="F1305" s="2" t="s">
        <v>5787</v>
      </c>
      <c r="I1305" s="2" t="s">
        <v>5788</v>
      </c>
      <c r="L1305" s="2" t="s">
        <v>5789</v>
      </c>
      <c r="M1305" s="2" t="s">
        <v>22</v>
      </c>
    </row>
    <row r="1306" spans="1:13" ht="15" x14ac:dyDescent="0.2">
      <c r="A1306" s="2" t="s">
        <v>5617</v>
      </c>
      <c r="B1306" s="3" t="str">
        <f t="shared" si="73"/>
        <v>maria.shaw@siemens-healthineers.com</v>
      </c>
      <c r="C1306" s="3">
        <f t="shared" si="74"/>
        <v>1</v>
      </c>
      <c r="D1306" s="2" t="s">
        <v>5790</v>
      </c>
      <c r="E1306" s="2" t="s">
        <v>5791</v>
      </c>
      <c r="F1306" s="2" t="s">
        <v>5792</v>
      </c>
      <c r="I1306" s="2" t="s">
        <v>5793</v>
      </c>
      <c r="L1306" s="2" t="s">
        <v>5794</v>
      </c>
      <c r="M1306" s="2" t="s">
        <v>45</v>
      </c>
    </row>
    <row r="1307" spans="1:13" ht="15" x14ac:dyDescent="0.2">
      <c r="A1307" s="2" t="s">
        <v>5617</v>
      </c>
      <c r="B1307" s="3" t="str">
        <f t="shared" si="73"/>
        <v>kristen.killheffer@siemens-healthineers.com</v>
      </c>
      <c r="C1307" s="3">
        <f t="shared" si="74"/>
        <v>1</v>
      </c>
      <c r="D1307" s="2" t="s">
        <v>5795</v>
      </c>
      <c r="E1307" s="2" t="s">
        <v>980</v>
      </c>
      <c r="F1307" s="2" t="s">
        <v>5796</v>
      </c>
      <c r="I1307" s="2" t="s">
        <v>5797</v>
      </c>
      <c r="L1307" s="2" t="s">
        <v>5798</v>
      </c>
      <c r="M1307" s="2" t="s">
        <v>45</v>
      </c>
    </row>
    <row r="1308" spans="1:13" ht="15" x14ac:dyDescent="0.2">
      <c r="A1308" s="2" t="s">
        <v>5617</v>
      </c>
      <c r="B1308" s="3" t="str">
        <f t="shared" si="73"/>
        <v>david.nathans@siemens-healthineers.com</v>
      </c>
      <c r="C1308" s="3">
        <f t="shared" si="74"/>
        <v>2</v>
      </c>
      <c r="D1308" s="2" t="s">
        <v>5799</v>
      </c>
      <c r="E1308" s="2" t="s">
        <v>119</v>
      </c>
      <c r="F1308" s="2" t="s">
        <v>5800</v>
      </c>
      <c r="I1308" s="2" t="s">
        <v>5801</v>
      </c>
      <c r="L1308" s="2" t="s">
        <v>5802</v>
      </c>
      <c r="M1308" s="2" t="s">
        <v>45</v>
      </c>
    </row>
    <row r="1309" spans="1:13" ht="15" x14ac:dyDescent="0.2">
      <c r="A1309" s="2" t="s">
        <v>5617</v>
      </c>
      <c r="B1309" s="3" t="str">
        <f t="shared" si="73"/>
        <v>miroslav.hricko@siemens-healthineers.com</v>
      </c>
      <c r="C1309" s="3">
        <f t="shared" si="74"/>
        <v>1</v>
      </c>
      <c r="D1309" s="2" t="s">
        <v>5803</v>
      </c>
      <c r="E1309" s="2" t="s">
        <v>5804</v>
      </c>
      <c r="F1309" s="2" t="s">
        <v>5805</v>
      </c>
      <c r="I1309" s="2" t="s">
        <v>5806</v>
      </c>
      <c r="L1309" s="2" t="s">
        <v>68</v>
      </c>
      <c r="M1309" s="2" t="s">
        <v>45</v>
      </c>
    </row>
    <row r="1310" spans="1:13" ht="15" x14ac:dyDescent="0.2">
      <c r="A1310" s="2" t="s">
        <v>5617</v>
      </c>
      <c r="B1310" s="3" t="str">
        <f t="shared" si="73"/>
        <v>brandon.wright@siemens-healthineers.com</v>
      </c>
      <c r="C1310" s="3">
        <f t="shared" si="74"/>
        <v>1</v>
      </c>
      <c r="D1310" s="2" t="s">
        <v>5807</v>
      </c>
      <c r="E1310" s="2" t="s">
        <v>492</v>
      </c>
      <c r="F1310" s="2" t="s">
        <v>4759</v>
      </c>
      <c r="I1310" s="2" t="s">
        <v>5808</v>
      </c>
      <c r="L1310" s="2" t="s">
        <v>5809</v>
      </c>
      <c r="M1310" s="2" t="s">
        <v>45</v>
      </c>
    </row>
    <row r="1311" spans="1:13" ht="15" x14ac:dyDescent="0.2">
      <c r="A1311" s="2" t="s">
        <v>5617</v>
      </c>
      <c r="B1311" s="3" t="str">
        <f t="shared" si="73"/>
        <v>perumal.poopathy@siemens-healthineers.com</v>
      </c>
      <c r="C1311" s="3">
        <f t="shared" si="74"/>
        <v>1</v>
      </c>
      <c r="D1311" s="2" t="s">
        <v>5810</v>
      </c>
      <c r="E1311" s="2" t="s">
        <v>5811</v>
      </c>
      <c r="F1311" s="2" t="s">
        <v>5812</v>
      </c>
      <c r="I1311" s="2" t="s">
        <v>5813</v>
      </c>
      <c r="L1311" s="2" t="s">
        <v>5814</v>
      </c>
      <c r="M1311" s="2" t="s">
        <v>45</v>
      </c>
    </row>
    <row r="1312" spans="1:13" ht="15" x14ac:dyDescent="0.2">
      <c r="A1312" s="2" t="s">
        <v>5617</v>
      </c>
      <c r="B1312" s="3" t="str">
        <f t="shared" si="73"/>
        <v>gregory.fullerton@siemens-healthineers.com</v>
      </c>
      <c r="C1312" s="3">
        <f t="shared" si="74"/>
        <v>1</v>
      </c>
      <c r="D1312" s="2" t="s">
        <v>5815</v>
      </c>
      <c r="E1312" s="2" t="s">
        <v>940</v>
      </c>
      <c r="F1312" s="2" t="s">
        <v>5816</v>
      </c>
      <c r="I1312" s="2" t="s">
        <v>5817</v>
      </c>
      <c r="L1312" s="2" t="s">
        <v>68</v>
      </c>
      <c r="M1312" s="2" t="s">
        <v>45</v>
      </c>
    </row>
    <row r="1313" spans="1:16" ht="15" x14ac:dyDescent="0.2">
      <c r="A1313" s="2" t="s">
        <v>5617</v>
      </c>
      <c r="B1313" s="3" t="str">
        <f t="shared" si="73"/>
        <v>marion.kullberg@siemens-healthineers.com</v>
      </c>
      <c r="C1313" s="3">
        <f t="shared" si="74"/>
        <v>1</v>
      </c>
      <c r="D1313" s="2" t="s">
        <v>5818</v>
      </c>
      <c r="E1313" s="2" t="s">
        <v>5427</v>
      </c>
      <c r="F1313" s="2" t="s">
        <v>5819</v>
      </c>
      <c r="I1313" s="2" t="s">
        <v>5820</v>
      </c>
      <c r="L1313" s="2" t="s">
        <v>5821</v>
      </c>
      <c r="M1313" s="2" t="s">
        <v>45</v>
      </c>
    </row>
    <row r="1314" spans="1:16" ht="15" x14ac:dyDescent="0.2">
      <c r="A1314" s="2" t="s">
        <v>5617</v>
      </c>
      <c r="B1314" s="3" t="str">
        <f t="shared" si="73"/>
        <v>claud.alexander@siemens-healthineers.com</v>
      </c>
      <c r="C1314" s="3">
        <f t="shared" si="74"/>
        <v>2</v>
      </c>
      <c r="D1314" s="2" t="s">
        <v>5822</v>
      </c>
      <c r="E1314" s="2" t="s">
        <v>5823</v>
      </c>
      <c r="F1314" s="2" t="s">
        <v>1409</v>
      </c>
      <c r="I1314" s="2" t="s">
        <v>5824</v>
      </c>
      <c r="L1314" s="2" t="s">
        <v>4756</v>
      </c>
      <c r="M1314" s="2" t="s">
        <v>1247</v>
      </c>
    </row>
    <row r="1315" spans="1:16" ht="15" x14ac:dyDescent="0.2">
      <c r="A1315" s="2" t="s">
        <v>5617</v>
      </c>
      <c r="B1315" s="3" t="str">
        <f t="shared" si="73"/>
        <v>hans-martin.stockhausen@siemens-healthineers.com</v>
      </c>
      <c r="C1315" s="3">
        <f t="shared" si="74"/>
        <v>1</v>
      </c>
      <c r="D1315" s="2" t="s">
        <v>5825</v>
      </c>
      <c r="E1315" s="2" t="s">
        <v>5708</v>
      </c>
      <c r="F1315" s="2" t="s">
        <v>5826</v>
      </c>
      <c r="I1315" s="2" t="s">
        <v>5827</v>
      </c>
      <c r="L1315" s="2" t="s">
        <v>910</v>
      </c>
      <c r="M1315" s="2" t="s">
        <v>22</v>
      </c>
    </row>
    <row r="1316" spans="1:16" ht="15" x14ac:dyDescent="0.2">
      <c r="A1316" s="2" t="s">
        <v>5617</v>
      </c>
      <c r="B1316" s="3" t="str">
        <f t="shared" si="73"/>
        <v>katarina.amrichova@siemens-healthineers.com</v>
      </c>
      <c r="C1316" s="3">
        <f t="shared" si="74"/>
        <v>1</v>
      </c>
      <c r="D1316" s="2" t="s">
        <v>5828</v>
      </c>
      <c r="E1316" s="2" t="s">
        <v>5829</v>
      </c>
      <c r="F1316" s="2" t="s">
        <v>5830</v>
      </c>
      <c r="I1316" s="2" t="s">
        <v>5831</v>
      </c>
      <c r="L1316" s="2" t="s">
        <v>910</v>
      </c>
      <c r="M1316" s="2" t="s">
        <v>45</v>
      </c>
    </row>
    <row r="1317" spans="1:16" ht="15" x14ac:dyDescent="0.2">
      <c r="A1317" s="2" t="s">
        <v>5617</v>
      </c>
      <c r="B1317" s="3" t="str">
        <f t="shared" si="73"/>
        <v>tobias.limmer@siemens.com</v>
      </c>
      <c r="C1317" s="3">
        <f t="shared" si="74"/>
        <v>1</v>
      </c>
      <c r="D1317" s="2" t="s">
        <v>5832</v>
      </c>
      <c r="E1317" s="2" t="s">
        <v>2110</v>
      </c>
      <c r="F1317" s="2" t="s">
        <v>5833</v>
      </c>
      <c r="I1317" s="2" t="s">
        <v>5834</v>
      </c>
      <c r="L1317" s="2" t="s">
        <v>910</v>
      </c>
      <c r="M1317" s="2" t="s">
        <v>45</v>
      </c>
    </row>
    <row r="1318" spans="1:16" ht="15" x14ac:dyDescent="0.2">
      <c r="A1318" s="2" t="s">
        <v>5617</v>
      </c>
      <c r="B1318" s="3" t="str">
        <f t="shared" si="73"/>
        <v>rikhiya.ghosh@siemens-healthineers.com</v>
      </c>
      <c r="C1318" s="3">
        <f t="shared" si="74"/>
        <v>1</v>
      </c>
      <c r="D1318" s="2" t="s">
        <v>5835</v>
      </c>
      <c r="E1318" s="2" t="s">
        <v>5836</v>
      </c>
      <c r="F1318" s="2" t="s">
        <v>5837</v>
      </c>
      <c r="I1318" s="2" t="s">
        <v>5838</v>
      </c>
      <c r="L1318" s="2" t="s">
        <v>910</v>
      </c>
      <c r="M1318" s="2" t="s">
        <v>45</v>
      </c>
    </row>
    <row r="1319" spans="1:16" ht="15" x14ac:dyDescent="0.2">
      <c r="A1319" s="2" t="s">
        <v>5617</v>
      </c>
      <c r="B1319" s="3" t="str">
        <f t="shared" si="73"/>
        <v>martin.schmitt@siemens-healthineers.com</v>
      </c>
      <c r="C1319" s="3">
        <f t="shared" si="74"/>
        <v>1</v>
      </c>
      <c r="D1319" s="2" t="s">
        <v>5839</v>
      </c>
      <c r="E1319" s="2" t="s">
        <v>3319</v>
      </c>
      <c r="F1319" s="2" t="s">
        <v>5840</v>
      </c>
      <c r="I1319" s="2" t="s">
        <v>5841</v>
      </c>
      <c r="L1319" s="2" t="s">
        <v>5842</v>
      </c>
      <c r="M1319" s="2" t="s">
        <v>1247</v>
      </c>
    </row>
    <row r="1320" spans="1:16" ht="15" x14ac:dyDescent="0.2">
      <c r="A1320" s="2" t="s">
        <v>5617</v>
      </c>
      <c r="B1320" s="3" t="str">
        <f t="shared" si="73"/>
        <v>ernest.liu@siemens-healthineers.com</v>
      </c>
      <c r="C1320" s="3">
        <f t="shared" si="74"/>
        <v>1</v>
      </c>
      <c r="D1320" s="2" t="s">
        <v>5843</v>
      </c>
      <c r="E1320" s="2" t="s">
        <v>910</v>
      </c>
      <c r="F1320" s="2" t="s">
        <v>910</v>
      </c>
      <c r="I1320" s="2" t="s">
        <v>5844</v>
      </c>
      <c r="L1320" s="2" t="s">
        <v>361</v>
      </c>
      <c r="M1320" s="2" t="s">
        <v>45</v>
      </c>
    </row>
    <row r="1321" spans="1:16" ht="13" x14ac:dyDescent="0.15">
      <c r="A1321" s="4" t="s">
        <v>5845</v>
      </c>
      <c r="B1321" s="3" t="str">
        <f t="shared" si="73"/>
        <v>david.nathans@siemens-healthineers.com</v>
      </c>
      <c r="C1321" s="3">
        <f t="shared" si="74"/>
        <v>2</v>
      </c>
      <c r="D1321" s="5">
        <v>25006793647</v>
      </c>
      <c r="E1321" s="4" t="s">
        <v>119</v>
      </c>
      <c r="F1321" s="4" t="s">
        <v>5800</v>
      </c>
      <c r="G1321" s="4" t="s">
        <v>34</v>
      </c>
      <c r="H1321" s="4"/>
      <c r="I1321" s="4" t="s">
        <v>5801</v>
      </c>
      <c r="J1321" s="6" t="s">
        <v>5846</v>
      </c>
      <c r="K1321" s="4"/>
      <c r="L1321" s="4" t="s">
        <v>681</v>
      </c>
      <c r="M1321" s="4"/>
      <c r="N1321" s="4"/>
      <c r="O1321" s="4"/>
      <c r="P1321" s="4" t="str">
        <f>IF(OR(M1321="Customer", M1321="Opportunity", H1321="Yes", H1321=TRUE, G1321="Yes", G1321=TRUE, O1321&gt;0), "YES", "NO")</f>
        <v>YES</v>
      </c>
    </row>
    <row r="1322" spans="1:16" ht="13" x14ac:dyDescent="0.15">
      <c r="A1322" s="4" t="s">
        <v>5845</v>
      </c>
      <c r="B1322" s="3" t="str">
        <f t="shared" si="73"/>
        <v>claud.alexander@siemens-healthineers.com</v>
      </c>
      <c r="C1322" s="3">
        <f t="shared" si="74"/>
        <v>2</v>
      </c>
      <c r="D1322" s="5">
        <v>25012087917</v>
      </c>
      <c r="E1322" s="4" t="s">
        <v>5823</v>
      </c>
      <c r="F1322" s="4" t="s">
        <v>1409</v>
      </c>
      <c r="G1322" s="4" t="s">
        <v>34</v>
      </c>
      <c r="H1322" s="4"/>
      <c r="I1322" s="4" t="s">
        <v>5824</v>
      </c>
      <c r="J1322" s="6" t="s">
        <v>5846</v>
      </c>
      <c r="K1322" s="4"/>
      <c r="L1322" s="4" t="s">
        <v>5847</v>
      </c>
      <c r="M1322" s="4"/>
      <c r="N1322" s="4"/>
      <c r="O1322" s="4"/>
      <c r="P1322" s="4" t="str">
        <f>IF(OR(M1322="Customer", M1322="Opportunity", H1322="Yes", H1322=TRUE, G1322="Yes", G1322=TRUE, O1322&gt;0), "YES", "NO")</f>
        <v>YES</v>
      </c>
    </row>
    <row r="1323" spans="1:16" ht="13" x14ac:dyDescent="0.15">
      <c r="A1323" s="4" t="s">
        <v>5845</v>
      </c>
      <c r="B1323" s="3" t="str">
        <f t="shared" si="73"/>
        <v>hm.von_stockhausen@siemens-healthineers.com</v>
      </c>
      <c r="C1323" s="3">
        <f t="shared" si="74"/>
        <v>2</v>
      </c>
      <c r="D1323" s="5">
        <v>19614</v>
      </c>
      <c r="E1323" s="4" t="s">
        <v>5708</v>
      </c>
      <c r="F1323" s="4" t="s">
        <v>5709</v>
      </c>
      <c r="G1323" s="4" t="s">
        <v>34</v>
      </c>
      <c r="H1323" s="4"/>
      <c r="I1323" s="4" t="s">
        <v>5710</v>
      </c>
      <c r="J1323" s="6" t="s">
        <v>5846</v>
      </c>
      <c r="K1323" s="4"/>
      <c r="L1323" s="4" t="s">
        <v>5848</v>
      </c>
      <c r="M1323" s="4" t="s">
        <v>38</v>
      </c>
      <c r="N1323" s="4"/>
      <c r="O1323" s="4"/>
      <c r="P1323" s="4" t="str">
        <f>IF(OR(M1323="Customer", M1323="Opportunity", H1323="Yes", H1323=TRUE, G1323="Yes", G1323=TRUE, O1323&gt;0), "YES", "NO")</f>
        <v>YES</v>
      </c>
    </row>
    <row r="1324" spans="1:16" ht="13" x14ac:dyDescent="0.15">
      <c r="A1324" s="4" t="s">
        <v>5845</v>
      </c>
      <c r="B1324" s="3" t="str">
        <f t="shared" si="73"/>
        <v>Yes</v>
      </c>
      <c r="C1324" s="3">
        <f t="shared" si="74"/>
        <v>446</v>
      </c>
      <c r="D1324" s="5">
        <v>470</v>
      </c>
      <c r="E1324" s="4" t="s">
        <v>5849</v>
      </c>
      <c r="F1324" s="4" t="s">
        <v>5850</v>
      </c>
      <c r="G1324" s="4"/>
      <c r="H1324" s="4" t="s">
        <v>34</v>
      </c>
      <c r="I1324" s="4" t="s">
        <v>5851</v>
      </c>
      <c r="J1324" s="6" t="s">
        <v>5846</v>
      </c>
      <c r="K1324" s="4"/>
      <c r="L1324" s="4" t="s">
        <v>3414</v>
      </c>
      <c r="M1324" s="4" t="s">
        <v>38</v>
      </c>
      <c r="N1324" s="4"/>
      <c r="O1324" s="4"/>
      <c r="P1324" s="4" t="str">
        <f>IF(OR(M1324="Customer", M1324="Opportunity", H1324="Yes", H1324=TRUE, G1324="Yes", G1324=TRUE, O1324&gt;0), "YES", "NO")</f>
        <v>YES</v>
      </c>
    </row>
    <row r="1325" spans="1:16" ht="15" x14ac:dyDescent="0.2">
      <c r="A1325" s="2" t="s">
        <v>5852</v>
      </c>
      <c r="B1325" s="3" t="str">
        <f t="shared" si="73"/>
        <v>lindsey.orrick@sifthealthcare.com</v>
      </c>
      <c r="C1325" s="3">
        <f t="shared" si="74"/>
        <v>1</v>
      </c>
      <c r="D1325" s="2" t="s">
        <v>5853</v>
      </c>
      <c r="E1325" s="2" t="s">
        <v>5854</v>
      </c>
      <c r="F1325" s="2" t="s">
        <v>5855</v>
      </c>
      <c r="I1325" s="2" t="s">
        <v>5856</v>
      </c>
      <c r="L1325" s="2" t="s">
        <v>5857</v>
      </c>
      <c r="M1325" s="2" t="s">
        <v>45</v>
      </c>
    </row>
    <row r="1326" spans="1:16" ht="13" x14ac:dyDescent="0.15">
      <c r="A1326" s="4" t="s">
        <v>5858</v>
      </c>
      <c r="B1326" s="3" t="str">
        <f t="shared" si="73"/>
        <v>Yes</v>
      </c>
      <c r="C1326" s="3">
        <f t="shared" si="74"/>
        <v>446</v>
      </c>
      <c r="D1326" s="5">
        <v>11496431212</v>
      </c>
      <c r="E1326" s="4" t="s">
        <v>5859</v>
      </c>
      <c r="F1326" s="4" t="s">
        <v>5860</v>
      </c>
      <c r="G1326" s="4"/>
      <c r="H1326" s="4" t="s">
        <v>34</v>
      </c>
      <c r="I1326" s="4" t="s">
        <v>5861</v>
      </c>
      <c r="J1326" s="6" t="s">
        <v>5862</v>
      </c>
      <c r="K1326" s="4"/>
      <c r="L1326" s="4" t="s">
        <v>5863</v>
      </c>
      <c r="M1326" s="4" t="s">
        <v>38</v>
      </c>
      <c r="N1326" s="4"/>
      <c r="O1326" s="4"/>
      <c r="P1326" s="4" t="str">
        <f>IF(OR(M1326="Customer", M1326="Opportunity", H1326="Yes", H1326=TRUE, G1326="Yes", G1326=TRUE, O1326&gt;0), "YES", "NO")</f>
        <v>YES</v>
      </c>
    </row>
    <row r="1327" spans="1:16" ht="15" x14ac:dyDescent="0.2">
      <c r="A1327" s="2" t="s">
        <v>5864</v>
      </c>
      <c r="B1327" s="3" t="str">
        <f t="shared" si="73"/>
        <v>mandi.alegria@sih.net</v>
      </c>
      <c r="C1327" s="3">
        <f t="shared" si="74"/>
        <v>1</v>
      </c>
      <c r="D1327" s="2" t="s">
        <v>5865</v>
      </c>
      <c r="E1327" s="2" t="s">
        <v>5866</v>
      </c>
      <c r="F1327" s="2" t="s">
        <v>5867</v>
      </c>
      <c r="I1327" s="2" t="s">
        <v>5868</v>
      </c>
      <c r="L1327" s="2" t="s">
        <v>309</v>
      </c>
      <c r="M1327" s="2" t="s">
        <v>45</v>
      </c>
    </row>
    <row r="1328" spans="1:16" ht="15" x14ac:dyDescent="0.2">
      <c r="A1328" s="2" t="s">
        <v>5864</v>
      </c>
      <c r="B1328" s="3" t="str">
        <f t="shared" si="73"/>
        <v>taylor.calloni@sih.net</v>
      </c>
      <c r="C1328" s="3">
        <f t="shared" si="74"/>
        <v>1</v>
      </c>
      <c r="D1328" s="2" t="s">
        <v>5869</v>
      </c>
      <c r="E1328" s="2" t="s">
        <v>1013</v>
      </c>
      <c r="F1328" s="2" t="s">
        <v>5870</v>
      </c>
      <c r="I1328" s="2" t="s">
        <v>5871</v>
      </c>
      <c r="L1328" s="2" t="s">
        <v>5872</v>
      </c>
      <c r="M1328" s="2" t="s">
        <v>45</v>
      </c>
    </row>
    <row r="1329" spans="1:16" ht="15" x14ac:dyDescent="0.2">
      <c r="A1329" s="2" t="s">
        <v>5864</v>
      </c>
      <c r="B1329" s="3" t="str">
        <f t="shared" si="73"/>
        <v>fabricio.gamboa@sih.net</v>
      </c>
      <c r="C1329" s="3">
        <f t="shared" si="74"/>
        <v>1</v>
      </c>
      <c r="D1329" s="2" t="s">
        <v>5873</v>
      </c>
      <c r="E1329" s="2" t="s">
        <v>5874</v>
      </c>
      <c r="F1329" s="2" t="s">
        <v>5875</v>
      </c>
      <c r="I1329" s="2" t="s">
        <v>5876</v>
      </c>
      <c r="L1329" s="2" t="s">
        <v>309</v>
      </c>
      <c r="M1329" s="2" t="s">
        <v>45</v>
      </c>
    </row>
    <row r="1330" spans="1:16" ht="15" x14ac:dyDescent="0.2">
      <c r="A1330" s="2" t="s">
        <v>5864</v>
      </c>
      <c r="B1330" s="3" t="str">
        <f t="shared" si="73"/>
        <v>nathan.phoenix@sih.net</v>
      </c>
      <c r="C1330" s="3">
        <f t="shared" si="74"/>
        <v>1</v>
      </c>
      <c r="D1330" s="2" t="s">
        <v>5877</v>
      </c>
      <c r="E1330" s="2" t="s">
        <v>934</v>
      </c>
      <c r="F1330" s="2" t="s">
        <v>5878</v>
      </c>
      <c r="I1330" s="2" t="s">
        <v>5879</v>
      </c>
      <c r="L1330" s="2" t="s">
        <v>5880</v>
      </c>
      <c r="M1330" s="2" t="s">
        <v>45</v>
      </c>
    </row>
    <row r="1331" spans="1:16" ht="13" x14ac:dyDescent="0.15">
      <c r="A1331" s="4" t="s">
        <v>5881</v>
      </c>
      <c r="B1331" s="3" t="str">
        <f t="shared" si="73"/>
        <v>neal@siterx.com</v>
      </c>
      <c r="C1331" s="3">
        <f t="shared" si="74"/>
        <v>1</v>
      </c>
      <c r="D1331" s="5">
        <v>25013622654</v>
      </c>
      <c r="E1331" s="4" t="s">
        <v>376</v>
      </c>
      <c r="F1331" s="4" t="s">
        <v>5882</v>
      </c>
      <c r="G1331" s="4" t="s">
        <v>34</v>
      </c>
      <c r="H1331" s="4"/>
      <c r="I1331" s="4" t="s">
        <v>5883</v>
      </c>
      <c r="J1331" s="6" t="s">
        <v>5884</v>
      </c>
      <c r="K1331" s="4"/>
      <c r="L1331" s="4" t="s">
        <v>681</v>
      </c>
      <c r="M1331" s="4"/>
      <c r="N1331" s="4"/>
      <c r="O1331" s="4"/>
      <c r="P1331" s="4" t="str">
        <f t="shared" ref="P1331:P1339" si="75">IF(OR(M1331="Customer", M1331="Opportunity", H1331="Yes", H1331=TRUE, G1331="Yes", G1331=TRUE, O1331&gt;0), "YES", "NO")</f>
        <v>YES</v>
      </c>
    </row>
    <row r="1332" spans="1:16" ht="13" x14ac:dyDescent="0.15">
      <c r="A1332" s="4" t="s">
        <v>5885</v>
      </c>
      <c r="B1332" s="3" t="str">
        <f t="shared" si="73"/>
        <v>kwolley@zynex.com</v>
      </c>
      <c r="C1332" s="3">
        <f t="shared" si="74"/>
        <v>1</v>
      </c>
      <c r="D1332" s="5">
        <v>15130097325</v>
      </c>
      <c r="E1332" s="4" t="s">
        <v>5886</v>
      </c>
      <c r="F1332" s="4" t="s">
        <v>5887</v>
      </c>
      <c r="G1332" s="4"/>
      <c r="H1332" s="4"/>
      <c r="I1332" s="4" t="s">
        <v>5888</v>
      </c>
      <c r="J1332" s="6" t="s">
        <v>5889</v>
      </c>
      <c r="K1332" s="4"/>
      <c r="L1332" s="4" t="s">
        <v>2433</v>
      </c>
      <c r="M1332" s="4" t="s">
        <v>716</v>
      </c>
      <c r="N1332" s="4"/>
      <c r="O1332" s="4"/>
      <c r="P1332" s="4" t="str">
        <f t="shared" si="75"/>
        <v>YES</v>
      </c>
    </row>
    <row r="1333" spans="1:16" ht="13" x14ac:dyDescent="0.15">
      <c r="A1333" s="4" t="s">
        <v>5890</v>
      </c>
      <c r="B1333" s="3" t="str">
        <f t="shared" si="73"/>
        <v>Yes</v>
      </c>
      <c r="C1333" s="3">
        <f t="shared" si="74"/>
        <v>446</v>
      </c>
      <c r="D1333" s="5">
        <v>4058</v>
      </c>
      <c r="E1333" s="4" t="s">
        <v>5891</v>
      </c>
      <c r="F1333" s="4" t="s">
        <v>5892</v>
      </c>
      <c r="G1333" s="4"/>
      <c r="H1333" s="4" t="s">
        <v>34</v>
      </c>
      <c r="I1333" s="4" t="s">
        <v>5893</v>
      </c>
      <c r="J1333" s="6" t="s">
        <v>5894</v>
      </c>
      <c r="K1333" s="4"/>
      <c r="L1333" s="4" t="s">
        <v>3533</v>
      </c>
      <c r="M1333" s="4" t="s">
        <v>38</v>
      </c>
      <c r="N1333" s="4"/>
      <c r="O1333" s="4"/>
      <c r="P1333" s="4" t="str">
        <f t="shared" si="75"/>
        <v>YES</v>
      </c>
    </row>
    <row r="1334" spans="1:16" ht="13" x14ac:dyDescent="0.15">
      <c r="A1334" s="4" t="s">
        <v>5895</v>
      </c>
      <c r="B1334" s="3" t="str">
        <f t="shared" si="73"/>
        <v>Yes</v>
      </c>
      <c r="C1334" s="3">
        <f t="shared" si="74"/>
        <v>446</v>
      </c>
      <c r="D1334" s="5">
        <v>6057</v>
      </c>
      <c r="E1334" s="4" t="s">
        <v>2754</v>
      </c>
      <c r="F1334" s="4" t="s">
        <v>5896</v>
      </c>
      <c r="G1334" s="4"/>
      <c r="H1334" s="4" t="s">
        <v>34</v>
      </c>
      <c r="I1334" s="4" t="s">
        <v>5897</v>
      </c>
      <c r="J1334" s="6" t="s">
        <v>5898</v>
      </c>
      <c r="K1334" s="4"/>
      <c r="L1334" s="4" t="s">
        <v>5899</v>
      </c>
      <c r="M1334" s="4" t="s">
        <v>38</v>
      </c>
      <c r="N1334" s="4" t="s">
        <v>5900</v>
      </c>
      <c r="O1334" s="4"/>
      <c r="P1334" s="4" t="str">
        <f t="shared" si="75"/>
        <v>YES</v>
      </c>
    </row>
    <row r="1335" spans="1:16" ht="13" x14ac:dyDescent="0.15">
      <c r="A1335" s="4" t="s">
        <v>5901</v>
      </c>
      <c r="B1335" s="3" t="str">
        <f t="shared" si="73"/>
        <v>Yes</v>
      </c>
      <c r="C1335" s="3">
        <f t="shared" si="74"/>
        <v>446</v>
      </c>
      <c r="D1335" s="5">
        <v>11515742878</v>
      </c>
      <c r="E1335" s="4" t="s">
        <v>3319</v>
      </c>
      <c r="F1335" s="4" t="s">
        <v>5902</v>
      </c>
      <c r="G1335" s="4"/>
      <c r="H1335" s="4" t="s">
        <v>34</v>
      </c>
      <c r="I1335" s="4" t="s">
        <v>5903</v>
      </c>
      <c r="J1335" s="6" t="s">
        <v>5904</v>
      </c>
      <c r="K1335" s="4"/>
      <c r="L1335" s="4" t="s">
        <v>4033</v>
      </c>
      <c r="M1335" s="4" t="s">
        <v>38</v>
      </c>
      <c r="N1335" s="4"/>
      <c r="O1335" s="4"/>
      <c r="P1335" s="4" t="str">
        <f t="shared" si="75"/>
        <v>YES</v>
      </c>
    </row>
    <row r="1336" spans="1:16" ht="13" x14ac:dyDescent="0.15">
      <c r="A1336" s="4" t="s">
        <v>5905</v>
      </c>
      <c r="B1336" s="3" t="str">
        <f t="shared" si="73"/>
        <v>Yes</v>
      </c>
      <c r="C1336" s="3">
        <f t="shared" si="74"/>
        <v>446</v>
      </c>
      <c r="D1336" s="5">
        <v>11513106103</v>
      </c>
      <c r="E1336" s="4" t="s">
        <v>5906</v>
      </c>
      <c r="F1336" s="4" t="s">
        <v>3810</v>
      </c>
      <c r="G1336" s="4"/>
      <c r="H1336" s="4" t="s">
        <v>34</v>
      </c>
      <c r="I1336" s="4" t="s">
        <v>5907</v>
      </c>
      <c r="J1336" s="6" t="s">
        <v>5908</v>
      </c>
      <c r="K1336" s="4"/>
      <c r="L1336" s="4" t="s">
        <v>3408</v>
      </c>
      <c r="M1336" s="4" t="s">
        <v>38</v>
      </c>
      <c r="N1336" s="4"/>
      <c r="O1336" s="4"/>
      <c r="P1336" s="4" t="str">
        <f t="shared" si="75"/>
        <v>YES</v>
      </c>
    </row>
    <row r="1337" spans="1:16" ht="13" x14ac:dyDescent="0.15">
      <c r="A1337" s="4" t="s">
        <v>5909</v>
      </c>
      <c r="B1337" s="3" t="str">
        <f t="shared" si="73"/>
        <v>paul.key@smith-nephew.com</v>
      </c>
      <c r="C1337" s="3">
        <f t="shared" si="74"/>
        <v>1</v>
      </c>
      <c r="D1337" s="5">
        <v>25011873688</v>
      </c>
      <c r="E1337" s="4" t="s">
        <v>526</v>
      </c>
      <c r="F1337" s="4" t="s">
        <v>5910</v>
      </c>
      <c r="G1337" s="4" t="s">
        <v>34</v>
      </c>
      <c r="H1337" s="4"/>
      <c r="I1337" s="4" t="s">
        <v>5911</v>
      </c>
      <c r="J1337" s="6" t="s">
        <v>5912</v>
      </c>
      <c r="K1337" s="4"/>
      <c r="L1337" s="4" t="s">
        <v>5913</v>
      </c>
      <c r="M1337" s="4"/>
      <c r="N1337" s="4"/>
      <c r="O1337" s="4"/>
      <c r="P1337" s="4" t="str">
        <f t="shared" si="75"/>
        <v>YES</v>
      </c>
    </row>
    <row r="1338" spans="1:16" ht="13" x14ac:dyDescent="0.15">
      <c r="A1338" s="4" t="s">
        <v>5914</v>
      </c>
      <c r="B1338" s="3" t="str">
        <f t="shared" si="73"/>
        <v>Yes</v>
      </c>
      <c r="C1338" s="3">
        <f t="shared" si="74"/>
        <v>446</v>
      </c>
      <c r="D1338" s="5">
        <v>11513106177</v>
      </c>
      <c r="E1338" s="4" t="s">
        <v>5915</v>
      </c>
      <c r="F1338" s="4" t="s">
        <v>5916</v>
      </c>
      <c r="G1338" s="4"/>
      <c r="H1338" s="4" t="s">
        <v>34</v>
      </c>
      <c r="I1338" s="4" t="s">
        <v>5917</v>
      </c>
      <c r="J1338" s="6" t="s">
        <v>5912</v>
      </c>
      <c r="K1338" s="4"/>
      <c r="L1338" s="4" t="s">
        <v>5918</v>
      </c>
      <c r="M1338" s="4" t="s">
        <v>38</v>
      </c>
      <c r="N1338" s="4"/>
      <c r="O1338" s="4"/>
      <c r="P1338" s="4" t="str">
        <f t="shared" si="75"/>
        <v>YES</v>
      </c>
    </row>
    <row r="1339" spans="1:16" ht="13" x14ac:dyDescent="0.15">
      <c r="A1339" s="4" t="s">
        <v>5919</v>
      </c>
      <c r="B1339" s="3" t="str">
        <f t="shared" si="73"/>
        <v>Yes</v>
      </c>
      <c r="C1339" s="3">
        <f t="shared" si="74"/>
        <v>446</v>
      </c>
      <c r="D1339" s="5">
        <v>1115</v>
      </c>
      <c r="E1339" s="4" t="s">
        <v>187</v>
      </c>
      <c r="F1339" s="4" t="s">
        <v>5920</v>
      </c>
      <c r="G1339" s="4"/>
      <c r="H1339" s="4" t="s">
        <v>34</v>
      </c>
      <c r="I1339" s="4" t="s">
        <v>5921</v>
      </c>
      <c r="J1339" s="6" t="s">
        <v>5922</v>
      </c>
      <c r="K1339" s="4"/>
      <c r="L1339" s="4" t="s">
        <v>5923</v>
      </c>
      <c r="M1339" s="4" t="s">
        <v>38</v>
      </c>
      <c r="N1339" s="4"/>
      <c r="O1339" s="4"/>
      <c r="P1339" s="4" t="str">
        <f t="shared" si="75"/>
        <v>YES</v>
      </c>
    </row>
    <row r="1340" spans="1:16" ht="15" x14ac:dyDescent="0.2">
      <c r="A1340" s="2" t="s">
        <v>5924</v>
      </c>
      <c r="B1340" s="3" t="str">
        <f t="shared" si="73"/>
        <v>jim@solventum.com</v>
      </c>
      <c r="C1340" s="3">
        <f t="shared" si="74"/>
        <v>1</v>
      </c>
      <c r="D1340" s="2" t="s">
        <v>5925</v>
      </c>
      <c r="E1340" s="2" t="s">
        <v>177</v>
      </c>
      <c r="F1340" s="2" t="s">
        <v>5926</v>
      </c>
      <c r="I1340" s="2" t="s">
        <v>5927</v>
      </c>
      <c r="L1340" s="2" t="s">
        <v>5928</v>
      </c>
      <c r="M1340" s="2" t="s">
        <v>45</v>
      </c>
    </row>
    <row r="1341" spans="1:16" ht="15" x14ac:dyDescent="0.2">
      <c r="A1341" s="2" t="s">
        <v>5924</v>
      </c>
      <c r="B1341" s="3" t="str">
        <f t="shared" si="73"/>
        <v>lmaloney@solventum.com</v>
      </c>
      <c r="C1341" s="3">
        <f t="shared" si="74"/>
        <v>1</v>
      </c>
      <c r="D1341" s="2" t="s">
        <v>5929</v>
      </c>
      <c r="E1341" s="2" t="s">
        <v>5930</v>
      </c>
      <c r="F1341" s="2" t="s">
        <v>5931</v>
      </c>
      <c r="I1341" s="2" t="s">
        <v>5932</v>
      </c>
      <c r="L1341" s="2" t="s">
        <v>5933</v>
      </c>
      <c r="M1341" s="2" t="s">
        <v>45</v>
      </c>
    </row>
    <row r="1342" spans="1:16" ht="15" x14ac:dyDescent="0.2">
      <c r="A1342" s="2" t="s">
        <v>5924</v>
      </c>
      <c r="B1342" s="3" t="str">
        <f t="shared" si="73"/>
        <v>sflandro@solventum.com</v>
      </c>
      <c r="C1342" s="3">
        <f t="shared" si="74"/>
        <v>1</v>
      </c>
      <c r="D1342" s="2" t="s">
        <v>5934</v>
      </c>
      <c r="E1342" s="2" t="s">
        <v>5935</v>
      </c>
      <c r="F1342" s="2" t="s">
        <v>5936</v>
      </c>
      <c r="I1342" s="2" t="s">
        <v>5937</v>
      </c>
      <c r="L1342" s="2" t="s">
        <v>5938</v>
      </c>
      <c r="M1342" s="2" t="s">
        <v>45</v>
      </c>
    </row>
    <row r="1343" spans="1:16" ht="15" x14ac:dyDescent="0.2">
      <c r="A1343" s="2" t="s">
        <v>5924</v>
      </c>
      <c r="B1343" s="3" t="str">
        <f t="shared" si="73"/>
        <v>dstreicher@solventum.com</v>
      </c>
      <c r="C1343" s="3">
        <f t="shared" si="74"/>
        <v>1</v>
      </c>
      <c r="D1343" s="2" t="s">
        <v>5939</v>
      </c>
      <c r="E1343" s="2" t="s">
        <v>1858</v>
      </c>
      <c r="F1343" s="2" t="s">
        <v>5940</v>
      </c>
      <c r="I1343" s="2" t="s">
        <v>5941</v>
      </c>
      <c r="L1343" s="2" t="s">
        <v>5942</v>
      </c>
      <c r="M1343" s="2" t="s">
        <v>45</v>
      </c>
    </row>
    <row r="1344" spans="1:16" ht="15" x14ac:dyDescent="0.2">
      <c r="A1344" s="2" t="s">
        <v>5924</v>
      </c>
      <c r="B1344" s="3" t="str">
        <f t="shared" si="73"/>
        <v>jvogt@solventum.com</v>
      </c>
      <c r="C1344" s="3">
        <f t="shared" si="74"/>
        <v>1</v>
      </c>
      <c r="D1344" s="2" t="s">
        <v>5943</v>
      </c>
      <c r="E1344" s="2" t="s">
        <v>5944</v>
      </c>
      <c r="F1344" s="2" t="s">
        <v>5945</v>
      </c>
      <c r="I1344" s="2" t="s">
        <v>5946</v>
      </c>
      <c r="L1344" s="2" t="s">
        <v>5947</v>
      </c>
      <c r="M1344" s="2" t="s">
        <v>45</v>
      </c>
    </row>
    <row r="1345" spans="1:16" ht="15" x14ac:dyDescent="0.2">
      <c r="A1345" s="2" t="s">
        <v>5924</v>
      </c>
      <c r="B1345" s="3" t="str">
        <f t="shared" si="73"/>
        <v>kferko@solventum.com</v>
      </c>
      <c r="C1345" s="3">
        <f t="shared" si="74"/>
        <v>1</v>
      </c>
      <c r="D1345" s="2" t="s">
        <v>5948</v>
      </c>
      <c r="E1345" s="2" t="s">
        <v>449</v>
      </c>
      <c r="F1345" s="2" t="s">
        <v>5949</v>
      </c>
      <c r="I1345" s="2" t="s">
        <v>5950</v>
      </c>
      <c r="L1345" s="2" t="s">
        <v>5951</v>
      </c>
      <c r="M1345" s="2" t="s">
        <v>45</v>
      </c>
    </row>
    <row r="1346" spans="1:16" ht="15" x14ac:dyDescent="0.2">
      <c r="A1346" s="2" t="s">
        <v>5924</v>
      </c>
      <c r="B1346" s="3" t="str">
        <f t="shared" ref="B1346:B1409" si="76">IF(H1346&lt;&gt;"",H1346,I1346)</f>
        <v>blawrence@solventum.com</v>
      </c>
      <c r="C1346" s="3">
        <f t="shared" ref="C1346:C1409" si="77">COUNTIF($B$2:$B$1586,B1346)</f>
        <v>1</v>
      </c>
      <c r="D1346" s="2" t="s">
        <v>5952</v>
      </c>
      <c r="E1346" s="2" t="s">
        <v>99</v>
      </c>
      <c r="F1346" s="2" t="s">
        <v>2803</v>
      </c>
      <c r="I1346" s="2" t="s">
        <v>5953</v>
      </c>
      <c r="L1346" s="2" t="s">
        <v>5954</v>
      </c>
      <c r="M1346" s="2" t="s">
        <v>22</v>
      </c>
    </row>
    <row r="1347" spans="1:16" ht="15" x14ac:dyDescent="0.2">
      <c r="A1347" s="2" t="s">
        <v>5924</v>
      </c>
      <c r="B1347" s="3" t="str">
        <f t="shared" si="76"/>
        <v>rgibbons@solventum.com</v>
      </c>
      <c r="C1347" s="3">
        <f t="shared" si="77"/>
        <v>1</v>
      </c>
      <c r="D1347" s="2" t="s">
        <v>5955</v>
      </c>
      <c r="E1347" s="2" t="s">
        <v>2134</v>
      </c>
      <c r="F1347" s="2" t="s">
        <v>5956</v>
      </c>
      <c r="I1347" s="2" t="s">
        <v>5957</v>
      </c>
      <c r="L1347" s="2" t="s">
        <v>5958</v>
      </c>
      <c r="M1347" s="2" t="s">
        <v>463</v>
      </c>
    </row>
    <row r="1348" spans="1:16" ht="15" x14ac:dyDescent="0.2">
      <c r="A1348" s="2" t="s">
        <v>5924</v>
      </c>
      <c r="B1348" s="3" t="str">
        <f t="shared" si="76"/>
        <v>ecolon@solventum.com</v>
      </c>
      <c r="C1348" s="3">
        <f t="shared" si="77"/>
        <v>1</v>
      </c>
      <c r="D1348" s="2" t="s">
        <v>5959</v>
      </c>
      <c r="E1348" s="2" t="s">
        <v>910</v>
      </c>
      <c r="F1348" s="2" t="s">
        <v>910</v>
      </c>
      <c r="I1348" s="2" t="s">
        <v>5960</v>
      </c>
      <c r="L1348" s="2" t="s">
        <v>5961</v>
      </c>
      <c r="M1348" s="2" t="s">
        <v>45</v>
      </c>
    </row>
    <row r="1349" spans="1:16" ht="15" x14ac:dyDescent="0.2">
      <c r="A1349" s="2" t="s">
        <v>5924</v>
      </c>
      <c r="B1349" s="3" t="str">
        <f t="shared" si="76"/>
        <v>jlaird@solventum.com</v>
      </c>
      <c r="C1349" s="3">
        <f t="shared" si="77"/>
        <v>1</v>
      </c>
      <c r="D1349" s="2" t="s">
        <v>5962</v>
      </c>
      <c r="E1349" s="2" t="s">
        <v>264</v>
      </c>
      <c r="F1349" s="2" t="s">
        <v>5963</v>
      </c>
      <c r="I1349" s="2" t="s">
        <v>5964</v>
      </c>
      <c r="L1349" s="2" t="s">
        <v>5965</v>
      </c>
      <c r="M1349" s="2" t="s">
        <v>22</v>
      </c>
    </row>
    <row r="1350" spans="1:16" ht="15" x14ac:dyDescent="0.2">
      <c r="A1350" s="2" t="s">
        <v>5966</v>
      </c>
      <c r="B1350" s="3" t="str">
        <f t="shared" si="76"/>
        <v>hbrooker@sonichealthcare.com</v>
      </c>
      <c r="C1350" s="3">
        <f t="shared" si="77"/>
        <v>1</v>
      </c>
      <c r="D1350" s="2" t="s">
        <v>5967</v>
      </c>
      <c r="E1350" s="2" t="s">
        <v>3941</v>
      </c>
      <c r="F1350" s="2" t="s">
        <v>5968</v>
      </c>
      <c r="I1350" s="2" t="s">
        <v>5969</v>
      </c>
      <c r="L1350" s="2" t="s">
        <v>5970</v>
      </c>
      <c r="M1350" s="2" t="s">
        <v>22</v>
      </c>
    </row>
    <row r="1351" spans="1:16" ht="15" x14ac:dyDescent="0.2">
      <c r="A1351" s="2" t="s">
        <v>5971</v>
      </c>
      <c r="B1351" s="3" t="str">
        <f t="shared" si="76"/>
        <v>tday@sonichealthcareusa.com</v>
      </c>
      <c r="C1351" s="3">
        <f t="shared" si="77"/>
        <v>1</v>
      </c>
      <c r="D1351" s="2" t="s">
        <v>5972</v>
      </c>
      <c r="E1351" s="2" t="s">
        <v>1126</v>
      </c>
      <c r="F1351" s="2" t="s">
        <v>5973</v>
      </c>
      <c r="I1351" s="2" t="s">
        <v>5974</v>
      </c>
      <c r="L1351" s="2" t="s">
        <v>3178</v>
      </c>
      <c r="M1351" s="2" t="s">
        <v>45</v>
      </c>
    </row>
    <row r="1352" spans="1:16" ht="15" x14ac:dyDescent="0.2">
      <c r="A1352" s="2" t="s">
        <v>5971</v>
      </c>
      <c r="B1352" s="3" t="str">
        <f t="shared" si="76"/>
        <v>fcave@sonichealthcareusa.com</v>
      </c>
      <c r="C1352" s="3">
        <f t="shared" si="77"/>
        <v>1</v>
      </c>
      <c r="D1352" s="2" t="s">
        <v>5975</v>
      </c>
      <c r="E1352" s="2" t="s">
        <v>5976</v>
      </c>
      <c r="F1352" s="2" t="s">
        <v>5977</v>
      </c>
      <c r="I1352" s="2" t="s">
        <v>5978</v>
      </c>
      <c r="L1352" s="2" t="s">
        <v>5979</v>
      </c>
      <c r="M1352" s="2" t="s">
        <v>45</v>
      </c>
    </row>
    <row r="1353" spans="1:16" ht="13" x14ac:dyDescent="0.15">
      <c r="A1353" s="4" t="s">
        <v>5980</v>
      </c>
      <c r="B1353" s="3" t="str">
        <f t="shared" si="76"/>
        <v>Yes</v>
      </c>
      <c r="C1353" s="3">
        <f t="shared" si="77"/>
        <v>446</v>
      </c>
      <c r="D1353" s="5">
        <v>610</v>
      </c>
      <c r="E1353" s="4" t="s">
        <v>5981</v>
      </c>
      <c r="F1353" s="4" t="s">
        <v>5982</v>
      </c>
      <c r="G1353" s="4"/>
      <c r="H1353" s="4" t="s">
        <v>34</v>
      </c>
      <c r="I1353" s="4" t="s">
        <v>5983</v>
      </c>
      <c r="J1353" s="6" t="s">
        <v>5984</v>
      </c>
      <c r="K1353" s="4"/>
      <c r="L1353" s="4" t="s">
        <v>2727</v>
      </c>
      <c r="M1353" s="4" t="s">
        <v>38</v>
      </c>
      <c r="N1353" s="4"/>
      <c r="O1353" s="4"/>
      <c r="P1353" s="4" t="str">
        <f t="shared" ref="P1353:P1359" si="78">IF(OR(M1353="Customer", M1353="Opportunity", H1353="Yes", H1353=TRUE, G1353="Yes", G1353=TRUE, O1353&gt;0), "YES", "NO")</f>
        <v>YES</v>
      </c>
    </row>
    <row r="1354" spans="1:16" ht="13" x14ac:dyDescent="0.15">
      <c r="A1354" s="4" t="s">
        <v>5985</v>
      </c>
      <c r="B1354" s="3" t="str">
        <f t="shared" si="76"/>
        <v>Yes</v>
      </c>
      <c r="C1354" s="3">
        <f t="shared" si="77"/>
        <v>446</v>
      </c>
      <c r="D1354" s="5">
        <v>11516590776</v>
      </c>
      <c r="E1354" s="4" t="s">
        <v>1671</v>
      </c>
      <c r="F1354" s="4" t="s">
        <v>280</v>
      </c>
      <c r="G1354" s="4"/>
      <c r="H1354" s="4" t="s">
        <v>34</v>
      </c>
      <c r="I1354" s="4" t="s">
        <v>5986</v>
      </c>
      <c r="J1354" s="6" t="s">
        <v>5987</v>
      </c>
      <c r="K1354" s="4"/>
      <c r="L1354" s="4" t="s">
        <v>5988</v>
      </c>
      <c r="M1354" s="4" t="s">
        <v>38</v>
      </c>
      <c r="N1354" s="4"/>
      <c r="O1354" s="4"/>
      <c r="P1354" s="4" t="str">
        <f t="shared" si="78"/>
        <v>YES</v>
      </c>
    </row>
    <row r="1355" spans="1:16" ht="13" x14ac:dyDescent="0.15">
      <c r="A1355" s="4" t="s">
        <v>5989</v>
      </c>
      <c r="B1355" s="3" t="str">
        <f t="shared" si="76"/>
        <v>frank.dimaggio@sghs.org</v>
      </c>
      <c r="C1355" s="3">
        <f t="shared" si="77"/>
        <v>1</v>
      </c>
      <c r="D1355" s="5">
        <v>25011151890</v>
      </c>
      <c r="E1355" s="4" t="s">
        <v>1998</v>
      </c>
      <c r="F1355" s="4" t="s">
        <v>5990</v>
      </c>
      <c r="G1355" s="4" t="s">
        <v>34</v>
      </c>
      <c r="H1355" s="4"/>
      <c r="I1355" s="4" t="s">
        <v>5991</v>
      </c>
      <c r="J1355" s="6" t="s">
        <v>5992</v>
      </c>
      <c r="K1355" s="4"/>
      <c r="L1355" s="4" t="s">
        <v>4756</v>
      </c>
      <c r="M1355" s="4"/>
      <c r="N1355" s="4"/>
      <c r="O1355" s="4"/>
      <c r="P1355" s="4" t="str">
        <f t="shared" si="78"/>
        <v>YES</v>
      </c>
    </row>
    <row r="1356" spans="1:16" ht="13" x14ac:dyDescent="0.15">
      <c r="A1356" s="4" t="s">
        <v>5993</v>
      </c>
      <c r="B1356" s="3" t="str">
        <f t="shared" si="76"/>
        <v>Yes</v>
      </c>
      <c r="C1356" s="3">
        <f t="shared" si="77"/>
        <v>446</v>
      </c>
      <c r="D1356" s="5">
        <v>11512947717</v>
      </c>
      <c r="E1356" s="4" t="s">
        <v>5994</v>
      </c>
      <c r="F1356" s="4" t="s">
        <v>774</v>
      </c>
      <c r="G1356" s="4"/>
      <c r="H1356" s="4" t="s">
        <v>34</v>
      </c>
      <c r="I1356" s="4" t="s">
        <v>5995</v>
      </c>
      <c r="J1356" s="6" t="s">
        <v>4235</v>
      </c>
      <c r="K1356" s="4"/>
      <c r="L1356" s="4" t="s">
        <v>5996</v>
      </c>
      <c r="M1356" s="4" t="s">
        <v>38</v>
      </c>
      <c r="N1356" s="4"/>
      <c r="O1356" s="4"/>
      <c r="P1356" s="4" t="str">
        <f t="shared" si="78"/>
        <v>YES</v>
      </c>
    </row>
    <row r="1357" spans="1:16" ht="13" x14ac:dyDescent="0.15">
      <c r="A1357" s="4" t="s">
        <v>5993</v>
      </c>
      <c r="B1357" s="3" t="str">
        <f t="shared" si="76"/>
        <v>Yes</v>
      </c>
      <c r="C1357" s="3">
        <f t="shared" si="77"/>
        <v>446</v>
      </c>
      <c r="D1357" s="5">
        <v>11512458415</v>
      </c>
      <c r="E1357" s="4" t="s">
        <v>240</v>
      </c>
      <c r="F1357" s="4" t="s">
        <v>5997</v>
      </c>
      <c r="G1357" s="4"/>
      <c r="H1357" s="4" t="s">
        <v>34</v>
      </c>
      <c r="I1357" s="4" t="s">
        <v>5998</v>
      </c>
      <c r="J1357" s="6" t="s">
        <v>4235</v>
      </c>
      <c r="K1357" s="4"/>
      <c r="L1357" s="4" t="s">
        <v>5999</v>
      </c>
      <c r="M1357" s="4" t="s">
        <v>38</v>
      </c>
      <c r="N1357" s="4"/>
      <c r="O1357" s="4"/>
      <c r="P1357" s="4" t="str">
        <f t="shared" si="78"/>
        <v>YES</v>
      </c>
    </row>
    <row r="1358" spans="1:16" ht="13" x14ac:dyDescent="0.15">
      <c r="A1358" s="4" t="s">
        <v>5993</v>
      </c>
      <c r="B1358" s="3" t="str">
        <f t="shared" si="76"/>
        <v>Yes</v>
      </c>
      <c r="C1358" s="3">
        <f t="shared" si="77"/>
        <v>446</v>
      </c>
      <c r="D1358" s="5">
        <v>11493696386</v>
      </c>
      <c r="E1358" s="4" t="s">
        <v>6000</v>
      </c>
      <c r="F1358" s="4" t="s">
        <v>6001</v>
      </c>
      <c r="G1358" s="4"/>
      <c r="H1358" s="4" t="s">
        <v>34</v>
      </c>
      <c r="I1358" s="4" t="s">
        <v>6002</v>
      </c>
      <c r="J1358" s="6" t="s">
        <v>4235</v>
      </c>
      <c r="K1358" s="4"/>
      <c r="L1358" s="4" t="s">
        <v>6003</v>
      </c>
      <c r="M1358" s="4" t="s">
        <v>38</v>
      </c>
      <c r="N1358" s="4"/>
      <c r="O1358" s="4"/>
      <c r="P1358" s="4" t="str">
        <f t="shared" si="78"/>
        <v>YES</v>
      </c>
    </row>
    <row r="1359" spans="1:16" ht="13" x14ac:dyDescent="0.15">
      <c r="A1359" s="4" t="s">
        <v>5993</v>
      </c>
      <c r="B1359" s="3" t="str">
        <f t="shared" si="76"/>
        <v>Yes</v>
      </c>
      <c r="C1359" s="3">
        <f t="shared" si="77"/>
        <v>446</v>
      </c>
      <c r="D1359" s="5">
        <v>5101</v>
      </c>
      <c r="E1359" s="4" t="s">
        <v>264</v>
      </c>
      <c r="F1359" s="4" t="s">
        <v>6004</v>
      </c>
      <c r="G1359" s="4"/>
      <c r="H1359" s="4" t="s">
        <v>34</v>
      </c>
      <c r="I1359" s="4" t="s">
        <v>6005</v>
      </c>
      <c r="J1359" s="6" t="s">
        <v>4235</v>
      </c>
      <c r="K1359" s="4"/>
      <c r="L1359" s="4" t="s">
        <v>6006</v>
      </c>
      <c r="M1359" s="4" t="s">
        <v>38</v>
      </c>
      <c r="N1359" s="4"/>
      <c r="O1359" s="4"/>
      <c r="P1359" s="4" t="str">
        <f t="shared" si="78"/>
        <v>YES</v>
      </c>
    </row>
    <row r="1360" spans="1:16" ht="15" x14ac:dyDescent="0.2">
      <c r="A1360" s="2" t="s">
        <v>6007</v>
      </c>
      <c r="B1360" s="3" t="str">
        <f t="shared" si="76"/>
        <v>mary.oh@spacelabshealthcare.com</v>
      </c>
      <c r="C1360" s="3">
        <f t="shared" si="77"/>
        <v>1</v>
      </c>
      <c r="D1360" s="2" t="s">
        <v>6008</v>
      </c>
      <c r="E1360" s="2" t="s">
        <v>385</v>
      </c>
      <c r="F1360" s="2" t="s">
        <v>6009</v>
      </c>
      <c r="I1360" s="2" t="s">
        <v>6010</v>
      </c>
      <c r="L1360" s="2" t="s">
        <v>309</v>
      </c>
      <c r="M1360" s="2" t="s">
        <v>45</v>
      </c>
    </row>
    <row r="1361" spans="1:16" ht="15" x14ac:dyDescent="0.2">
      <c r="A1361" s="2" t="s">
        <v>6007</v>
      </c>
      <c r="B1361" s="3" t="str">
        <f t="shared" si="76"/>
        <v>jonathan.valina@spacelabshealthcare.com</v>
      </c>
      <c r="C1361" s="3">
        <f t="shared" si="77"/>
        <v>1</v>
      </c>
      <c r="D1361" s="2" t="s">
        <v>6011</v>
      </c>
      <c r="E1361" s="2" t="s">
        <v>1384</v>
      </c>
      <c r="F1361" s="2" t="s">
        <v>6012</v>
      </c>
      <c r="I1361" s="2" t="s">
        <v>6013</v>
      </c>
      <c r="L1361" s="2" t="s">
        <v>6014</v>
      </c>
      <c r="M1361" s="2" t="s">
        <v>45</v>
      </c>
    </row>
    <row r="1362" spans="1:16" ht="13" x14ac:dyDescent="0.15">
      <c r="A1362" s="4" t="s">
        <v>6015</v>
      </c>
      <c r="B1362" s="3" t="str">
        <f t="shared" si="76"/>
        <v>Yes</v>
      </c>
      <c r="C1362" s="3">
        <f t="shared" si="77"/>
        <v>446</v>
      </c>
      <c r="D1362" s="5">
        <v>11513589108</v>
      </c>
      <c r="E1362" s="4" t="s">
        <v>516</v>
      </c>
      <c r="F1362" s="4" t="s">
        <v>6016</v>
      </c>
      <c r="G1362" s="4"/>
      <c r="H1362" s="4" t="s">
        <v>34</v>
      </c>
      <c r="I1362" s="4" t="s">
        <v>6017</v>
      </c>
      <c r="J1362" s="6" t="s">
        <v>6018</v>
      </c>
      <c r="K1362" s="4"/>
      <c r="L1362" s="4" t="s">
        <v>6019</v>
      </c>
      <c r="M1362" s="4" t="s">
        <v>38</v>
      </c>
      <c r="N1362" s="4"/>
      <c r="O1362" s="4"/>
      <c r="P1362" s="4" t="str">
        <f>IF(OR(M1362="Customer", M1362="Opportunity", H1362="Yes", H1362=TRUE, G1362="Yes", G1362=TRUE, O1362&gt;0), "YES", "NO")</f>
        <v>YES</v>
      </c>
    </row>
    <row r="1363" spans="1:16" ht="13" x14ac:dyDescent="0.15">
      <c r="A1363" s="4" t="s">
        <v>6020</v>
      </c>
      <c r="B1363" s="3" t="str">
        <f t="shared" si="76"/>
        <v>Yes</v>
      </c>
      <c r="C1363" s="3">
        <f t="shared" si="77"/>
        <v>446</v>
      </c>
      <c r="D1363" s="5">
        <v>11512202060</v>
      </c>
      <c r="E1363" s="4" t="s">
        <v>1722</v>
      </c>
      <c r="F1363" s="4" t="s">
        <v>4933</v>
      </c>
      <c r="G1363" s="4"/>
      <c r="H1363" s="4" t="s">
        <v>34</v>
      </c>
      <c r="I1363" s="4" t="s">
        <v>6021</v>
      </c>
      <c r="J1363" s="6" t="s">
        <v>6022</v>
      </c>
      <c r="K1363" s="4"/>
      <c r="L1363" s="4" t="s">
        <v>6023</v>
      </c>
      <c r="M1363" s="4" t="s">
        <v>38</v>
      </c>
      <c r="N1363" s="4"/>
      <c r="O1363" s="4"/>
      <c r="P1363" s="4" t="str">
        <f>IF(OR(M1363="Customer", M1363="Opportunity", H1363="Yes", H1363=TRUE, G1363="Yes", G1363=TRUE, O1363&gt;0), "YES", "NO")</f>
        <v>YES</v>
      </c>
    </row>
    <row r="1364" spans="1:16" ht="13" x14ac:dyDescent="0.15">
      <c r="A1364" s="4" t="s">
        <v>6024</v>
      </c>
      <c r="B1364" s="3" t="str">
        <f t="shared" si="76"/>
        <v>Yes</v>
      </c>
      <c r="C1364" s="3">
        <f t="shared" si="77"/>
        <v>446</v>
      </c>
      <c r="D1364" s="5">
        <v>11515568274</v>
      </c>
      <c r="E1364" s="4" t="s">
        <v>6025</v>
      </c>
      <c r="F1364" s="4" t="s">
        <v>6026</v>
      </c>
      <c r="G1364" s="4"/>
      <c r="H1364" s="4" t="s">
        <v>34</v>
      </c>
      <c r="I1364" s="4" t="s">
        <v>6027</v>
      </c>
      <c r="J1364" s="6" t="s">
        <v>6028</v>
      </c>
      <c r="K1364" s="4"/>
      <c r="L1364" s="4" t="s">
        <v>6029</v>
      </c>
      <c r="M1364" s="4" t="s">
        <v>38</v>
      </c>
      <c r="N1364" s="4"/>
      <c r="O1364" s="4"/>
      <c r="P1364" s="4" t="str">
        <f>IF(OR(M1364="Customer", M1364="Opportunity", H1364="Yes", H1364=TRUE, G1364="Yes", G1364=TRUE, O1364&gt;0), "YES", "NO")</f>
        <v>YES</v>
      </c>
    </row>
    <row r="1365" spans="1:16" ht="13" x14ac:dyDescent="0.15">
      <c r="A1365" s="4" t="s">
        <v>6030</v>
      </c>
      <c r="B1365" s="3" t="str">
        <f t="shared" si="76"/>
        <v>Yes</v>
      </c>
      <c r="C1365" s="3">
        <f t="shared" si="77"/>
        <v>446</v>
      </c>
      <c r="D1365" s="5">
        <v>11510888790</v>
      </c>
      <c r="E1365" s="4" t="s">
        <v>6031</v>
      </c>
      <c r="F1365" s="4" t="s">
        <v>6032</v>
      </c>
      <c r="G1365" s="4"/>
      <c r="H1365" s="4" t="s">
        <v>34</v>
      </c>
      <c r="I1365" s="4" t="s">
        <v>6033</v>
      </c>
      <c r="J1365" s="6" t="s">
        <v>6034</v>
      </c>
      <c r="K1365" s="4"/>
      <c r="L1365" s="4" t="s">
        <v>5449</v>
      </c>
      <c r="M1365" s="4" t="s">
        <v>38</v>
      </c>
      <c r="N1365" s="4"/>
      <c r="O1365" s="4"/>
      <c r="P1365" s="4" t="str">
        <f>IF(OR(M1365="Customer", M1365="Opportunity", H1365="Yes", H1365=TRUE, G1365="Yes", G1365=TRUE, O1365&gt;0), "YES", "NO")</f>
        <v>YES</v>
      </c>
    </row>
    <row r="1366" spans="1:16" ht="13" x14ac:dyDescent="0.15">
      <c r="A1366" s="4" t="s">
        <v>6030</v>
      </c>
      <c r="B1366" s="3" t="str">
        <f t="shared" si="76"/>
        <v>Yes</v>
      </c>
      <c r="C1366" s="3">
        <f t="shared" si="77"/>
        <v>446</v>
      </c>
      <c r="D1366" s="5">
        <v>11514722650</v>
      </c>
      <c r="E1366" s="4" t="s">
        <v>6035</v>
      </c>
      <c r="F1366" s="4" t="s">
        <v>6036</v>
      </c>
      <c r="G1366" s="4"/>
      <c r="H1366" s="4" t="s">
        <v>34</v>
      </c>
      <c r="I1366" s="4" t="s">
        <v>6037</v>
      </c>
      <c r="J1366" s="6" t="s">
        <v>6034</v>
      </c>
      <c r="K1366" s="4"/>
      <c r="L1366" s="4" t="s">
        <v>6038</v>
      </c>
      <c r="M1366" s="4" t="s">
        <v>38</v>
      </c>
      <c r="N1366" s="4"/>
      <c r="O1366" s="4"/>
      <c r="P1366" s="4" t="str">
        <f>IF(OR(M1366="Customer", M1366="Opportunity", H1366="Yes", H1366=TRUE, G1366="Yes", G1366=TRUE, O1366&gt;0), "YES", "NO")</f>
        <v>YES</v>
      </c>
    </row>
    <row r="1367" spans="1:16" ht="15" x14ac:dyDescent="0.2">
      <c r="A1367" s="2" t="s">
        <v>6039</v>
      </c>
      <c r="B1367" s="3" t="str">
        <f t="shared" si="76"/>
        <v>sschiessler@stanfordhealthcare.org</v>
      </c>
      <c r="C1367" s="3">
        <f t="shared" si="77"/>
        <v>1</v>
      </c>
      <c r="D1367" s="2" t="s">
        <v>6040</v>
      </c>
      <c r="E1367" s="2" t="s">
        <v>6041</v>
      </c>
      <c r="F1367" s="2" t="s">
        <v>6042</v>
      </c>
      <c r="I1367" s="2" t="s">
        <v>6043</v>
      </c>
      <c r="L1367" s="2" t="s">
        <v>185</v>
      </c>
      <c r="M1367" s="2" t="s">
        <v>45</v>
      </c>
    </row>
    <row r="1368" spans="1:16" ht="15" x14ac:dyDescent="0.2">
      <c r="A1368" s="2" t="s">
        <v>6039</v>
      </c>
      <c r="B1368" s="3" t="str">
        <f t="shared" si="76"/>
        <v>alee@stanfordhealthcare.org</v>
      </c>
      <c r="C1368" s="3">
        <f t="shared" si="77"/>
        <v>1</v>
      </c>
      <c r="D1368" s="2" t="s">
        <v>6044</v>
      </c>
      <c r="E1368" s="2" t="s">
        <v>75</v>
      </c>
      <c r="F1368" s="2" t="s">
        <v>774</v>
      </c>
      <c r="I1368" s="2" t="s">
        <v>6045</v>
      </c>
      <c r="L1368" s="2" t="s">
        <v>1574</v>
      </c>
      <c r="M1368" s="2" t="s">
        <v>45</v>
      </c>
    </row>
    <row r="1369" spans="1:16" ht="15" x14ac:dyDescent="0.2">
      <c r="A1369" s="2" t="s">
        <v>6039</v>
      </c>
      <c r="B1369" s="3" t="str">
        <f t="shared" si="76"/>
        <v>ashaik@stanfordhealthcare.org</v>
      </c>
      <c r="C1369" s="3">
        <f t="shared" si="77"/>
        <v>1</v>
      </c>
      <c r="D1369" s="2" t="s">
        <v>6046</v>
      </c>
      <c r="E1369" s="2" t="s">
        <v>6047</v>
      </c>
      <c r="F1369" s="2" t="s">
        <v>4815</v>
      </c>
      <c r="I1369" s="2" t="s">
        <v>6048</v>
      </c>
      <c r="L1369" s="2" t="s">
        <v>6049</v>
      </c>
      <c r="M1369" s="2" t="s">
        <v>45</v>
      </c>
    </row>
    <row r="1370" spans="1:16" ht="15" x14ac:dyDescent="0.2">
      <c r="A1370" s="2" t="s">
        <v>6039</v>
      </c>
      <c r="B1370" s="3" t="str">
        <f t="shared" si="76"/>
        <v>acolombo@stanfordhealthcare.org</v>
      </c>
      <c r="C1370" s="3">
        <f t="shared" si="77"/>
        <v>1</v>
      </c>
      <c r="D1370" s="2" t="s">
        <v>6050</v>
      </c>
      <c r="E1370" s="2" t="s">
        <v>358</v>
      </c>
      <c r="F1370" s="2" t="s">
        <v>6051</v>
      </c>
      <c r="I1370" s="2" t="s">
        <v>6052</v>
      </c>
      <c r="L1370" s="2" t="s">
        <v>2768</v>
      </c>
      <c r="M1370" s="2" t="s">
        <v>45</v>
      </c>
    </row>
    <row r="1371" spans="1:16" ht="15" x14ac:dyDescent="0.2">
      <c r="A1371" s="2" t="s">
        <v>6039</v>
      </c>
      <c r="B1371" s="3" t="str">
        <f t="shared" si="76"/>
        <v>jduenas@stanfordhealthcare.org</v>
      </c>
      <c r="C1371" s="3">
        <f t="shared" si="77"/>
        <v>1</v>
      </c>
      <c r="D1371" s="2" t="s">
        <v>6053</v>
      </c>
      <c r="E1371" s="2" t="s">
        <v>153</v>
      </c>
      <c r="F1371" s="2" t="s">
        <v>6054</v>
      </c>
      <c r="I1371" s="2" t="s">
        <v>6055</v>
      </c>
      <c r="L1371" s="2" t="s">
        <v>6056</v>
      </c>
      <c r="M1371" s="2" t="s">
        <v>45</v>
      </c>
    </row>
    <row r="1372" spans="1:16" ht="15" x14ac:dyDescent="0.2">
      <c r="A1372" s="2" t="s">
        <v>6039</v>
      </c>
      <c r="B1372" s="3" t="str">
        <f t="shared" si="76"/>
        <v>ddowns@stanfordhealthcare.org</v>
      </c>
      <c r="C1372" s="3">
        <f t="shared" si="77"/>
        <v>1</v>
      </c>
      <c r="D1372" s="2" t="s">
        <v>6057</v>
      </c>
      <c r="E1372" s="2" t="s">
        <v>119</v>
      </c>
      <c r="F1372" s="2" t="s">
        <v>6058</v>
      </c>
      <c r="I1372" s="2" t="s">
        <v>6059</v>
      </c>
      <c r="L1372" s="2" t="s">
        <v>1574</v>
      </c>
      <c r="M1372" s="2" t="s">
        <v>45</v>
      </c>
    </row>
    <row r="1373" spans="1:16" ht="15" x14ac:dyDescent="0.2">
      <c r="A1373" s="2" t="s">
        <v>6039</v>
      </c>
      <c r="B1373" s="3" t="str">
        <f t="shared" si="76"/>
        <v>rwilson@stanfordhealthcare.org</v>
      </c>
      <c r="C1373" s="3">
        <f t="shared" si="77"/>
        <v>1</v>
      </c>
      <c r="D1373" s="2" t="s">
        <v>6060</v>
      </c>
      <c r="E1373" s="2" t="s">
        <v>2100</v>
      </c>
      <c r="F1373" s="2" t="s">
        <v>1076</v>
      </c>
      <c r="I1373" s="2" t="s">
        <v>6061</v>
      </c>
      <c r="L1373" s="2" t="s">
        <v>2814</v>
      </c>
      <c r="M1373" s="2" t="s">
        <v>22</v>
      </c>
    </row>
    <row r="1374" spans="1:16" ht="15" x14ac:dyDescent="0.2">
      <c r="A1374" s="2" t="s">
        <v>6039</v>
      </c>
      <c r="B1374" s="3" t="str">
        <f t="shared" si="76"/>
        <v>derb@stanfordhealthcare.org</v>
      </c>
      <c r="C1374" s="3">
        <f t="shared" si="77"/>
        <v>1</v>
      </c>
      <c r="D1374" s="2" t="s">
        <v>6062</v>
      </c>
      <c r="E1374" s="2" t="s">
        <v>119</v>
      </c>
      <c r="F1374" s="2" t="s">
        <v>6063</v>
      </c>
      <c r="I1374" s="2" t="s">
        <v>6064</v>
      </c>
      <c r="L1374" s="2" t="s">
        <v>6065</v>
      </c>
      <c r="M1374" s="2" t="s">
        <v>45</v>
      </c>
    </row>
    <row r="1375" spans="1:16" ht="13" x14ac:dyDescent="0.15">
      <c r="A1375" s="4" t="s">
        <v>6066</v>
      </c>
      <c r="B1375" s="3" t="str">
        <f t="shared" si="76"/>
        <v>Yes</v>
      </c>
      <c r="C1375" s="3">
        <f t="shared" si="77"/>
        <v>446</v>
      </c>
      <c r="D1375" s="5">
        <v>2117</v>
      </c>
      <c r="E1375" s="4" t="s">
        <v>6067</v>
      </c>
      <c r="F1375" s="4" t="s">
        <v>6068</v>
      </c>
      <c r="G1375" s="4"/>
      <c r="H1375" s="4" t="s">
        <v>34</v>
      </c>
      <c r="I1375" s="4" t="s">
        <v>6069</v>
      </c>
      <c r="J1375" s="4" t="s">
        <v>6070</v>
      </c>
      <c r="K1375" s="4"/>
      <c r="L1375" s="4" t="s">
        <v>6071</v>
      </c>
      <c r="M1375" s="4" t="s">
        <v>38</v>
      </c>
      <c r="N1375" s="4"/>
      <c r="O1375" s="4"/>
      <c r="P1375" s="4" t="str">
        <f t="shared" ref="P1375:P1384" si="79">IF(OR(M1375="Customer", M1375="Opportunity", H1375="Yes", H1375=TRUE, G1375="Yes", G1375=TRUE, O1375&gt;0), "YES", "NO")</f>
        <v>YES</v>
      </c>
    </row>
    <row r="1376" spans="1:16" ht="13" x14ac:dyDescent="0.15">
      <c r="A1376" s="4" t="s">
        <v>6072</v>
      </c>
      <c r="B1376" s="3" t="str">
        <f t="shared" si="76"/>
        <v>sheari_rice@steris.com</v>
      </c>
      <c r="C1376" s="3">
        <f t="shared" si="77"/>
        <v>1</v>
      </c>
      <c r="D1376" s="5">
        <v>23806768486</v>
      </c>
      <c r="E1376" s="4" t="s">
        <v>6073</v>
      </c>
      <c r="F1376" s="4" t="s">
        <v>4200</v>
      </c>
      <c r="G1376" s="4" t="s">
        <v>34</v>
      </c>
      <c r="H1376" s="4"/>
      <c r="I1376" s="4" t="s">
        <v>6074</v>
      </c>
      <c r="J1376" s="6" t="s">
        <v>6075</v>
      </c>
      <c r="K1376" s="4"/>
      <c r="L1376" s="4" t="s">
        <v>6076</v>
      </c>
      <c r="M1376" s="4" t="s">
        <v>1042</v>
      </c>
      <c r="N1376" s="4"/>
      <c r="O1376" s="4"/>
      <c r="P1376" s="4" t="str">
        <f t="shared" si="79"/>
        <v>YES</v>
      </c>
    </row>
    <row r="1377" spans="1:16" ht="13" x14ac:dyDescent="0.15">
      <c r="A1377" s="4" t="s">
        <v>6072</v>
      </c>
      <c r="B1377" s="3" t="str">
        <f t="shared" si="76"/>
        <v>Yes</v>
      </c>
      <c r="C1377" s="3">
        <f t="shared" si="77"/>
        <v>446</v>
      </c>
      <c r="D1377" s="5">
        <v>11512997224</v>
      </c>
      <c r="E1377" s="4" t="s">
        <v>677</v>
      </c>
      <c r="F1377" s="4" t="s">
        <v>6077</v>
      </c>
      <c r="G1377" s="4" t="s">
        <v>34</v>
      </c>
      <c r="H1377" s="4" t="s">
        <v>34</v>
      </c>
      <c r="I1377" s="4" t="s">
        <v>6078</v>
      </c>
      <c r="J1377" s="6" t="s">
        <v>6075</v>
      </c>
      <c r="K1377" s="7">
        <v>45448.664583333331</v>
      </c>
      <c r="L1377" s="4" t="s">
        <v>361</v>
      </c>
      <c r="M1377" s="4" t="s">
        <v>1033</v>
      </c>
      <c r="N1377" s="4" t="s">
        <v>6079</v>
      </c>
      <c r="O1377" s="5">
        <v>1</v>
      </c>
      <c r="P1377" s="4" t="str">
        <f t="shared" si="79"/>
        <v>YES</v>
      </c>
    </row>
    <row r="1378" spans="1:16" ht="13" x14ac:dyDescent="0.15">
      <c r="A1378" s="4" t="s">
        <v>6080</v>
      </c>
      <c r="B1378" s="3" t="str">
        <f t="shared" si="76"/>
        <v>robertp@sternumiot.com</v>
      </c>
      <c r="C1378" s="3">
        <f t="shared" si="77"/>
        <v>1</v>
      </c>
      <c r="D1378" s="5">
        <v>25005915976</v>
      </c>
      <c r="E1378" s="4" t="s">
        <v>531</v>
      </c>
      <c r="F1378" s="4" t="s">
        <v>6081</v>
      </c>
      <c r="G1378" s="4" t="s">
        <v>34</v>
      </c>
      <c r="H1378" s="4"/>
      <c r="I1378" s="4" t="s">
        <v>6082</v>
      </c>
      <c r="J1378" s="6" t="s">
        <v>6083</v>
      </c>
      <c r="K1378" s="4"/>
      <c r="L1378" s="4" t="s">
        <v>6084</v>
      </c>
      <c r="M1378" s="4"/>
      <c r="N1378" s="4"/>
      <c r="O1378" s="4"/>
      <c r="P1378" s="4" t="str">
        <f t="shared" si="79"/>
        <v>YES</v>
      </c>
    </row>
    <row r="1379" spans="1:16" ht="13" x14ac:dyDescent="0.15">
      <c r="A1379" s="4" t="s">
        <v>6085</v>
      </c>
      <c r="B1379" s="3" t="str">
        <f t="shared" si="76"/>
        <v>Yes</v>
      </c>
      <c r="C1379" s="3">
        <f t="shared" si="77"/>
        <v>446</v>
      </c>
      <c r="D1379" s="5">
        <v>11510845952</v>
      </c>
      <c r="E1379" s="4" t="s">
        <v>187</v>
      </c>
      <c r="F1379" s="4" t="s">
        <v>6086</v>
      </c>
      <c r="G1379" s="4"/>
      <c r="H1379" s="4" t="s">
        <v>34</v>
      </c>
      <c r="I1379" s="4" t="s">
        <v>6087</v>
      </c>
      <c r="J1379" s="6" t="s">
        <v>6088</v>
      </c>
      <c r="K1379" s="4"/>
      <c r="L1379" s="4" t="s">
        <v>1388</v>
      </c>
      <c r="M1379" s="4" t="s">
        <v>38</v>
      </c>
      <c r="N1379" s="4"/>
      <c r="O1379" s="4"/>
      <c r="P1379" s="4" t="str">
        <f t="shared" si="79"/>
        <v>YES</v>
      </c>
    </row>
    <row r="1380" spans="1:16" ht="13" x14ac:dyDescent="0.15">
      <c r="A1380" s="6" t="s">
        <v>6089</v>
      </c>
      <c r="B1380" s="3" t="str">
        <f t="shared" si="76"/>
        <v>Yes</v>
      </c>
      <c r="C1380" s="3">
        <f t="shared" si="77"/>
        <v>446</v>
      </c>
      <c r="D1380" s="5">
        <v>11515400828</v>
      </c>
      <c r="E1380" s="4" t="s">
        <v>794</v>
      </c>
      <c r="F1380" s="4" t="s">
        <v>188</v>
      </c>
      <c r="G1380" s="4"/>
      <c r="H1380" s="4" t="s">
        <v>34</v>
      </c>
      <c r="I1380" s="4" t="s">
        <v>6090</v>
      </c>
      <c r="J1380" s="6" t="s">
        <v>6089</v>
      </c>
      <c r="K1380" s="4"/>
      <c r="L1380" s="4" t="s">
        <v>990</v>
      </c>
      <c r="M1380" s="4" t="s">
        <v>38</v>
      </c>
      <c r="N1380" s="4"/>
      <c r="O1380" s="4"/>
      <c r="P1380" s="4" t="str">
        <f t="shared" si="79"/>
        <v>YES</v>
      </c>
    </row>
    <row r="1381" spans="1:16" ht="13" x14ac:dyDescent="0.15">
      <c r="A1381" s="4" t="s">
        <v>6091</v>
      </c>
      <c r="B1381" s="3" t="str">
        <f t="shared" si="76"/>
        <v>erin.richards@stryker.com</v>
      </c>
      <c r="C1381" s="3">
        <f t="shared" si="77"/>
        <v>1</v>
      </c>
      <c r="D1381" s="5">
        <v>25005888921</v>
      </c>
      <c r="E1381" s="4" t="s">
        <v>3616</v>
      </c>
      <c r="F1381" s="4" t="s">
        <v>6092</v>
      </c>
      <c r="G1381" s="4" t="s">
        <v>34</v>
      </c>
      <c r="H1381" s="4"/>
      <c r="I1381" s="4" t="s">
        <v>6093</v>
      </c>
      <c r="J1381" s="6" t="s">
        <v>6094</v>
      </c>
      <c r="K1381" s="4"/>
      <c r="L1381" s="4" t="s">
        <v>6095</v>
      </c>
      <c r="M1381" s="4"/>
      <c r="N1381" s="4"/>
      <c r="O1381" s="4"/>
      <c r="P1381" s="4" t="str">
        <f t="shared" si="79"/>
        <v>YES</v>
      </c>
    </row>
    <row r="1382" spans="1:16" ht="13" x14ac:dyDescent="0.15">
      <c r="A1382" s="4" t="s">
        <v>6091</v>
      </c>
      <c r="B1382" s="3" t="str">
        <f t="shared" si="76"/>
        <v>ashley.lapadula-altman@stryker.com</v>
      </c>
      <c r="C1382" s="3">
        <f t="shared" si="77"/>
        <v>1</v>
      </c>
      <c r="D1382" s="5">
        <v>25013842055</v>
      </c>
      <c r="E1382" s="4" t="s">
        <v>75</v>
      </c>
      <c r="F1382" s="4" t="s">
        <v>6096</v>
      </c>
      <c r="G1382" s="4" t="s">
        <v>34</v>
      </c>
      <c r="H1382" s="4"/>
      <c r="I1382" s="4" t="s">
        <v>6097</v>
      </c>
      <c r="J1382" s="6" t="s">
        <v>6094</v>
      </c>
      <c r="K1382" s="4"/>
      <c r="L1382" s="4" t="s">
        <v>6098</v>
      </c>
      <c r="M1382" s="4"/>
      <c r="N1382" s="4"/>
      <c r="O1382" s="4"/>
      <c r="P1382" s="4" t="str">
        <f t="shared" si="79"/>
        <v>YES</v>
      </c>
    </row>
    <row r="1383" spans="1:16" ht="13" x14ac:dyDescent="0.15">
      <c r="A1383" s="4" t="s">
        <v>6091</v>
      </c>
      <c r="B1383" s="3" t="str">
        <f t="shared" si="76"/>
        <v>joel.cardella@stryker.com</v>
      </c>
      <c r="C1383" s="3">
        <f t="shared" si="77"/>
        <v>1</v>
      </c>
      <c r="D1383" s="5">
        <v>25013235518</v>
      </c>
      <c r="E1383" s="4" t="s">
        <v>6099</v>
      </c>
      <c r="F1383" s="4" t="s">
        <v>6100</v>
      </c>
      <c r="G1383" s="4" t="s">
        <v>34</v>
      </c>
      <c r="H1383" s="4"/>
      <c r="I1383" s="4" t="s">
        <v>6101</v>
      </c>
      <c r="J1383" s="6" t="s">
        <v>6094</v>
      </c>
      <c r="K1383" s="4"/>
      <c r="L1383" s="4" t="s">
        <v>6102</v>
      </c>
      <c r="M1383" s="4"/>
      <c r="N1383" s="4"/>
      <c r="O1383" s="4"/>
      <c r="P1383" s="4" t="str">
        <f t="shared" si="79"/>
        <v>YES</v>
      </c>
    </row>
    <row r="1384" spans="1:16" ht="13" x14ac:dyDescent="0.15">
      <c r="A1384" s="4" t="s">
        <v>6091</v>
      </c>
      <c r="B1384" s="3" t="str">
        <f t="shared" si="76"/>
        <v>todd.hollenbeck@stryker.com</v>
      </c>
      <c r="C1384" s="3">
        <f t="shared" si="77"/>
        <v>1</v>
      </c>
      <c r="D1384" s="5">
        <v>23507221432</v>
      </c>
      <c r="E1384" s="4" t="s">
        <v>1217</v>
      </c>
      <c r="F1384" s="4" t="s">
        <v>6103</v>
      </c>
      <c r="G1384" s="4" t="s">
        <v>34</v>
      </c>
      <c r="H1384" s="4"/>
      <c r="I1384" s="4" t="s">
        <v>6104</v>
      </c>
      <c r="J1384" s="6" t="s">
        <v>6094</v>
      </c>
      <c r="K1384" s="4"/>
      <c r="L1384" s="4" t="s">
        <v>6105</v>
      </c>
      <c r="M1384" s="4" t="s">
        <v>6106</v>
      </c>
      <c r="N1384" s="4"/>
      <c r="O1384" s="4"/>
      <c r="P1384" s="4" t="str">
        <f t="shared" si="79"/>
        <v>YES</v>
      </c>
    </row>
    <row r="1385" spans="1:16" ht="15" x14ac:dyDescent="0.2">
      <c r="A1385" s="2" t="s">
        <v>6091</v>
      </c>
      <c r="B1385" s="3" t="str">
        <f t="shared" si="76"/>
        <v>thomas.busch@stryker.com</v>
      </c>
      <c r="C1385" s="3">
        <f t="shared" si="77"/>
        <v>1</v>
      </c>
      <c r="D1385" s="2" t="s">
        <v>6107</v>
      </c>
      <c r="E1385" s="2" t="s">
        <v>1126</v>
      </c>
      <c r="F1385" s="2" t="s">
        <v>6108</v>
      </c>
      <c r="I1385" s="2" t="s">
        <v>6109</v>
      </c>
      <c r="L1385" s="2" t="s">
        <v>6110</v>
      </c>
      <c r="M1385" s="2" t="s">
        <v>45</v>
      </c>
    </row>
    <row r="1386" spans="1:16" ht="15" x14ac:dyDescent="0.2">
      <c r="A1386" s="2" t="s">
        <v>6091</v>
      </c>
      <c r="B1386" s="3" t="str">
        <f t="shared" si="76"/>
        <v>tom.hemingway@stryker.com</v>
      </c>
      <c r="C1386" s="3">
        <f t="shared" si="77"/>
        <v>1</v>
      </c>
      <c r="D1386" s="2" t="s">
        <v>6111</v>
      </c>
      <c r="E1386" s="2" t="s">
        <v>945</v>
      </c>
      <c r="F1386" s="2" t="s">
        <v>6112</v>
      </c>
      <c r="I1386" s="2" t="s">
        <v>6113</v>
      </c>
      <c r="L1386" s="2" t="s">
        <v>6114</v>
      </c>
      <c r="M1386" s="2" t="s">
        <v>45</v>
      </c>
    </row>
    <row r="1387" spans="1:16" ht="15" x14ac:dyDescent="0.2">
      <c r="A1387" s="2" t="s">
        <v>6091</v>
      </c>
      <c r="B1387" s="3" t="str">
        <f t="shared" si="76"/>
        <v>tushar.desai@stryker.com</v>
      </c>
      <c r="C1387" s="3">
        <f t="shared" si="77"/>
        <v>1</v>
      </c>
      <c r="D1387" s="2" t="s">
        <v>6115</v>
      </c>
      <c r="E1387" s="2" t="s">
        <v>6116</v>
      </c>
      <c r="F1387" s="2" t="s">
        <v>6117</v>
      </c>
      <c r="I1387" s="2" t="s">
        <v>6118</v>
      </c>
      <c r="L1387" s="2" t="s">
        <v>6119</v>
      </c>
      <c r="M1387" s="2" t="s">
        <v>45</v>
      </c>
    </row>
    <row r="1388" spans="1:16" ht="15" x14ac:dyDescent="0.2">
      <c r="A1388" s="2" t="s">
        <v>6091</v>
      </c>
      <c r="B1388" s="3" t="str">
        <f t="shared" si="76"/>
        <v>nicholas.brandt@stryker.com</v>
      </c>
      <c r="C1388" s="3">
        <f t="shared" si="77"/>
        <v>1</v>
      </c>
      <c r="D1388" s="2" t="s">
        <v>6120</v>
      </c>
      <c r="E1388" s="2" t="s">
        <v>1679</v>
      </c>
      <c r="F1388" s="2" t="s">
        <v>6121</v>
      </c>
      <c r="I1388" s="2" t="s">
        <v>6122</v>
      </c>
      <c r="L1388" s="2" t="s">
        <v>6123</v>
      </c>
      <c r="M1388" s="2" t="s">
        <v>45</v>
      </c>
    </row>
    <row r="1389" spans="1:16" ht="15" x14ac:dyDescent="0.2">
      <c r="A1389" s="2" t="s">
        <v>6091</v>
      </c>
      <c r="B1389" s="3" t="str">
        <f t="shared" si="76"/>
        <v>jeevan.yarlagadda@stryker.com</v>
      </c>
      <c r="C1389" s="3">
        <f t="shared" si="77"/>
        <v>1</v>
      </c>
      <c r="D1389" s="2" t="s">
        <v>6124</v>
      </c>
      <c r="E1389" s="2" t="s">
        <v>6125</v>
      </c>
      <c r="F1389" s="2" t="s">
        <v>6126</v>
      </c>
      <c r="I1389" s="2" t="s">
        <v>6127</v>
      </c>
      <c r="L1389" s="2" t="s">
        <v>6128</v>
      </c>
      <c r="M1389" s="2" t="s">
        <v>45</v>
      </c>
    </row>
    <row r="1390" spans="1:16" ht="15" x14ac:dyDescent="0.2">
      <c r="A1390" s="2" t="s">
        <v>6091</v>
      </c>
      <c r="B1390" s="3" t="str">
        <f t="shared" si="76"/>
        <v>vinod.chandrashekar@stryker.com</v>
      </c>
      <c r="C1390" s="3">
        <f t="shared" si="77"/>
        <v>1</v>
      </c>
      <c r="D1390" s="2" t="s">
        <v>6129</v>
      </c>
      <c r="E1390" s="2" t="s">
        <v>6130</v>
      </c>
      <c r="F1390" s="2" t="s">
        <v>6131</v>
      </c>
      <c r="I1390" s="2" t="s">
        <v>6132</v>
      </c>
      <c r="L1390" s="2" t="s">
        <v>6133</v>
      </c>
      <c r="M1390" s="2" t="s">
        <v>45</v>
      </c>
    </row>
    <row r="1391" spans="1:16" ht="15" x14ac:dyDescent="0.2">
      <c r="A1391" s="2" t="s">
        <v>6091</v>
      </c>
      <c r="B1391" s="3" t="str">
        <f t="shared" si="76"/>
        <v>ibn.akbar@stryker.com</v>
      </c>
      <c r="C1391" s="3">
        <f t="shared" si="77"/>
        <v>1</v>
      </c>
      <c r="D1391" s="2" t="s">
        <v>6134</v>
      </c>
      <c r="E1391" s="2" t="s">
        <v>6135</v>
      </c>
      <c r="F1391" s="2" t="s">
        <v>6136</v>
      </c>
      <c r="I1391" s="2" t="s">
        <v>6137</v>
      </c>
      <c r="L1391" s="2" t="s">
        <v>6138</v>
      </c>
      <c r="M1391" s="2" t="s">
        <v>45</v>
      </c>
    </row>
    <row r="1392" spans="1:16" ht="15" x14ac:dyDescent="0.2">
      <c r="A1392" s="2" t="s">
        <v>6091</v>
      </c>
      <c r="B1392" s="3" t="str">
        <f t="shared" si="76"/>
        <v>paul.ccsp@stryker.com</v>
      </c>
      <c r="C1392" s="3">
        <f t="shared" si="77"/>
        <v>1</v>
      </c>
      <c r="D1392" s="2" t="s">
        <v>6139</v>
      </c>
      <c r="E1392" s="2" t="s">
        <v>526</v>
      </c>
      <c r="F1392" s="2" t="s">
        <v>6140</v>
      </c>
      <c r="I1392" s="2" t="s">
        <v>6141</v>
      </c>
      <c r="L1392" s="2" t="s">
        <v>6142</v>
      </c>
      <c r="M1392" s="2" t="s">
        <v>45</v>
      </c>
    </row>
    <row r="1393" spans="1:13" ht="15" x14ac:dyDescent="0.2">
      <c r="A1393" s="2" t="s">
        <v>6091</v>
      </c>
      <c r="B1393" s="3" t="str">
        <f t="shared" si="76"/>
        <v>pratibha.rikh@stryker.com</v>
      </c>
      <c r="C1393" s="3">
        <f t="shared" si="77"/>
        <v>1</v>
      </c>
      <c r="D1393" s="2" t="s">
        <v>6143</v>
      </c>
      <c r="E1393" s="2" t="s">
        <v>6144</v>
      </c>
      <c r="F1393" s="2" t="s">
        <v>6145</v>
      </c>
      <c r="I1393" s="2" t="s">
        <v>6146</v>
      </c>
      <c r="L1393" s="2" t="s">
        <v>2699</v>
      </c>
      <c r="M1393" s="2" t="s">
        <v>45</v>
      </c>
    </row>
    <row r="1394" spans="1:13" ht="15" x14ac:dyDescent="0.2">
      <c r="A1394" s="2" t="s">
        <v>6091</v>
      </c>
      <c r="B1394" s="3" t="str">
        <f t="shared" si="76"/>
        <v>logan.cleary@stryker.com</v>
      </c>
      <c r="C1394" s="3">
        <f t="shared" si="77"/>
        <v>1</v>
      </c>
      <c r="D1394" s="2" t="s">
        <v>6147</v>
      </c>
      <c r="E1394" s="2" t="s">
        <v>2944</v>
      </c>
      <c r="F1394" s="2" t="s">
        <v>6148</v>
      </c>
      <c r="I1394" s="2" t="s">
        <v>6149</v>
      </c>
      <c r="L1394" s="2" t="s">
        <v>248</v>
      </c>
      <c r="M1394" s="2" t="s">
        <v>45</v>
      </c>
    </row>
    <row r="1395" spans="1:13" ht="15" x14ac:dyDescent="0.2">
      <c r="A1395" s="2" t="s">
        <v>6091</v>
      </c>
      <c r="B1395" s="3" t="str">
        <f t="shared" si="76"/>
        <v>annette.ponozzo@stryker.com</v>
      </c>
      <c r="C1395" s="3">
        <f t="shared" si="77"/>
        <v>1</v>
      </c>
      <c r="D1395" s="2" t="s">
        <v>6150</v>
      </c>
      <c r="E1395" s="2" t="s">
        <v>1696</v>
      </c>
      <c r="F1395" s="2" t="s">
        <v>6151</v>
      </c>
      <c r="I1395" s="2" t="s">
        <v>6152</v>
      </c>
      <c r="L1395" s="2" t="s">
        <v>6153</v>
      </c>
      <c r="M1395" s="2" t="s">
        <v>45</v>
      </c>
    </row>
    <row r="1396" spans="1:13" ht="15" x14ac:dyDescent="0.2">
      <c r="A1396" s="2" t="s">
        <v>6091</v>
      </c>
      <c r="B1396" s="3" t="str">
        <f t="shared" si="76"/>
        <v>carmella.ferouz@stryker.com</v>
      </c>
      <c r="C1396" s="3">
        <f t="shared" si="77"/>
        <v>1</v>
      </c>
      <c r="D1396" s="2" t="s">
        <v>6154</v>
      </c>
      <c r="E1396" s="2" t="s">
        <v>6155</v>
      </c>
      <c r="F1396" s="2" t="s">
        <v>6156</v>
      </c>
      <c r="I1396" s="2" t="s">
        <v>6157</v>
      </c>
      <c r="L1396" s="2" t="s">
        <v>2699</v>
      </c>
      <c r="M1396" s="2" t="s">
        <v>45</v>
      </c>
    </row>
    <row r="1397" spans="1:13" ht="15" x14ac:dyDescent="0.2">
      <c r="A1397" s="2" t="s">
        <v>6091</v>
      </c>
      <c r="B1397" s="3" t="str">
        <f t="shared" si="76"/>
        <v>benjamin.oprinovich@stryker.com</v>
      </c>
      <c r="C1397" s="3">
        <f t="shared" si="77"/>
        <v>1</v>
      </c>
      <c r="D1397" s="2" t="s">
        <v>6158</v>
      </c>
      <c r="E1397" s="2" t="s">
        <v>2551</v>
      </c>
      <c r="F1397" s="2" t="s">
        <v>6159</v>
      </c>
      <c r="I1397" s="2" t="s">
        <v>6160</v>
      </c>
      <c r="L1397" s="2" t="s">
        <v>6161</v>
      </c>
      <c r="M1397" s="2" t="s">
        <v>22</v>
      </c>
    </row>
    <row r="1398" spans="1:13" ht="15" x14ac:dyDescent="0.2">
      <c r="A1398" s="2" t="s">
        <v>6091</v>
      </c>
      <c r="B1398" s="3" t="str">
        <f t="shared" si="76"/>
        <v>kyle.prins@stryker.com</v>
      </c>
      <c r="C1398" s="3">
        <f t="shared" si="77"/>
        <v>1</v>
      </c>
      <c r="D1398" s="2" t="s">
        <v>6162</v>
      </c>
      <c r="E1398" s="2" t="s">
        <v>2585</v>
      </c>
      <c r="F1398" s="2" t="s">
        <v>4314</v>
      </c>
      <c r="I1398" s="2" t="s">
        <v>6163</v>
      </c>
      <c r="L1398" s="2" t="s">
        <v>6164</v>
      </c>
      <c r="M1398" s="2" t="s">
        <v>45</v>
      </c>
    </row>
    <row r="1399" spans="1:13" ht="15" x14ac:dyDescent="0.2">
      <c r="A1399" s="2" t="s">
        <v>6091</v>
      </c>
      <c r="B1399" s="3" t="str">
        <f t="shared" si="76"/>
        <v>tiauna.ross@stryker.com</v>
      </c>
      <c r="C1399" s="3">
        <f t="shared" si="77"/>
        <v>1</v>
      </c>
      <c r="D1399" s="2" t="s">
        <v>6165</v>
      </c>
      <c r="E1399" s="2" t="s">
        <v>6166</v>
      </c>
      <c r="F1399" s="2" t="s">
        <v>6167</v>
      </c>
      <c r="I1399" s="2" t="s">
        <v>6168</v>
      </c>
      <c r="L1399" s="2" t="s">
        <v>6169</v>
      </c>
      <c r="M1399" s="2" t="s">
        <v>45</v>
      </c>
    </row>
    <row r="1400" spans="1:13" ht="15" x14ac:dyDescent="0.2">
      <c r="A1400" s="2" t="s">
        <v>6091</v>
      </c>
      <c r="B1400" s="3" t="str">
        <f t="shared" si="76"/>
        <v>chris.conner@stryker.com</v>
      </c>
      <c r="C1400" s="3">
        <f t="shared" si="77"/>
        <v>1</v>
      </c>
      <c r="D1400" s="2" t="s">
        <v>6170</v>
      </c>
      <c r="E1400" s="2" t="s">
        <v>1652</v>
      </c>
      <c r="F1400" s="2" t="s">
        <v>6171</v>
      </c>
      <c r="I1400" s="2" t="s">
        <v>6172</v>
      </c>
      <c r="L1400" s="2" t="s">
        <v>6173</v>
      </c>
      <c r="M1400" s="2" t="s">
        <v>45</v>
      </c>
    </row>
    <row r="1401" spans="1:13" ht="15" x14ac:dyDescent="0.2">
      <c r="A1401" s="2" t="s">
        <v>6091</v>
      </c>
      <c r="B1401" s="3" t="str">
        <f t="shared" si="76"/>
        <v>adrian.delgado@stryker.com</v>
      </c>
      <c r="C1401" s="3">
        <f t="shared" si="77"/>
        <v>1</v>
      </c>
      <c r="D1401" s="2" t="s">
        <v>6174</v>
      </c>
      <c r="E1401" s="2" t="s">
        <v>4856</v>
      </c>
      <c r="F1401" s="2" t="s">
        <v>1638</v>
      </c>
      <c r="I1401" s="2" t="s">
        <v>6175</v>
      </c>
      <c r="L1401" s="2" t="s">
        <v>132</v>
      </c>
      <c r="M1401" s="2" t="s">
        <v>45</v>
      </c>
    </row>
    <row r="1402" spans="1:13" ht="15" x14ac:dyDescent="0.2">
      <c r="A1402" s="2" t="s">
        <v>6091</v>
      </c>
      <c r="B1402" s="3" t="str">
        <f t="shared" si="76"/>
        <v>traci.peck@stryker.com</v>
      </c>
      <c r="C1402" s="3">
        <f t="shared" si="77"/>
        <v>1</v>
      </c>
      <c r="D1402" s="2" t="s">
        <v>6176</v>
      </c>
      <c r="E1402" s="2" t="s">
        <v>6177</v>
      </c>
      <c r="F1402" s="2" t="s">
        <v>6178</v>
      </c>
      <c r="I1402" s="2" t="s">
        <v>6179</v>
      </c>
      <c r="L1402" s="2" t="s">
        <v>6180</v>
      </c>
      <c r="M1402" s="2" t="s">
        <v>45</v>
      </c>
    </row>
    <row r="1403" spans="1:13" ht="15" x14ac:dyDescent="0.2">
      <c r="A1403" s="2" t="s">
        <v>6091</v>
      </c>
      <c r="B1403" s="3" t="str">
        <f t="shared" si="76"/>
        <v>jesse.crane@stryker.com</v>
      </c>
      <c r="C1403" s="3">
        <f t="shared" si="77"/>
        <v>1</v>
      </c>
      <c r="D1403" s="2" t="s">
        <v>6181</v>
      </c>
      <c r="E1403" s="2" t="s">
        <v>1903</v>
      </c>
      <c r="F1403" s="2" t="s">
        <v>6182</v>
      </c>
      <c r="I1403" s="2" t="s">
        <v>6183</v>
      </c>
      <c r="L1403" s="2" t="s">
        <v>6184</v>
      </c>
      <c r="M1403" s="2" t="s">
        <v>45</v>
      </c>
    </row>
    <row r="1404" spans="1:13" ht="15" x14ac:dyDescent="0.2">
      <c r="A1404" s="2" t="s">
        <v>6091</v>
      </c>
      <c r="B1404" s="3" t="str">
        <f t="shared" si="76"/>
        <v>vinay.bhatia@stryker.com</v>
      </c>
      <c r="C1404" s="3">
        <f t="shared" si="77"/>
        <v>1</v>
      </c>
      <c r="D1404" s="2" t="s">
        <v>6185</v>
      </c>
      <c r="E1404" s="2" t="s">
        <v>6186</v>
      </c>
      <c r="F1404" s="2" t="s">
        <v>6187</v>
      </c>
      <c r="I1404" s="2" t="s">
        <v>6188</v>
      </c>
      <c r="L1404" s="2" t="s">
        <v>6189</v>
      </c>
      <c r="M1404" s="2" t="s">
        <v>45</v>
      </c>
    </row>
    <row r="1405" spans="1:13" ht="15" x14ac:dyDescent="0.2">
      <c r="A1405" s="2" t="s">
        <v>6091</v>
      </c>
      <c r="B1405" s="3" t="str">
        <f t="shared" si="76"/>
        <v>manny.amador@stryker.com</v>
      </c>
      <c r="C1405" s="3">
        <f t="shared" si="77"/>
        <v>1</v>
      </c>
      <c r="D1405" s="2" t="s">
        <v>6190</v>
      </c>
      <c r="E1405" s="2" t="s">
        <v>6191</v>
      </c>
      <c r="F1405" s="2" t="s">
        <v>6192</v>
      </c>
      <c r="I1405" s="2" t="s">
        <v>6193</v>
      </c>
      <c r="L1405" s="2" t="s">
        <v>6194</v>
      </c>
      <c r="M1405" s="2" t="s">
        <v>45</v>
      </c>
    </row>
    <row r="1406" spans="1:13" ht="15" x14ac:dyDescent="0.2">
      <c r="A1406" s="2" t="s">
        <v>6091</v>
      </c>
      <c r="B1406" s="3" t="str">
        <f t="shared" si="76"/>
        <v>ryan.klaer@stryker.com</v>
      </c>
      <c r="C1406" s="3">
        <f t="shared" si="77"/>
        <v>1</v>
      </c>
      <c r="D1406" s="2" t="s">
        <v>6195</v>
      </c>
      <c r="E1406" s="2" t="s">
        <v>2134</v>
      </c>
      <c r="F1406" s="2" t="s">
        <v>6196</v>
      </c>
      <c r="I1406" s="2" t="s">
        <v>6197</v>
      </c>
      <c r="L1406" s="2" t="s">
        <v>6198</v>
      </c>
      <c r="M1406" s="2" t="s">
        <v>45</v>
      </c>
    </row>
    <row r="1407" spans="1:13" ht="15" x14ac:dyDescent="0.2">
      <c r="A1407" s="2" t="s">
        <v>6091</v>
      </c>
      <c r="B1407" s="3" t="str">
        <f t="shared" si="76"/>
        <v>aaron.lalinde@stryker.com</v>
      </c>
      <c r="C1407" s="3">
        <f t="shared" si="77"/>
        <v>1</v>
      </c>
      <c r="D1407" s="2" t="s">
        <v>6199</v>
      </c>
      <c r="E1407" s="2" t="s">
        <v>293</v>
      </c>
      <c r="F1407" s="2" t="s">
        <v>6200</v>
      </c>
      <c r="I1407" s="2" t="s">
        <v>6201</v>
      </c>
      <c r="L1407" s="2" t="s">
        <v>6202</v>
      </c>
      <c r="M1407" s="2" t="s">
        <v>45</v>
      </c>
    </row>
    <row r="1408" spans="1:13" ht="15" x14ac:dyDescent="0.2">
      <c r="A1408" s="2" t="s">
        <v>6091</v>
      </c>
      <c r="B1408" s="3" t="str">
        <f t="shared" si="76"/>
        <v>janielle.sims@stryker.com</v>
      </c>
      <c r="C1408" s="3">
        <f t="shared" si="77"/>
        <v>1</v>
      </c>
      <c r="D1408" s="2" t="s">
        <v>6203</v>
      </c>
      <c r="E1408" s="2" t="s">
        <v>6204</v>
      </c>
      <c r="F1408" s="2" t="s">
        <v>6205</v>
      </c>
      <c r="I1408" s="2" t="s">
        <v>6206</v>
      </c>
      <c r="L1408" s="2" t="s">
        <v>132</v>
      </c>
      <c r="M1408" s="2" t="s">
        <v>45</v>
      </c>
    </row>
    <row r="1409" spans="1:16" ht="15" x14ac:dyDescent="0.2">
      <c r="A1409" s="2" t="s">
        <v>6091</v>
      </c>
      <c r="B1409" s="3" t="str">
        <f t="shared" si="76"/>
        <v>langer.rob@stryker.com</v>
      </c>
      <c r="C1409" s="3">
        <f t="shared" si="77"/>
        <v>1</v>
      </c>
      <c r="D1409" s="2" t="s">
        <v>6207</v>
      </c>
      <c r="E1409" s="2" t="s">
        <v>6208</v>
      </c>
      <c r="F1409" s="2" t="s">
        <v>2707</v>
      </c>
      <c r="I1409" s="2" t="s">
        <v>6209</v>
      </c>
      <c r="L1409" s="2" t="s">
        <v>6210</v>
      </c>
      <c r="M1409" s="2" t="s">
        <v>45</v>
      </c>
    </row>
    <row r="1410" spans="1:16" ht="15" x14ac:dyDescent="0.2">
      <c r="A1410" s="2" t="s">
        <v>6091</v>
      </c>
      <c r="B1410" s="3" t="str">
        <f t="shared" ref="B1410:B1473" si="80">IF(H1410&lt;&gt;"",H1410,I1410)</f>
        <v>alan.fiedler@stryker.com</v>
      </c>
      <c r="C1410" s="3">
        <f t="shared" ref="C1410:C1473" si="81">COUNTIF($B$2:$B$1586,B1410)</f>
        <v>1</v>
      </c>
      <c r="D1410" s="2" t="s">
        <v>6211</v>
      </c>
      <c r="E1410" s="2" t="s">
        <v>711</v>
      </c>
      <c r="F1410" s="2" t="s">
        <v>5681</v>
      </c>
      <c r="I1410" s="2" t="s">
        <v>6212</v>
      </c>
      <c r="L1410" s="2" t="s">
        <v>6213</v>
      </c>
      <c r="M1410" s="2" t="s">
        <v>45</v>
      </c>
    </row>
    <row r="1411" spans="1:16" ht="13" x14ac:dyDescent="0.15">
      <c r="A1411" s="4" t="s">
        <v>6214</v>
      </c>
      <c r="B1411" s="3" t="str">
        <f t="shared" si="80"/>
        <v>Yes</v>
      </c>
      <c r="C1411" s="3">
        <f t="shared" si="81"/>
        <v>446</v>
      </c>
      <c r="D1411" s="5">
        <v>11515173287</v>
      </c>
      <c r="E1411" s="4" t="s">
        <v>6215</v>
      </c>
      <c r="F1411" s="4" t="s">
        <v>6216</v>
      </c>
      <c r="G1411" s="4"/>
      <c r="H1411" s="4" t="s">
        <v>34</v>
      </c>
      <c r="I1411" s="4" t="s">
        <v>6217</v>
      </c>
      <c r="J1411" s="6" t="s">
        <v>6094</v>
      </c>
      <c r="K1411" s="4"/>
      <c r="L1411" s="4" t="s">
        <v>765</v>
      </c>
      <c r="M1411" s="4" t="s">
        <v>38</v>
      </c>
      <c r="N1411" s="4"/>
      <c r="O1411" s="4"/>
      <c r="P1411" s="4" t="str">
        <f>IF(OR(M1411="Customer", M1411="Opportunity", H1411="Yes", H1411=TRUE, G1411="Yes", G1411=TRUE, O1411&gt;0), "YES", "NO")</f>
        <v>YES</v>
      </c>
    </row>
    <row r="1412" spans="1:16" ht="15" x14ac:dyDescent="0.2">
      <c r="A1412" s="2" t="s">
        <v>6218</v>
      </c>
      <c r="B1412" s="3" t="str">
        <f t="shared" si="80"/>
        <v>tracyk@summitpacificmedicalcenter.org</v>
      </c>
      <c r="C1412" s="3">
        <f t="shared" si="81"/>
        <v>1</v>
      </c>
      <c r="D1412" s="2" t="s">
        <v>6219</v>
      </c>
      <c r="E1412" s="2" t="s">
        <v>6220</v>
      </c>
      <c r="F1412" s="2" t="s">
        <v>6221</v>
      </c>
      <c r="I1412" s="2" t="s">
        <v>6222</v>
      </c>
      <c r="L1412" s="2" t="s">
        <v>6223</v>
      </c>
      <c r="M1412" s="2" t="s">
        <v>22</v>
      </c>
    </row>
    <row r="1413" spans="1:16" ht="13" x14ac:dyDescent="0.15">
      <c r="A1413" s="4" t="s">
        <v>6224</v>
      </c>
      <c r="B1413" s="3" t="str">
        <f t="shared" si="80"/>
        <v>Yes</v>
      </c>
      <c r="C1413" s="3">
        <f t="shared" si="81"/>
        <v>446</v>
      </c>
      <c r="D1413" s="5">
        <v>11513147165</v>
      </c>
      <c r="E1413" s="4" t="s">
        <v>1075</v>
      </c>
      <c r="F1413" s="4" t="s">
        <v>6225</v>
      </c>
      <c r="G1413" s="4"/>
      <c r="H1413" s="4" t="s">
        <v>34</v>
      </c>
      <c r="I1413" s="4" t="s">
        <v>6226</v>
      </c>
      <c r="J1413" s="6" t="s">
        <v>6227</v>
      </c>
      <c r="K1413" s="4"/>
      <c r="L1413" s="4" t="s">
        <v>6228</v>
      </c>
      <c r="M1413" s="4" t="s">
        <v>38</v>
      </c>
      <c r="N1413" s="4"/>
      <c r="O1413" s="4"/>
      <c r="P1413" s="4" t="str">
        <f t="shared" ref="P1413:P1418" si="82">IF(OR(M1413="Customer", M1413="Opportunity", H1413="Yes", H1413=TRUE, G1413="Yes", G1413=TRUE, O1413&gt;0), "YES", "NO")</f>
        <v>YES</v>
      </c>
    </row>
    <row r="1414" spans="1:16" ht="13" x14ac:dyDescent="0.15">
      <c r="A1414" s="4" t="s">
        <v>6229</v>
      </c>
      <c r="B1414" s="3" t="str">
        <f t="shared" si="80"/>
        <v>robert.sullivan@surescripts.com</v>
      </c>
      <c r="C1414" s="3">
        <f t="shared" si="81"/>
        <v>1</v>
      </c>
      <c r="D1414" s="5">
        <v>25010926203</v>
      </c>
      <c r="E1414" s="4" t="s">
        <v>531</v>
      </c>
      <c r="F1414" s="4" t="s">
        <v>6230</v>
      </c>
      <c r="G1414" s="4" t="s">
        <v>34</v>
      </c>
      <c r="H1414" s="4"/>
      <c r="I1414" s="4" t="s">
        <v>6231</v>
      </c>
      <c r="J1414" s="6" t="s">
        <v>6232</v>
      </c>
      <c r="K1414" s="4"/>
      <c r="L1414" s="4" t="s">
        <v>6233</v>
      </c>
      <c r="M1414" s="4"/>
      <c r="N1414" s="4"/>
      <c r="O1414" s="4"/>
      <c r="P1414" s="4" t="str">
        <f t="shared" si="82"/>
        <v>YES</v>
      </c>
    </row>
    <row r="1415" spans="1:16" ht="13" x14ac:dyDescent="0.15">
      <c r="A1415" s="4" t="s">
        <v>6234</v>
      </c>
      <c r="B1415" s="3" t="str">
        <f t="shared" si="80"/>
        <v>Yes</v>
      </c>
      <c r="C1415" s="3">
        <f t="shared" si="81"/>
        <v>446</v>
      </c>
      <c r="D1415" s="5">
        <v>11512248111</v>
      </c>
      <c r="E1415" s="4" t="s">
        <v>4718</v>
      </c>
      <c r="F1415" s="4" t="s">
        <v>6235</v>
      </c>
      <c r="G1415" s="4"/>
      <c r="H1415" s="4" t="s">
        <v>34</v>
      </c>
      <c r="I1415" s="4" t="s">
        <v>6236</v>
      </c>
      <c r="J1415" s="6" t="s">
        <v>6237</v>
      </c>
      <c r="K1415" s="4"/>
      <c r="L1415" s="4" t="s">
        <v>6238</v>
      </c>
      <c r="M1415" s="4" t="s">
        <v>38</v>
      </c>
      <c r="N1415" s="4"/>
      <c r="O1415" s="4"/>
      <c r="P1415" s="4" t="str">
        <f t="shared" si="82"/>
        <v>YES</v>
      </c>
    </row>
    <row r="1416" spans="1:16" ht="13" x14ac:dyDescent="0.15">
      <c r="A1416" s="4" t="s">
        <v>6239</v>
      </c>
      <c r="B1416" s="3" t="str">
        <f t="shared" si="80"/>
        <v>Yes</v>
      </c>
      <c r="C1416" s="3">
        <f t="shared" si="81"/>
        <v>446</v>
      </c>
      <c r="D1416" s="5">
        <v>3922</v>
      </c>
      <c r="E1416" s="4" t="s">
        <v>726</v>
      </c>
      <c r="F1416" s="4" t="s">
        <v>6240</v>
      </c>
      <c r="G1416" s="4"/>
      <c r="H1416" s="4" t="s">
        <v>34</v>
      </c>
      <c r="I1416" s="4" t="s">
        <v>6241</v>
      </c>
      <c r="J1416" s="6" t="s">
        <v>6242</v>
      </c>
      <c r="K1416" s="4"/>
      <c r="L1416" s="4" t="s">
        <v>6243</v>
      </c>
      <c r="M1416" s="4" t="s">
        <v>38</v>
      </c>
      <c r="N1416" s="4"/>
      <c r="O1416" s="4"/>
      <c r="P1416" s="4" t="str">
        <f t="shared" si="82"/>
        <v>YES</v>
      </c>
    </row>
    <row r="1417" spans="1:16" ht="13" x14ac:dyDescent="0.15">
      <c r="A1417" s="4" t="s">
        <v>6244</v>
      </c>
      <c r="B1417" s="3" t="str">
        <f t="shared" si="80"/>
        <v>Yes</v>
      </c>
      <c r="C1417" s="3">
        <f t="shared" si="81"/>
        <v>446</v>
      </c>
      <c r="D1417" s="5">
        <v>4158</v>
      </c>
      <c r="E1417" s="4" t="s">
        <v>3601</v>
      </c>
      <c r="F1417" s="4" t="s">
        <v>6245</v>
      </c>
      <c r="G1417" s="4"/>
      <c r="H1417" s="4" t="s">
        <v>34</v>
      </c>
      <c r="I1417" s="4" t="s">
        <v>6246</v>
      </c>
      <c r="J1417" s="6" t="s">
        <v>6247</v>
      </c>
      <c r="K1417" s="4"/>
      <c r="L1417" s="4" t="s">
        <v>6248</v>
      </c>
      <c r="M1417" s="4" t="s">
        <v>38</v>
      </c>
      <c r="N1417" s="4"/>
      <c r="O1417" s="4"/>
      <c r="P1417" s="4" t="str">
        <f t="shared" si="82"/>
        <v>YES</v>
      </c>
    </row>
    <row r="1418" spans="1:16" ht="13" x14ac:dyDescent="0.15">
      <c r="A1418" s="4" t="s">
        <v>6249</v>
      </c>
      <c r="B1418" s="3" t="str">
        <f t="shared" si="80"/>
        <v>maksim.goldenberg@sutterhealth.org</v>
      </c>
      <c r="C1418" s="3">
        <f t="shared" si="81"/>
        <v>1</v>
      </c>
      <c r="D1418" s="5">
        <v>25013235527</v>
      </c>
      <c r="E1418" s="4" t="s">
        <v>6250</v>
      </c>
      <c r="F1418" s="4" t="s">
        <v>6251</v>
      </c>
      <c r="G1418" s="4" t="s">
        <v>34</v>
      </c>
      <c r="H1418" s="4"/>
      <c r="I1418" s="4" t="s">
        <v>6252</v>
      </c>
      <c r="J1418" s="6" t="s">
        <v>6253</v>
      </c>
      <c r="K1418" s="4"/>
      <c r="L1418" s="4" t="s">
        <v>305</v>
      </c>
      <c r="M1418" s="4"/>
      <c r="N1418" s="4"/>
      <c r="O1418" s="4"/>
      <c r="P1418" s="4" t="str">
        <f t="shared" si="82"/>
        <v>YES</v>
      </c>
    </row>
    <row r="1419" spans="1:16" ht="15" x14ac:dyDescent="0.2">
      <c r="A1419" s="2" t="s">
        <v>6254</v>
      </c>
      <c r="B1419" s="3" t="str">
        <f t="shared" si="80"/>
        <v>tanner.nickoloff@swisslog-healthcare.com</v>
      </c>
      <c r="C1419" s="3">
        <f t="shared" si="81"/>
        <v>1</v>
      </c>
      <c r="D1419" s="2" t="s">
        <v>6255</v>
      </c>
      <c r="E1419" s="2" t="s">
        <v>1999</v>
      </c>
      <c r="F1419" s="2" t="s">
        <v>6256</v>
      </c>
      <c r="I1419" s="2" t="s">
        <v>6257</v>
      </c>
      <c r="L1419" s="2" t="s">
        <v>1574</v>
      </c>
      <c r="M1419" s="2" t="s">
        <v>45</v>
      </c>
    </row>
    <row r="1420" spans="1:16" ht="13" x14ac:dyDescent="0.15">
      <c r="A1420" s="4" t="s">
        <v>6258</v>
      </c>
      <c r="B1420" s="3" t="str">
        <f t="shared" si="80"/>
        <v>Yes</v>
      </c>
      <c r="C1420" s="3">
        <f t="shared" si="81"/>
        <v>446</v>
      </c>
      <c r="D1420" s="5">
        <v>11512458414</v>
      </c>
      <c r="E1420" s="4" t="s">
        <v>1595</v>
      </c>
      <c r="F1420" s="4" t="s">
        <v>2354</v>
      </c>
      <c r="G1420" s="4"/>
      <c r="H1420" s="4" t="s">
        <v>34</v>
      </c>
      <c r="I1420" s="4" t="s">
        <v>6259</v>
      </c>
      <c r="J1420" s="6" t="s">
        <v>6260</v>
      </c>
      <c r="K1420" s="4"/>
      <c r="L1420" s="4" t="s">
        <v>6261</v>
      </c>
      <c r="M1420" s="4" t="s">
        <v>38</v>
      </c>
      <c r="N1420" s="4"/>
      <c r="O1420" s="4"/>
      <c r="P1420" s="4" t="str">
        <f t="shared" ref="P1420:P1439" si="83">IF(OR(M1420="Customer", M1420="Opportunity", H1420="Yes", H1420=TRUE, G1420="Yes", G1420=TRUE, O1420&gt;0), "YES", "NO")</f>
        <v>YES</v>
      </c>
    </row>
    <row r="1421" spans="1:16" ht="13" x14ac:dyDescent="0.15">
      <c r="A1421" s="4" t="s">
        <v>6262</v>
      </c>
      <c r="B1421" s="3" t="str">
        <f t="shared" si="80"/>
        <v>Yes</v>
      </c>
      <c r="C1421" s="3">
        <f t="shared" si="81"/>
        <v>446</v>
      </c>
      <c r="D1421" s="5">
        <v>167</v>
      </c>
      <c r="E1421" s="4" t="s">
        <v>4576</v>
      </c>
      <c r="F1421" s="4" t="s">
        <v>6263</v>
      </c>
      <c r="G1421" s="4"/>
      <c r="H1421" s="4" t="s">
        <v>34</v>
      </c>
      <c r="I1421" s="4" t="s">
        <v>6264</v>
      </c>
      <c r="J1421" s="6" t="s">
        <v>6265</v>
      </c>
      <c r="K1421" s="4"/>
      <c r="L1421" s="4" t="s">
        <v>6266</v>
      </c>
      <c r="M1421" s="4" t="s">
        <v>38</v>
      </c>
      <c r="N1421" s="4"/>
      <c r="O1421" s="4"/>
      <c r="P1421" s="4" t="str">
        <f t="shared" si="83"/>
        <v>YES</v>
      </c>
    </row>
    <row r="1422" spans="1:16" ht="13" x14ac:dyDescent="0.15">
      <c r="A1422" s="4" t="s">
        <v>6267</v>
      </c>
      <c r="B1422" s="3" t="str">
        <f t="shared" si="80"/>
        <v>Yes</v>
      </c>
      <c r="C1422" s="3">
        <f t="shared" si="81"/>
        <v>446</v>
      </c>
      <c r="D1422" s="5">
        <v>11491606593</v>
      </c>
      <c r="E1422" s="4" t="s">
        <v>6268</v>
      </c>
      <c r="F1422" s="4" t="s">
        <v>6269</v>
      </c>
      <c r="G1422" s="4"/>
      <c r="H1422" s="4" t="s">
        <v>34</v>
      </c>
      <c r="I1422" s="4" t="s">
        <v>6270</v>
      </c>
      <c r="J1422" s="6" t="s">
        <v>6075</v>
      </c>
      <c r="K1422" s="4"/>
      <c r="L1422" s="4" t="s">
        <v>6271</v>
      </c>
      <c r="M1422" s="4" t="s">
        <v>38</v>
      </c>
      <c r="N1422" s="4"/>
      <c r="O1422" s="4"/>
      <c r="P1422" s="4" t="str">
        <f t="shared" si="83"/>
        <v>YES</v>
      </c>
    </row>
    <row r="1423" spans="1:16" ht="13" x14ac:dyDescent="0.15">
      <c r="A1423" s="4" t="s">
        <v>6267</v>
      </c>
      <c r="B1423" s="3" t="str">
        <f t="shared" si="80"/>
        <v>Yes</v>
      </c>
      <c r="C1423" s="3">
        <f t="shared" si="81"/>
        <v>446</v>
      </c>
      <c r="D1423" s="5">
        <v>11516076614</v>
      </c>
      <c r="E1423" s="4" t="s">
        <v>569</v>
      </c>
      <c r="F1423" s="4" t="s">
        <v>6272</v>
      </c>
      <c r="G1423" s="4"/>
      <c r="H1423" s="4" t="s">
        <v>34</v>
      </c>
      <c r="I1423" s="4" t="s">
        <v>6273</v>
      </c>
      <c r="J1423" s="6" t="s">
        <v>6075</v>
      </c>
      <c r="K1423" s="4"/>
      <c r="L1423" s="4" t="s">
        <v>5150</v>
      </c>
      <c r="M1423" s="4" t="s">
        <v>38</v>
      </c>
      <c r="N1423" s="4"/>
      <c r="O1423" s="4"/>
      <c r="P1423" s="4" t="str">
        <f t="shared" si="83"/>
        <v>YES</v>
      </c>
    </row>
    <row r="1424" spans="1:16" ht="13" x14ac:dyDescent="0.15">
      <c r="A1424" s="4" t="s">
        <v>6267</v>
      </c>
      <c r="B1424" s="3" t="str">
        <f t="shared" si="80"/>
        <v>Yes</v>
      </c>
      <c r="C1424" s="3">
        <f t="shared" si="81"/>
        <v>446</v>
      </c>
      <c r="D1424" s="5">
        <v>11492260674</v>
      </c>
      <c r="E1424" s="4" t="s">
        <v>2944</v>
      </c>
      <c r="F1424" s="4" t="s">
        <v>6274</v>
      </c>
      <c r="G1424" s="4"/>
      <c r="H1424" s="4" t="s">
        <v>34</v>
      </c>
      <c r="I1424" s="4" t="s">
        <v>6275</v>
      </c>
      <c r="J1424" s="6" t="s">
        <v>6075</v>
      </c>
      <c r="K1424" s="4"/>
      <c r="L1424" s="4" t="s">
        <v>6276</v>
      </c>
      <c r="M1424" s="4" t="s">
        <v>38</v>
      </c>
      <c r="N1424" s="4"/>
      <c r="O1424" s="4"/>
      <c r="P1424" s="4" t="str">
        <f t="shared" si="83"/>
        <v>YES</v>
      </c>
    </row>
    <row r="1425" spans="1:16" ht="13" x14ac:dyDescent="0.15">
      <c r="A1425" s="4" t="s">
        <v>6267</v>
      </c>
      <c r="B1425" s="3" t="str">
        <f t="shared" si="80"/>
        <v>Yes</v>
      </c>
      <c r="C1425" s="3">
        <f t="shared" si="81"/>
        <v>446</v>
      </c>
      <c r="D1425" s="5">
        <v>2378</v>
      </c>
      <c r="E1425" s="4" t="s">
        <v>6277</v>
      </c>
      <c r="F1425" s="4" t="s">
        <v>6278</v>
      </c>
      <c r="G1425" s="4"/>
      <c r="H1425" s="4" t="s">
        <v>34</v>
      </c>
      <c r="I1425" s="4" t="s">
        <v>6279</v>
      </c>
      <c r="J1425" s="6" t="s">
        <v>6075</v>
      </c>
      <c r="K1425" s="4"/>
      <c r="L1425" s="4" t="s">
        <v>6280</v>
      </c>
      <c r="M1425" s="4" t="s">
        <v>38</v>
      </c>
      <c r="N1425" s="4"/>
      <c r="O1425" s="4"/>
      <c r="P1425" s="4" t="str">
        <f t="shared" si="83"/>
        <v>YES</v>
      </c>
    </row>
    <row r="1426" spans="1:16" ht="13" x14ac:dyDescent="0.15">
      <c r="A1426" s="4" t="s">
        <v>6281</v>
      </c>
      <c r="B1426" s="3" t="str">
        <f t="shared" si="80"/>
        <v>Yes</v>
      </c>
      <c r="C1426" s="3">
        <f t="shared" si="81"/>
        <v>446</v>
      </c>
      <c r="D1426" s="5">
        <v>11513147164</v>
      </c>
      <c r="E1426" s="4" t="s">
        <v>6282</v>
      </c>
      <c r="F1426" s="4" t="s">
        <v>6283</v>
      </c>
      <c r="G1426" s="4"/>
      <c r="H1426" s="4" t="s">
        <v>34</v>
      </c>
      <c r="I1426" s="4" t="s">
        <v>6284</v>
      </c>
      <c r="J1426" s="6" t="s">
        <v>6285</v>
      </c>
      <c r="K1426" s="4"/>
      <c r="L1426" s="4" t="s">
        <v>6286</v>
      </c>
      <c r="M1426" s="4" t="s">
        <v>38</v>
      </c>
      <c r="N1426" s="4"/>
      <c r="O1426" s="4"/>
      <c r="P1426" s="4" t="str">
        <f t="shared" si="83"/>
        <v>YES</v>
      </c>
    </row>
    <row r="1427" spans="1:16" ht="13" x14ac:dyDescent="0.15">
      <c r="A1427" s="4" t="s">
        <v>6287</v>
      </c>
      <c r="B1427" s="3" t="str">
        <f t="shared" si="80"/>
        <v>Yes</v>
      </c>
      <c r="C1427" s="3">
        <f t="shared" si="81"/>
        <v>446</v>
      </c>
      <c r="D1427" s="5">
        <v>11515414593</v>
      </c>
      <c r="E1427" s="4" t="s">
        <v>5525</v>
      </c>
      <c r="F1427" s="4" t="s">
        <v>6288</v>
      </c>
      <c r="G1427" s="4"/>
      <c r="H1427" s="4" t="s">
        <v>34</v>
      </c>
      <c r="I1427" s="4" t="s">
        <v>6289</v>
      </c>
      <c r="J1427" s="6" t="s">
        <v>6290</v>
      </c>
      <c r="K1427" s="4"/>
      <c r="L1427" s="4" t="s">
        <v>6291</v>
      </c>
      <c r="M1427" s="4" t="s">
        <v>38</v>
      </c>
      <c r="N1427" s="4"/>
      <c r="O1427" s="4"/>
      <c r="P1427" s="4" t="str">
        <f t="shared" si="83"/>
        <v>YES</v>
      </c>
    </row>
    <row r="1428" spans="1:16" ht="13" x14ac:dyDescent="0.15">
      <c r="A1428" s="4" t="s">
        <v>6292</v>
      </c>
      <c r="B1428" s="3" t="str">
        <f t="shared" si="80"/>
        <v>jbowie@tgh.org</v>
      </c>
      <c r="C1428" s="3">
        <f t="shared" si="81"/>
        <v>1</v>
      </c>
      <c r="D1428" s="5">
        <v>25021479712</v>
      </c>
      <c r="E1428" s="4" t="s">
        <v>177</v>
      </c>
      <c r="F1428" s="4" t="s">
        <v>4146</v>
      </c>
      <c r="G1428" s="4" t="s">
        <v>34</v>
      </c>
      <c r="H1428" s="4"/>
      <c r="I1428" s="4" t="s">
        <v>6293</v>
      </c>
      <c r="J1428" s="6" t="s">
        <v>6294</v>
      </c>
      <c r="K1428" s="4"/>
      <c r="L1428" s="4" t="s">
        <v>681</v>
      </c>
      <c r="M1428" s="4"/>
      <c r="N1428" s="4"/>
      <c r="O1428" s="4"/>
      <c r="P1428" s="4" t="str">
        <f t="shared" si="83"/>
        <v>YES</v>
      </c>
    </row>
    <row r="1429" spans="1:16" ht="13" x14ac:dyDescent="0.15">
      <c r="A1429" s="4" t="s">
        <v>6292</v>
      </c>
      <c r="B1429" s="3" t="str">
        <f t="shared" si="80"/>
        <v>danielholland@tgh.org</v>
      </c>
      <c r="C1429" s="3">
        <f t="shared" si="81"/>
        <v>1</v>
      </c>
      <c r="D1429" s="5">
        <v>25010833076</v>
      </c>
      <c r="E1429" s="4" t="s">
        <v>1858</v>
      </c>
      <c r="F1429" s="4" t="s">
        <v>6295</v>
      </c>
      <c r="G1429" s="4" t="s">
        <v>34</v>
      </c>
      <c r="H1429" s="4"/>
      <c r="I1429" s="4" t="s">
        <v>6296</v>
      </c>
      <c r="J1429" s="6" t="s">
        <v>6294</v>
      </c>
      <c r="K1429" s="4"/>
      <c r="L1429" s="4" t="s">
        <v>6297</v>
      </c>
      <c r="M1429" s="4"/>
      <c r="N1429" s="4"/>
      <c r="O1429" s="4"/>
      <c r="P1429" s="4" t="str">
        <f t="shared" si="83"/>
        <v>YES</v>
      </c>
    </row>
    <row r="1430" spans="1:16" ht="13" x14ac:dyDescent="0.15">
      <c r="A1430" s="4" t="s">
        <v>6298</v>
      </c>
      <c r="B1430" s="3" t="str">
        <f t="shared" si="80"/>
        <v>Yes</v>
      </c>
      <c r="C1430" s="3">
        <f t="shared" si="81"/>
        <v>446</v>
      </c>
      <c r="D1430" s="5">
        <v>11515568279</v>
      </c>
      <c r="E1430" s="4" t="s">
        <v>6299</v>
      </c>
      <c r="F1430" s="4" t="s">
        <v>6300</v>
      </c>
      <c r="G1430" s="4"/>
      <c r="H1430" s="4" t="s">
        <v>34</v>
      </c>
      <c r="I1430" s="4" t="s">
        <v>6301</v>
      </c>
      <c r="J1430" s="6" t="s">
        <v>6302</v>
      </c>
      <c r="K1430" s="4"/>
      <c r="L1430" s="4" t="s">
        <v>6303</v>
      </c>
      <c r="M1430" s="4" t="s">
        <v>38</v>
      </c>
      <c r="N1430" s="4"/>
      <c r="O1430" s="4"/>
      <c r="P1430" s="4" t="str">
        <f t="shared" si="83"/>
        <v>YES</v>
      </c>
    </row>
    <row r="1431" spans="1:16" ht="13" x14ac:dyDescent="0.15">
      <c r="A1431" s="4" t="s">
        <v>6304</v>
      </c>
      <c r="B1431" s="3" t="str">
        <f t="shared" si="80"/>
        <v>Yes</v>
      </c>
      <c r="C1431" s="3">
        <f t="shared" si="81"/>
        <v>446</v>
      </c>
      <c r="D1431" s="5">
        <v>11512219555</v>
      </c>
      <c r="E1431" s="4" t="s">
        <v>6305</v>
      </c>
      <c r="F1431" s="4" t="s">
        <v>6306</v>
      </c>
      <c r="G1431" s="4"/>
      <c r="H1431" s="4" t="s">
        <v>34</v>
      </c>
      <c r="I1431" s="4" t="s">
        <v>6307</v>
      </c>
      <c r="J1431" s="6" t="s">
        <v>6308</v>
      </c>
      <c r="K1431" s="4"/>
      <c r="L1431" s="4" t="s">
        <v>6309</v>
      </c>
      <c r="M1431" s="4" t="s">
        <v>38</v>
      </c>
      <c r="N1431" s="4"/>
      <c r="O1431" s="4"/>
      <c r="P1431" s="4" t="str">
        <f t="shared" si="83"/>
        <v>YES</v>
      </c>
    </row>
    <row r="1432" spans="1:16" ht="13" x14ac:dyDescent="0.15">
      <c r="A1432" s="4" t="s">
        <v>6310</v>
      </c>
      <c r="B1432" s="3" t="str">
        <f t="shared" si="80"/>
        <v>karolyn.maloney@teladochealth.com</v>
      </c>
      <c r="C1432" s="3">
        <f t="shared" si="81"/>
        <v>1</v>
      </c>
      <c r="D1432" s="5">
        <v>25011044767</v>
      </c>
      <c r="E1432" s="4" t="s">
        <v>6311</v>
      </c>
      <c r="F1432" s="4" t="s">
        <v>5931</v>
      </c>
      <c r="G1432" s="4" t="s">
        <v>34</v>
      </c>
      <c r="H1432" s="4"/>
      <c r="I1432" s="4" t="s">
        <v>6312</v>
      </c>
      <c r="J1432" s="6" t="s">
        <v>6313</v>
      </c>
      <c r="K1432" s="4"/>
      <c r="L1432" s="4" t="s">
        <v>6314</v>
      </c>
      <c r="M1432" s="4"/>
      <c r="N1432" s="4"/>
      <c r="O1432" s="4"/>
      <c r="P1432" s="4" t="str">
        <f t="shared" si="83"/>
        <v>YES</v>
      </c>
    </row>
    <row r="1433" spans="1:16" ht="13" x14ac:dyDescent="0.15">
      <c r="A1433" s="6" t="s">
        <v>6315</v>
      </c>
      <c r="B1433" s="3" t="str">
        <f t="shared" si="80"/>
        <v>Yes</v>
      </c>
      <c r="C1433" s="3">
        <f t="shared" si="81"/>
        <v>446</v>
      </c>
      <c r="D1433" s="5">
        <v>1331</v>
      </c>
      <c r="E1433" s="4" t="s">
        <v>6316</v>
      </c>
      <c r="F1433" s="4" t="s">
        <v>6317</v>
      </c>
      <c r="G1433" s="4"/>
      <c r="H1433" s="4" t="s">
        <v>34</v>
      </c>
      <c r="I1433" s="4" t="s">
        <v>6318</v>
      </c>
      <c r="J1433" s="6" t="s">
        <v>6319</v>
      </c>
      <c r="K1433" s="4"/>
      <c r="L1433" s="4" t="s">
        <v>1001</v>
      </c>
      <c r="M1433" s="4" t="s">
        <v>38</v>
      </c>
      <c r="N1433" s="4"/>
      <c r="O1433" s="4"/>
      <c r="P1433" s="4" t="str">
        <f t="shared" si="83"/>
        <v>YES</v>
      </c>
    </row>
    <row r="1434" spans="1:16" ht="13" x14ac:dyDescent="0.15">
      <c r="A1434" s="4" t="s">
        <v>6320</v>
      </c>
      <c r="B1434" s="3" t="str">
        <f t="shared" si="80"/>
        <v>dlissy@tenable.com</v>
      </c>
      <c r="C1434" s="3">
        <f t="shared" si="81"/>
        <v>1</v>
      </c>
      <c r="D1434" s="5">
        <v>25013413726</v>
      </c>
      <c r="E1434" s="4" t="s">
        <v>119</v>
      </c>
      <c r="F1434" s="4" t="s">
        <v>6321</v>
      </c>
      <c r="G1434" s="4" t="s">
        <v>34</v>
      </c>
      <c r="H1434" s="4"/>
      <c r="I1434" s="4" t="s">
        <v>6322</v>
      </c>
      <c r="J1434" s="6" t="s">
        <v>6323</v>
      </c>
      <c r="K1434" s="4"/>
      <c r="L1434" s="4" t="s">
        <v>6324</v>
      </c>
      <c r="M1434" s="4"/>
      <c r="N1434" s="4"/>
      <c r="O1434" s="4"/>
      <c r="P1434" s="4" t="str">
        <f t="shared" si="83"/>
        <v>YES</v>
      </c>
    </row>
    <row r="1435" spans="1:16" ht="13" x14ac:dyDescent="0.15">
      <c r="A1435" s="4" t="s">
        <v>6320</v>
      </c>
      <c r="B1435" s="3" t="str">
        <f t="shared" si="80"/>
        <v>nsolimini@tenable.com</v>
      </c>
      <c r="C1435" s="3">
        <f t="shared" si="81"/>
        <v>1</v>
      </c>
      <c r="D1435" s="5">
        <v>25006767180</v>
      </c>
      <c r="E1435" s="4" t="s">
        <v>1345</v>
      </c>
      <c r="F1435" s="4" t="s">
        <v>6325</v>
      </c>
      <c r="G1435" s="4" t="s">
        <v>34</v>
      </c>
      <c r="H1435" s="4"/>
      <c r="I1435" s="4" t="s">
        <v>6326</v>
      </c>
      <c r="J1435" s="6" t="s">
        <v>6323</v>
      </c>
      <c r="K1435" s="4"/>
      <c r="L1435" s="4" t="s">
        <v>1423</v>
      </c>
      <c r="M1435" s="4"/>
      <c r="N1435" s="4"/>
      <c r="O1435" s="4"/>
      <c r="P1435" s="4" t="str">
        <f t="shared" si="83"/>
        <v>YES</v>
      </c>
    </row>
    <row r="1436" spans="1:16" ht="13" x14ac:dyDescent="0.15">
      <c r="A1436" s="4" t="s">
        <v>6327</v>
      </c>
      <c r="B1436" s="3" t="str">
        <f t="shared" si="80"/>
        <v>Yes</v>
      </c>
      <c r="C1436" s="3">
        <f t="shared" si="81"/>
        <v>446</v>
      </c>
      <c r="D1436" s="5">
        <v>11516076618</v>
      </c>
      <c r="E1436" s="4" t="s">
        <v>1652</v>
      </c>
      <c r="F1436" s="4" t="s">
        <v>6328</v>
      </c>
      <c r="G1436" s="4"/>
      <c r="H1436" s="4" t="s">
        <v>34</v>
      </c>
      <c r="I1436" s="4" t="s">
        <v>6329</v>
      </c>
      <c r="J1436" s="6" t="s">
        <v>6330</v>
      </c>
      <c r="K1436" s="4"/>
      <c r="L1436" s="4" t="s">
        <v>6331</v>
      </c>
      <c r="M1436" s="4" t="s">
        <v>38</v>
      </c>
      <c r="N1436" s="4"/>
      <c r="O1436" s="4"/>
      <c r="P1436" s="4" t="str">
        <f t="shared" si="83"/>
        <v>YES</v>
      </c>
    </row>
    <row r="1437" spans="1:16" ht="13" x14ac:dyDescent="0.15">
      <c r="A1437" s="4" t="s">
        <v>6327</v>
      </c>
      <c r="B1437" s="3" t="str">
        <f t="shared" si="80"/>
        <v>Yes</v>
      </c>
      <c r="C1437" s="3">
        <f t="shared" si="81"/>
        <v>446</v>
      </c>
      <c r="D1437" s="5">
        <v>11511464053</v>
      </c>
      <c r="E1437" s="4" t="s">
        <v>6332</v>
      </c>
      <c r="F1437" s="4" t="s">
        <v>6333</v>
      </c>
      <c r="G1437" s="4"/>
      <c r="H1437" s="4" t="s">
        <v>34</v>
      </c>
      <c r="I1437" s="4" t="s">
        <v>6334</v>
      </c>
      <c r="J1437" s="6" t="s">
        <v>6330</v>
      </c>
      <c r="K1437" s="4"/>
      <c r="L1437" s="4" t="s">
        <v>2433</v>
      </c>
      <c r="M1437" s="4" t="s">
        <v>38</v>
      </c>
      <c r="N1437" s="4"/>
      <c r="O1437" s="4"/>
      <c r="P1437" s="4" t="str">
        <f t="shared" si="83"/>
        <v>YES</v>
      </c>
    </row>
    <row r="1438" spans="1:16" ht="13" x14ac:dyDescent="0.15">
      <c r="A1438" s="4" t="s">
        <v>6327</v>
      </c>
      <c r="B1438" s="3" t="str">
        <f t="shared" si="80"/>
        <v>Yes</v>
      </c>
      <c r="C1438" s="3">
        <f t="shared" si="81"/>
        <v>446</v>
      </c>
      <c r="D1438" s="5">
        <v>16467</v>
      </c>
      <c r="E1438" s="4" t="s">
        <v>550</v>
      </c>
      <c r="F1438" s="4" t="s">
        <v>6335</v>
      </c>
      <c r="G1438" s="4"/>
      <c r="H1438" s="4" t="s">
        <v>34</v>
      </c>
      <c r="I1438" s="4" t="s">
        <v>6336</v>
      </c>
      <c r="J1438" s="6" t="s">
        <v>6330</v>
      </c>
      <c r="K1438" s="4"/>
      <c r="L1438" s="4" t="s">
        <v>3408</v>
      </c>
      <c r="M1438" s="4" t="s">
        <v>38</v>
      </c>
      <c r="N1438" s="4"/>
      <c r="O1438" s="4"/>
      <c r="P1438" s="4" t="str">
        <f t="shared" si="83"/>
        <v>YES</v>
      </c>
    </row>
    <row r="1439" spans="1:16" ht="13" x14ac:dyDescent="0.15">
      <c r="A1439" s="4" t="s">
        <v>6337</v>
      </c>
      <c r="B1439" s="3" t="str">
        <f t="shared" si="80"/>
        <v>Yes</v>
      </c>
      <c r="C1439" s="3">
        <f t="shared" si="81"/>
        <v>446</v>
      </c>
      <c r="D1439" s="5">
        <v>2720</v>
      </c>
      <c r="E1439" s="4" t="s">
        <v>6338</v>
      </c>
      <c r="F1439" s="4" t="s">
        <v>5973</v>
      </c>
      <c r="G1439" s="4"/>
      <c r="H1439" s="4" t="s">
        <v>34</v>
      </c>
      <c r="I1439" s="4" t="s">
        <v>6339</v>
      </c>
      <c r="J1439" s="6" t="s">
        <v>6340</v>
      </c>
      <c r="K1439" s="4"/>
      <c r="L1439" s="4" t="s">
        <v>1402</v>
      </c>
      <c r="M1439" s="4" t="s">
        <v>38</v>
      </c>
      <c r="N1439" s="4"/>
      <c r="O1439" s="4"/>
      <c r="P1439" s="4" t="str">
        <f t="shared" si="83"/>
        <v>YES</v>
      </c>
    </row>
    <row r="1440" spans="1:16" ht="15" x14ac:dyDescent="0.2">
      <c r="A1440" s="2" t="s">
        <v>6341</v>
      </c>
      <c r="B1440" s="3" t="str">
        <f t="shared" si="80"/>
        <v>eric.chang@terumomedical.com</v>
      </c>
      <c r="C1440" s="3">
        <f t="shared" si="81"/>
        <v>1</v>
      </c>
      <c r="D1440" s="2" t="s">
        <v>6342</v>
      </c>
      <c r="E1440" s="2" t="s">
        <v>109</v>
      </c>
      <c r="F1440" s="2" t="s">
        <v>5030</v>
      </c>
      <c r="I1440" s="2" t="s">
        <v>6343</v>
      </c>
      <c r="L1440" s="2" t="s">
        <v>107</v>
      </c>
      <c r="M1440" s="2" t="s">
        <v>45</v>
      </c>
    </row>
    <row r="1441" spans="1:16" ht="13" x14ac:dyDescent="0.15">
      <c r="A1441" s="4" t="s">
        <v>6344</v>
      </c>
      <c r="B1441" s="3" t="str">
        <f t="shared" si="80"/>
        <v>lorimyers2@texashealth.org</v>
      </c>
      <c r="C1441" s="3">
        <f t="shared" si="81"/>
        <v>1</v>
      </c>
      <c r="D1441" s="5">
        <v>25013250227</v>
      </c>
      <c r="E1441" s="4" t="s">
        <v>445</v>
      </c>
      <c r="F1441" s="4" t="s">
        <v>3893</v>
      </c>
      <c r="G1441" s="4" t="s">
        <v>34</v>
      </c>
      <c r="H1441" s="4"/>
      <c r="I1441" s="4" t="s">
        <v>6345</v>
      </c>
      <c r="J1441" s="6" t="s">
        <v>6346</v>
      </c>
      <c r="K1441" s="4"/>
      <c r="L1441" s="4" t="s">
        <v>6347</v>
      </c>
      <c r="M1441" s="4"/>
      <c r="N1441" s="4"/>
      <c r="O1441" s="4"/>
      <c r="P1441" s="4" t="str">
        <f t="shared" ref="P1441:P1474" si="84">IF(OR(M1441="Customer", M1441="Opportunity", H1441="Yes", H1441=TRUE, G1441="Yes", G1441=TRUE, O1441&gt;0), "YES", "NO")</f>
        <v>YES</v>
      </c>
    </row>
    <row r="1442" spans="1:16" ht="13" x14ac:dyDescent="0.15">
      <c r="A1442" s="4" t="s">
        <v>6344</v>
      </c>
      <c r="B1442" s="3" t="str">
        <f t="shared" si="80"/>
        <v>rogersnyunja@texashealth.org</v>
      </c>
      <c r="C1442" s="3">
        <f t="shared" si="81"/>
        <v>1</v>
      </c>
      <c r="D1442" s="5">
        <v>23775503955</v>
      </c>
      <c r="E1442" s="4" t="s">
        <v>6348</v>
      </c>
      <c r="F1442" s="4" t="s">
        <v>6349</v>
      </c>
      <c r="G1442" s="4" t="s">
        <v>34</v>
      </c>
      <c r="H1442" s="4"/>
      <c r="I1442" s="4" t="s">
        <v>6350</v>
      </c>
      <c r="J1442" s="6" t="s">
        <v>6346</v>
      </c>
      <c r="K1442" s="4"/>
      <c r="L1442" s="4" t="s">
        <v>6351</v>
      </c>
      <c r="M1442" s="4" t="s">
        <v>1042</v>
      </c>
      <c r="N1442" s="4"/>
      <c r="O1442" s="4"/>
      <c r="P1442" s="4" t="str">
        <f t="shared" si="84"/>
        <v>YES</v>
      </c>
    </row>
    <row r="1443" spans="1:16" ht="13" x14ac:dyDescent="0.15">
      <c r="A1443" s="4" t="s">
        <v>6352</v>
      </c>
      <c r="B1443" s="3" t="str">
        <f t="shared" si="80"/>
        <v>david.ortega@thalesgroup.com</v>
      </c>
      <c r="C1443" s="3">
        <f t="shared" si="81"/>
        <v>1</v>
      </c>
      <c r="D1443" s="5">
        <v>25011044757</v>
      </c>
      <c r="E1443" s="4" t="s">
        <v>119</v>
      </c>
      <c r="F1443" s="4" t="s">
        <v>6353</v>
      </c>
      <c r="G1443" s="4" t="s">
        <v>34</v>
      </c>
      <c r="H1443" s="4"/>
      <c r="I1443" s="4" t="s">
        <v>6354</v>
      </c>
      <c r="J1443" s="6" t="s">
        <v>6355</v>
      </c>
      <c r="K1443" s="4"/>
      <c r="L1443" s="4" t="s">
        <v>5954</v>
      </c>
      <c r="M1443" s="4"/>
      <c r="N1443" s="4"/>
      <c r="O1443" s="4"/>
      <c r="P1443" s="4" t="str">
        <f t="shared" si="84"/>
        <v>YES</v>
      </c>
    </row>
    <row r="1444" spans="1:16" ht="13" x14ac:dyDescent="0.15">
      <c r="A1444" s="4" t="s">
        <v>6356</v>
      </c>
      <c r="B1444" s="3" t="str">
        <f t="shared" si="80"/>
        <v>Yes</v>
      </c>
      <c r="C1444" s="3">
        <f t="shared" si="81"/>
        <v>446</v>
      </c>
      <c r="D1444" s="5">
        <v>11510275206</v>
      </c>
      <c r="E1444" s="4" t="s">
        <v>6357</v>
      </c>
      <c r="F1444" s="4" t="s">
        <v>6358</v>
      </c>
      <c r="G1444" s="4"/>
      <c r="H1444" s="4" t="s">
        <v>34</v>
      </c>
      <c r="I1444" s="4" t="s">
        <v>6359</v>
      </c>
      <c r="J1444" s="6" t="s">
        <v>6360</v>
      </c>
      <c r="K1444" s="4"/>
      <c r="L1444" s="4" t="s">
        <v>6361</v>
      </c>
      <c r="M1444" s="4" t="s">
        <v>38</v>
      </c>
      <c r="N1444" s="4"/>
      <c r="O1444" s="4"/>
      <c r="P1444" s="4" t="str">
        <f t="shared" si="84"/>
        <v>YES</v>
      </c>
    </row>
    <row r="1445" spans="1:16" ht="13" x14ac:dyDescent="0.15">
      <c r="A1445" s="4" t="s">
        <v>6362</v>
      </c>
      <c r="B1445" s="3" t="str">
        <f t="shared" si="80"/>
        <v>daniel.hakes@guthrie.org</v>
      </c>
      <c r="C1445" s="3">
        <f t="shared" si="81"/>
        <v>1</v>
      </c>
      <c r="D1445" s="5">
        <v>25021479701</v>
      </c>
      <c r="E1445" s="4" t="s">
        <v>1465</v>
      </c>
      <c r="F1445" s="4" t="s">
        <v>6363</v>
      </c>
      <c r="G1445" s="4" t="s">
        <v>34</v>
      </c>
      <c r="H1445" s="4"/>
      <c r="I1445" s="4" t="s">
        <v>6364</v>
      </c>
      <c r="J1445" s="6" t="s">
        <v>6365</v>
      </c>
      <c r="K1445" s="4"/>
      <c r="L1445" s="4" t="s">
        <v>6366</v>
      </c>
      <c r="M1445" s="4"/>
      <c r="N1445" s="4"/>
      <c r="O1445" s="4"/>
      <c r="P1445" s="4" t="str">
        <f t="shared" si="84"/>
        <v>YES</v>
      </c>
    </row>
    <row r="1446" spans="1:16" ht="13" x14ac:dyDescent="0.15">
      <c r="A1446" s="4" t="s">
        <v>6362</v>
      </c>
      <c r="B1446" s="3" t="str">
        <f t="shared" si="80"/>
        <v>kelsey.seymour@guthrie.org</v>
      </c>
      <c r="C1446" s="3">
        <f t="shared" si="81"/>
        <v>1</v>
      </c>
      <c r="D1446" s="5">
        <v>25005915975</v>
      </c>
      <c r="E1446" s="4" t="s">
        <v>876</v>
      </c>
      <c r="F1446" s="4" t="s">
        <v>6367</v>
      </c>
      <c r="G1446" s="4" t="s">
        <v>34</v>
      </c>
      <c r="H1446" s="4"/>
      <c r="I1446" s="4" t="s">
        <v>6368</v>
      </c>
      <c r="J1446" s="6" t="s">
        <v>6365</v>
      </c>
      <c r="K1446" s="4"/>
      <c r="L1446" s="4" t="s">
        <v>3258</v>
      </c>
      <c r="M1446" s="4"/>
      <c r="N1446" s="4"/>
      <c r="O1446" s="4"/>
      <c r="P1446" s="4" t="str">
        <f t="shared" si="84"/>
        <v>YES</v>
      </c>
    </row>
    <row r="1447" spans="1:16" ht="13" x14ac:dyDescent="0.15">
      <c r="A1447" s="4" t="s">
        <v>6369</v>
      </c>
      <c r="B1447" s="3" t="str">
        <f t="shared" si="80"/>
        <v>gjourney@metrohealth.org</v>
      </c>
      <c r="C1447" s="3">
        <f t="shared" si="81"/>
        <v>1</v>
      </c>
      <c r="D1447" s="5">
        <v>25013295417</v>
      </c>
      <c r="E1447" s="4" t="s">
        <v>1709</v>
      </c>
      <c r="F1447" s="4" t="s">
        <v>6370</v>
      </c>
      <c r="G1447" s="4" t="s">
        <v>34</v>
      </c>
      <c r="H1447" s="4"/>
      <c r="I1447" s="4" t="s">
        <v>6371</v>
      </c>
      <c r="J1447" s="6" t="s">
        <v>6372</v>
      </c>
      <c r="K1447" s="4"/>
      <c r="L1447" s="4" t="s">
        <v>681</v>
      </c>
      <c r="M1447" s="4" t="s">
        <v>6106</v>
      </c>
      <c r="N1447" s="4"/>
      <c r="O1447" s="4"/>
      <c r="P1447" s="4" t="str">
        <f t="shared" si="84"/>
        <v>YES</v>
      </c>
    </row>
    <row r="1448" spans="1:16" ht="13" x14ac:dyDescent="0.15">
      <c r="A1448" s="4" t="s">
        <v>6373</v>
      </c>
      <c r="B1448" s="3" t="str">
        <f t="shared" si="80"/>
        <v>bhamel@metrohealth.org</v>
      </c>
      <c r="C1448" s="3">
        <f t="shared" si="81"/>
        <v>1</v>
      </c>
      <c r="D1448" s="5">
        <v>25011044761</v>
      </c>
      <c r="E1448" s="4" t="s">
        <v>2551</v>
      </c>
      <c r="F1448" s="4" t="s">
        <v>6374</v>
      </c>
      <c r="G1448" s="4" t="s">
        <v>34</v>
      </c>
      <c r="H1448" s="4"/>
      <c r="I1448" s="4" t="s">
        <v>6375</v>
      </c>
      <c r="J1448" s="6" t="s">
        <v>6372</v>
      </c>
      <c r="K1448" s="4"/>
      <c r="L1448" s="4" t="s">
        <v>73</v>
      </c>
      <c r="M1448" s="4"/>
      <c r="N1448" s="4"/>
      <c r="O1448" s="4"/>
      <c r="P1448" s="4" t="str">
        <f t="shared" si="84"/>
        <v>YES</v>
      </c>
    </row>
    <row r="1449" spans="1:16" ht="13" x14ac:dyDescent="0.15">
      <c r="A1449" s="4" t="s">
        <v>6376</v>
      </c>
      <c r="B1449" s="3" t="str">
        <f t="shared" si="80"/>
        <v>rishi.tripathi@mountsinai.org</v>
      </c>
      <c r="C1449" s="3">
        <f t="shared" si="81"/>
        <v>1</v>
      </c>
      <c r="D1449" s="5">
        <v>25010926202</v>
      </c>
      <c r="E1449" s="4" t="s">
        <v>6377</v>
      </c>
      <c r="F1449" s="4" t="s">
        <v>6378</v>
      </c>
      <c r="G1449" s="4" t="s">
        <v>34</v>
      </c>
      <c r="H1449" s="4"/>
      <c r="I1449" s="4" t="s">
        <v>6379</v>
      </c>
      <c r="J1449" s="6" t="s">
        <v>6380</v>
      </c>
      <c r="K1449" s="4"/>
      <c r="L1449" s="4" t="s">
        <v>681</v>
      </c>
      <c r="M1449" s="4"/>
      <c r="N1449" s="4"/>
      <c r="O1449" s="4"/>
      <c r="P1449" s="4" t="str">
        <f t="shared" si="84"/>
        <v>YES</v>
      </c>
    </row>
    <row r="1450" spans="1:16" ht="13" x14ac:dyDescent="0.15">
      <c r="A1450" s="4" t="s">
        <v>6381</v>
      </c>
      <c r="B1450" s="3" t="str">
        <f t="shared" si="80"/>
        <v>Yes</v>
      </c>
      <c r="C1450" s="3">
        <f t="shared" si="81"/>
        <v>446</v>
      </c>
      <c r="D1450" s="5">
        <v>268</v>
      </c>
      <c r="E1450" s="4" t="s">
        <v>6382</v>
      </c>
      <c r="F1450" s="4" t="s">
        <v>5976</v>
      </c>
      <c r="G1450" s="4"/>
      <c r="H1450" s="4" t="s">
        <v>34</v>
      </c>
      <c r="I1450" s="4" t="s">
        <v>6383</v>
      </c>
      <c r="J1450" s="6" t="s">
        <v>6384</v>
      </c>
      <c r="K1450" s="4"/>
      <c r="L1450" s="4" t="s">
        <v>6385</v>
      </c>
      <c r="M1450" s="4" t="s">
        <v>38</v>
      </c>
      <c r="N1450" s="4"/>
      <c r="O1450" s="4"/>
      <c r="P1450" s="4" t="str">
        <f t="shared" si="84"/>
        <v>YES</v>
      </c>
    </row>
    <row r="1451" spans="1:16" ht="13" x14ac:dyDescent="0.15">
      <c r="A1451" s="4" t="s">
        <v>6386</v>
      </c>
      <c r="B1451" s="3" t="str">
        <f t="shared" si="80"/>
        <v>Yes</v>
      </c>
      <c r="C1451" s="3">
        <f t="shared" si="81"/>
        <v>446</v>
      </c>
      <c r="D1451" s="5">
        <v>11516076616</v>
      </c>
      <c r="E1451" s="4" t="s">
        <v>6387</v>
      </c>
      <c r="F1451" s="4" t="s">
        <v>6388</v>
      </c>
      <c r="G1451" s="4"/>
      <c r="H1451" s="4" t="s">
        <v>34</v>
      </c>
      <c r="I1451" s="4" t="s">
        <v>6389</v>
      </c>
      <c r="J1451" s="6" t="s">
        <v>6360</v>
      </c>
      <c r="K1451" s="4"/>
      <c r="L1451" s="4" t="s">
        <v>6390</v>
      </c>
      <c r="M1451" s="4" t="s">
        <v>38</v>
      </c>
      <c r="N1451" s="4"/>
      <c r="O1451" s="4"/>
      <c r="P1451" s="4" t="str">
        <f t="shared" si="84"/>
        <v>YES</v>
      </c>
    </row>
    <row r="1452" spans="1:16" ht="13" x14ac:dyDescent="0.15">
      <c r="A1452" s="4" t="s">
        <v>6391</v>
      </c>
      <c r="B1452" s="3" t="str">
        <f t="shared" si="80"/>
        <v>chris.baker@jefferson.edu</v>
      </c>
      <c r="C1452" s="3">
        <f t="shared" si="81"/>
        <v>1</v>
      </c>
      <c r="D1452" s="5">
        <v>25010973865</v>
      </c>
      <c r="E1452" s="4" t="s">
        <v>1652</v>
      </c>
      <c r="F1452" s="4" t="s">
        <v>6392</v>
      </c>
      <c r="G1452" s="4" t="s">
        <v>34</v>
      </c>
      <c r="H1452" s="4"/>
      <c r="I1452" s="4" t="s">
        <v>6393</v>
      </c>
      <c r="J1452" s="6" t="s">
        <v>3567</v>
      </c>
      <c r="K1452" s="4"/>
      <c r="L1452" s="4" t="s">
        <v>5246</v>
      </c>
      <c r="M1452" s="4"/>
      <c r="N1452" s="4"/>
      <c r="O1452" s="4"/>
      <c r="P1452" s="4" t="str">
        <f t="shared" si="84"/>
        <v>YES</v>
      </c>
    </row>
    <row r="1453" spans="1:16" ht="13" x14ac:dyDescent="0.15">
      <c r="A1453" s="4" t="s">
        <v>6394</v>
      </c>
      <c r="B1453" s="3" t="str">
        <f t="shared" si="80"/>
        <v>thomas.ruiz@jefferson.edu</v>
      </c>
      <c r="C1453" s="3">
        <f t="shared" si="81"/>
        <v>1</v>
      </c>
      <c r="D1453" s="5">
        <v>25021538141</v>
      </c>
      <c r="E1453" s="4" t="s">
        <v>1126</v>
      </c>
      <c r="F1453" s="4" t="s">
        <v>1287</v>
      </c>
      <c r="G1453" s="4" t="s">
        <v>34</v>
      </c>
      <c r="H1453" s="4"/>
      <c r="I1453" s="4" t="s">
        <v>6395</v>
      </c>
      <c r="J1453" s="6" t="s">
        <v>3567</v>
      </c>
      <c r="K1453" s="4"/>
      <c r="L1453" s="4" t="s">
        <v>6396</v>
      </c>
      <c r="M1453" s="4"/>
      <c r="N1453" s="4"/>
      <c r="O1453" s="4"/>
      <c r="P1453" s="4" t="str">
        <f t="shared" si="84"/>
        <v>YES</v>
      </c>
    </row>
    <row r="1454" spans="1:16" ht="13" x14ac:dyDescent="0.15">
      <c r="A1454" s="4" t="s">
        <v>6397</v>
      </c>
      <c r="B1454" s="3" t="str">
        <f t="shared" si="80"/>
        <v>Yes</v>
      </c>
      <c r="C1454" s="3">
        <f t="shared" si="81"/>
        <v>446</v>
      </c>
      <c r="D1454" s="5">
        <v>3112</v>
      </c>
      <c r="E1454" s="4" t="s">
        <v>4184</v>
      </c>
      <c r="F1454" s="4" t="s">
        <v>6398</v>
      </c>
      <c r="G1454" s="4"/>
      <c r="H1454" s="4" t="s">
        <v>34</v>
      </c>
      <c r="I1454" s="4" t="s">
        <v>6399</v>
      </c>
      <c r="J1454" s="6" t="s">
        <v>6400</v>
      </c>
      <c r="K1454" s="4"/>
      <c r="L1454" s="4" t="s">
        <v>6401</v>
      </c>
      <c r="M1454" s="4" t="s">
        <v>38</v>
      </c>
      <c r="N1454" s="4"/>
      <c r="O1454" s="4"/>
      <c r="P1454" s="4" t="str">
        <f t="shared" si="84"/>
        <v>YES</v>
      </c>
    </row>
    <row r="1455" spans="1:16" ht="13" x14ac:dyDescent="0.15">
      <c r="A1455" s="4" t="s">
        <v>6402</v>
      </c>
      <c r="B1455" s="3" t="str">
        <f t="shared" si="80"/>
        <v>Yes</v>
      </c>
      <c r="C1455" s="3">
        <f t="shared" si="81"/>
        <v>446</v>
      </c>
      <c r="D1455" s="5">
        <v>11513126829</v>
      </c>
      <c r="E1455" s="4" t="s">
        <v>2623</v>
      </c>
      <c r="F1455" s="4" t="s">
        <v>6403</v>
      </c>
      <c r="G1455" s="4"/>
      <c r="H1455" s="4" t="s">
        <v>34</v>
      </c>
      <c r="I1455" s="4" t="s">
        <v>6404</v>
      </c>
      <c r="J1455" s="6" t="s">
        <v>6405</v>
      </c>
      <c r="K1455" s="4"/>
      <c r="L1455" s="4" t="s">
        <v>6406</v>
      </c>
      <c r="M1455" s="4" t="s">
        <v>38</v>
      </c>
      <c r="N1455" s="4"/>
      <c r="O1455" s="4"/>
      <c r="P1455" s="4" t="str">
        <f t="shared" si="84"/>
        <v>YES</v>
      </c>
    </row>
    <row r="1456" spans="1:16" ht="13" x14ac:dyDescent="0.15">
      <c r="A1456" s="4" t="s">
        <v>6407</v>
      </c>
      <c r="B1456" s="3" t="str">
        <f t="shared" si="80"/>
        <v>Yes</v>
      </c>
      <c r="C1456" s="3">
        <f t="shared" si="81"/>
        <v>446</v>
      </c>
      <c r="D1456" s="5">
        <v>11514404902</v>
      </c>
      <c r="E1456" s="4" t="s">
        <v>492</v>
      </c>
      <c r="F1456" s="4" t="s">
        <v>1161</v>
      </c>
      <c r="G1456" s="4"/>
      <c r="H1456" s="4" t="s">
        <v>34</v>
      </c>
      <c r="I1456" s="4" t="s">
        <v>6408</v>
      </c>
      <c r="J1456" s="6" t="s">
        <v>6409</v>
      </c>
      <c r="K1456" s="4"/>
      <c r="L1456" s="4" t="s">
        <v>6410</v>
      </c>
      <c r="M1456" s="4" t="s">
        <v>38</v>
      </c>
      <c r="N1456" s="4"/>
      <c r="O1456" s="4"/>
      <c r="P1456" s="4" t="str">
        <f t="shared" si="84"/>
        <v>YES</v>
      </c>
    </row>
    <row r="1457" spans="1:16" ht="13" x14ac:dyDescent="0.15">
      <c r="A1457" s="4" t="s">
        <v>6411</v>
      </c>
      <c r="B1457" s="3" t="str">
        <f t="shared" si="80"/>
        <v>Yes</v>
      </c>
      <c r="C1457" s="3">
        <f t="shared" si="81"/>
        <v>446</v>
      </c>
      <c r="D1457" s="5">
        <v>11512971816</v>
      </c>
      <c r="E1457" s="4" t="s">
        <v>1666</v>
      </c>
      <c r="F1457" s="4" t="s">
        <v>6412</v>
      </c>
      <c r="G1457" s="4"/>
      <c r="H1457" s="4" t="s">
        <v>34</v>
      </c>
      <c r="I1457" s="4" t="s">
        <v>6413</v>
      </c>
      <c r="J1457" s="4" t="s">
        <v>6414</v>
      </c>
      <c r="K1457" s="4"/>
      <c r="L1457" s="4" t="s">
        <v>6415</v>
      </c>
      <c r="M1457" s="4" t="s">
        <v>38</v>
      </c>
      <c r="N1457" s="4"/>
      <c r="O1457" s="4"/>
      <c r="P1457" s="4" t="str">
        <f t="shared" si="84"/>
        <v>YES</v>
      </c>
    </row>
    <row r="1458" spans="1:16" ht="13" x14ac:dyDescent="0.15">
      <c r="A1458" s="4" t="s">
        <v>6416</v>
      </c>
      <c r="B1458" s="3" t="str">
        <f t="shared" si="80"/>
        <v>Yes</v>
      </c>
      <c r="C1458" s="3">
        <f t="shared" si="81"/>
        <v>446</v>
      </c>
      <c r="D1458" s="5">
        <v>11491606591</v>
      </c>
      <c r="E1458" s="4" t="s">
        <v>6417</v>
      </c>
      <c r="F1458" s="4" t="s">
        <v>6418</v>
      </c>
      <c r="G1458" s="4"/>
      <c r="H1458" s="4" t="s">
        <v>34</v>
      </c>
      <c r="I1458" s="4" t="s">
        <v>6419</v>
      </c>
      <c r="J1458" s="6" t="s">
        <v>6420</v>
      </c>
      <c r="K1458" s="4"/>
      <c r="L1458" s="4" t="s">
        <v>6421</v>
      </c>
      <c r="M1458" s="4" t="s">
        <v>38</v>
      </c>
      <c r="N1458" s="4"/>
      <c r="O1458" s="4"/>
      <c r="P1458" s="4" t="str">
        <f t="shared" si="84"/>
        <v>YES</v>
      </c>
    </row>
    <row r="1459" spans="1:16" ht="13" x14ac:dyDescent="0.15">
      <c r="A1459" s="4" t="s">
        <v>6422</v>
      </c>
      <c r="B1459" s="3" t="str">
        <f t="shared" si="80"/>
        <v>Yes</v>
      </c>
      <c r="C1459" s="3">
        <f t="shared" si="81"/>
        <v>446</v>
      </c>
      <c r="D1459" s="5">
        <v>2413</v>
      </c>
      <c r="E1459" s="4" t="s">
        <v>6423</v>
      </c>
      <c r="F1459" s="4" t="s">
        <v>6424</v>
      </c>
      <c r="G1459" s="4"/>
      <c r="H1459" s="4" t="s">
        <v>34</v>
      </c>
      <c r="I1459" s="4" t="s">
        <v>6425</v>
      </c>
      <c r="J1459" s="6" t="s">
        <v>6426</v>
      </c>
      <c r="K1459" s="4"/>
      <c r="L1459" s="4" t="s">
        <v>6427</v>
      </c>
      <c r="M1459" s="4" t="s">
        <v>38</v>
      </c>
      <c r="N1459" s="4"/>
      <c r="O1459" s="4"/>
      <c r="P1459" s="4" t="str">
        <f t="shared" si="84"/>
        <v>YES</v>
      </c>
    </row>
    <row r="1460" spans="1:16" ht="13" x14ac:dyDescent="0.15">
      <c r="A1460" s="4" t="s">
        <v>6428</v>
      </c>
      <c r="B1460" s="3" t="str">
        <f t="shared" si="80"/>
        <v>Yes</v>
      </c>
      <c r="C1460" s="3">
        <f t="shared" si="81"/>
        <v>446</v>
      </c>
      <c r="D1460" s="5">
        <v>2511</v>
      </c>
      <c r="E1460" s="4" t="s">
        <v>6429</v>
      </c>
      <c r="F1460" s="4" t="s">
        <v>6430</v>
      </c>
      <c r="G1460" s="4"/>
      <c r="H1460" s="4" t="s">
        <v>34</v>
      </c>
      <c r="I1460" s="4" t="s">
        <v>6431</v>
      </c>
      <c r="J1460" s="6" t="s">
        <v>6432</v>
      </c>
      <c r="K1460" s="4"/>
      <c r="L1460" s="4" t="s">
        <v>1388</v>
      </c>
      <c r="M1460" s="4" t="s">
        <v>38</v>
      </c>
      <c r="N1460" s="4"/>
      <c r="O1460" s="4"/>
      <c r="P1460" s="4" t="str">
        <f t="shared" si="84"/>
        <v>YES</v>
      </c>
    </row>
    <row r="1461" spans="1:16" ht="13" x14ac:dyDescent="0.15">
      <c r="A1461" s="4" t="s">
        <v>6433</v>
      </c>
      <c r="B1461" s="3" t="str">
        <f t="shared" si="80"/>
        <v>Yes</v>
      </c>
      <c r="C1461" s="3">
        <f t="shared" si="81"/>
        <v>446</v>
      </c>
      <c r="D1461" s="5">
        <v>11510924345</v>
      </c>
      <c r="E1461" s="4" t="s">
        <v>6434</v>
      </c>
      <c r="F1461" s="4" t="s">
        <v>6435</v>
      </c>
      <c r="G1461" s="4"/>
      <c r="H1461" s="4" t="s">
        <v>34</v>
      </c>
      <c r="I1461" s="4" t="s">
        <v>6436</v>
      </c>
      <c r="J1461" s="6" t="s">
        <v>6437</v>
      </c>
      <c r="K1461" s="4"/>
      <c r="L1461" s="4" t="s">
        <v>6438</v>
      </c>
      <c r="M1461" s="4" t="s">
        <v>38</v>
      </c>
      <c r="N1461" s="4"/>
      <c r="O1461" s="4"/>
      <c r="P1461" s="4" t="str">
        <f t="shared" si="84"/>
        <v>YES</v>
      </c>
    </row>
    <row r="1462" spans="1:16" ht="13" x14ac:dyDescent="0.15">
      <c r="A1462" s="4" t="s">
        <v>6439</v>
      </c>
      <c r="B1462" s="3" t="str">
        <f t="shared" si="80"/>
        <v>Yes</v>
      </c>
      <c r="C1462" s="3">
        <f t="shared" si="81"/>
        <v>446</v>
      </c>
      <c r="D1462" s="5">
        <v>11493886862</v>
      </c>
      <c r="E1462" s="4" t="s">
        <v>6440</v>
      </c>
      <c r="F1462" s="4" t="s">
        <v>6441</v>
      </c>
      <c r="G1462" s="4"/>
      <c r="H1462" s="4" t="s">
        <v>34</v>
      </c>
      <c r="I1462" s="4" t="s">
        <v>6442</v>
      </c>
      <c r="J1462" s="6" t="s">
        <v>6443</v>
      </c>
      <c r="K1462" s="4"/>
      <c r="L1462" s="4" t="s">
        <v>4940</v>
      </c>
      <c r="M1462" s="4" t="s">
        <v>38</v>
      </c>
      <c r="N1462" s="4"/>
      <c r="O1462" s="4"/>
      <c r="P1462" s="4" t="str">
        <f t="shared" si="84"/>
        <v>YES</v>
      </c>
    </row>
    <row r="1463" spans="1:16" ht="13" x14ac:dyDescent="0.15">
      <c r="A1463" s="4" t="s">
        <v>6439</v>
      </c>
      <c r="B1463" s="3" t="str">
        <f t="shared" si="80"/>
        <v>Yes</v>
      </c>
      <c r="C1463" s="3">
        <f t="shared" si="81"/>
        <v>446</v>
      </c>
      <c r="D1463" s="5">
        <v>11514486161</v>
      </c>
      <c r="E1463" s="4" t="s">
        <v>6444</v>
      </c>
      <c r="F1463" s="4" t="s">
        <v>6445</v>
      </c>
      <c r="G1463" s="4"/>
      <c r="H1463" s="4" t="s">
        <v>34</v>
      </c>
      <c r="I1463" s="4" t="s">
        <v>6446</v>
      </c>
      <c r="J1463" s="6" t="s">
        <v>6443</v>
      </c>
      <c r="K1463" s="4"/>
      <c r="L1463" s="4" t="s">
        <v>6447</v>
      </c>
      <c r="M1463" s="4" t="s">
        <v>38</v>
      </c>
      <c r="N1463" s="4"/>
      <c r="O1463" s="4"/>
      <c r="P1463" s="4" t="str">
        <f t="shared" si="84"/>
        <v>YES</v>
      </c>
    </row>
    <row r="1464" spans="1:16" ht="13" x14ac:dyDescent="0.15">
      <c r="A1464" s="4" t="s">
        <v>6439</v>
      </c>
      <c r="B1464" s="3" t="str">
        <f t="shared" si="80"/>
        <v>Yes</v>
      </c>
      <c r="C1464" s="3">
        <f t="shared" si="81"/>
        <v>446</v>
      </c>
      <c r="D1464" s="5">
        <v>4210</v>
      </c>
      <c r="E1464" s="4" t="s">
        <v>114</v>
      </c>
      <c r="F1464" s="4" t="s">
        <v>2478</v>
      </c>
      <c r="G1464" s="4"/>
      <c r="H1464" s="4" t="s">
        <v>34</v>
      </c>
      <c r="I1464" s="4" t="s">
        <v>6448</v>
      </c>
      <c r="J1464" s="6" t="s">
        <v>6443</v>
      </c>
      <c r="K1464" s="4"/>
      <c r="L1464" s="4" t="s">
        <v>6449</v>
      </c>
      <c r="M1464" s="4" t="s">
        <v>38</v>
      </c>
      <c r="N1464" s="4"/>
      <c r="O1464" s="4"/>
      <c r="P1464" s="4" t="str">
        <f t="shared" si="84"/>
        <v>YES</v>
      </c>
    </row>
    <row r="1465" spans="1:16" ht="13" x14ac:dyDescent="0.15">
      <c r="A1465" s="4" t="s">
        <v>6450</v>
      </c>
      <c r="B1465" s="3" t="str">
        <f t="shared" si="80"/>
        <v>Yes</v>
      </c>
      <c r="C1465" s="3">
        <f t="shared" si="81"/>
        <v>446</v>
      </c>
      <c r="D1465" s="5">
        <v>11512971814</v>
      </c>
      <c r="E1465" s="4" t="s">
        <v>503</v>
      </c>
      <c r="F1465" s="4" t="s">
        <v>6451</v>
      </c>
      <c r="G1465" s="4"/>
      <c r="H1465" s="4" t="s">
        <v>34</v>
      </c>
      <c r="I1465" s="4" t="s">
        <v>6452</v>
      </c>
      <c r="J1465" s="6" t="s">
        <v>6453</v>
      </c>
      <c r="K1465" s="4"/>
      <c r="L1465" s="4" t="s">
        <v>3976</v>
      </c>
      <c r="M1465" s="4" t="s">
        <v>38</v>
      </c>
      <c r="N1465" s="4"/>
      <c r="O1465" s="4"/>
      <c r="P1465" s="4" t="str">
        <f t="shared" si="84"/>
        <v>YES</v>
      </c>
    </row>
    <row r="1466" spans="1:16" ht="13" x14ac:dyDescent="0.15">
      <c r="A1466" s="4" t="s">
        <v>6450</v>
      </c>
      <c r="B1466" s="3" t="str">
        <f t="shared" si="80"/>
        <v>Yes</v>
      </c>
      <c r="C1466" s="3">
        <f t="shared" si="81"/>
        <v>446</v>
      </c>
      <c r="D1466" s="5">
        <v>11513992751</v>
      </c>
      <c r="E1466" s="4" t="s">
        <v>6454</v>
      </c>
      <c r="F1466" s="4" t="s">
        <v>6455</v>
      </c>
      <c r="G1466" s="4"/>
      <c r="H1466" s="4" t="s">
        <v>34</v>
      </c>
      <c r="I1466" s="4" t="s">
        <v>6456</v>
      </c>
      <c r="J1466" s="6" t="s">
        <v>6453</v>
      </c>
      <c r="K1466" s="4"/>
      <c r="L1466" s="4" t="s">
        <v>6457</v>
      </c>
      <c r="M1466" s="4" t="s">
        <v>38</v>
      </c>
      <c r="N1466" s="4"/>
      <c r="O1466" s="4"/>
      <c r="P1466" s="4" t="str">
        <f t="shared" si="84"/>
        <v>YES</v>
      </c>
    </row>
    <row r="1467" spans="1:16" ht="13" x14ac:dyDescent="0.15">
      <c r="A1467" s="4" t="s">
        <v>6458</v>
      </c>
      <c r="B1467" s="3" t="str">
        <f t="shared" si="80"/>
        <v>Yes</v>
      </c>
      <c r="C1467" s="3">
        <f t="shared" si="81"/>
        <v>446</v>
      </c>
      <c r="D1467" s="5">
        <v>11515723928</v>
      </c>
      <c r="E1467" s="4" t="s">
        <v>5194</v>
      </c>
      <c r="F1467" s="4" t="s">
        <v>6459</v>
      </c>
      <c r="G1467" s="4"/>
      <c r="H1467" s="4" t="s">
        <v>34</v>
      </c>
      <c r="I1467" s="4" t="s">
        <v>6460</v>
      </c>
      <c r="J1467" s="6" t="s">
        <v>6461</v>
      </c>
      <c r="K1467" s="4"/>
      <c r="L1467" s="4" t="s">
        <v>5518</v>
      </c>
      <c r="M1467" s="4" t="s">
        <v>38</v>
      </c>
      <c r="N1467" s="4"/>
      <c r="O1467" s="4"/>
      <c r="P1467" s="4" t="str">
        <f t="shared" si="84"/>
        <v>YES</v>
      </c>
    </row>
    <row r="1468" spans="1:16" ht="13" x14ac:dyDescent="0.15">
      <c r="A1468" s="4" t="s">
        <v>6462</v>
      </c>
      <c r="B1468" s="3" t="str">
        <f t="shared" si="80"/>
        <v>Yes</v>
      </c>
      <c r="C1468" s="3">
        <f t="shared" si="81"/>
        <v>446</v>
      </c>
      <c r="D1468" s="5">
        <v>11511423354</v>
      </c>
      <c r="E1468" s="4" t="s">
        <v>6463</v>
      </c>
      <c r="F1468" s="4" t="s">
        <v>6464</v>
      </c>
      <c r="G1468" s="4"/>
      <c r="H1468" s="4" t="s">
        <v>34</v>
      </c>
      <c r="I1468" s="4" t="s">
        <v>6465</v>
      </c>
      <c r="J1468" s="6" t="s">
        <v>6466</v>
      </c>
      <c r="K1468" s="4"/>
      <c r="L1468" s="4" t="s">
        <v>6467</v>
      </c>
      <c r="M1468" s="4" t="s">
        <v>38</v>
      </c>
      <c r="N1468" s="4"/>
      <c r="O1468" s="4"/>
      <c r="P1468" s="4" t="str">
        <f t="shared" si="84"/>
        <v>YES</v>
      </c>
    </row>
    <row r="1469" spans="1:16" ht="13" x14ac:dyDescent="0.15">
      <c r="A1469" s="4" t="s">
        <v>6468</v>
      </c>
      <c r="B1469" s="3" t="str">
        <f t="shared" si="80"/>
        <v>Yes</v>
      </c>
      <c r="C1469" s="3">
        <f t="shared" si="81"/>
        <v>446</v>
      </c>
      <c r="D1469" s="5">
        <v>1851</v>
      </c>
      <c r="E1469" s="4" t="s">
        <v>5175</v>
      </c>
      <c r="F1469" s="4" t="s">
        <v>3319</v>
      </c>
      <c r="G1469" s="4"/>
      <c r="H1469" s="4" t="s">
        <v>34</v>
      </c>
      <c r="I1469" s="4" t="s">
        <v>6469</v>
      </c>
      <c r="J1469" s="6" t="s">
        <v>6470</v>
      </c>
      <c r="K1469" s="4"/>
      <c r="L1469" s="4" t="s">
        <v>1388</v>
      </c>
      <c r="M1469" s="4" t="s">
        <v>38</v>
      </c>
      <c r="N1469" s="4"/>
      <c r="O1469" s="4"/>
      <c r="P1469" s="4" t="str">
        <f t="shared" si="84"/>
        <v>YES</v>
      </c>
    </row>
    <row r="1470" spans="1:16" ht="13" x14ac:dyDescent="0.15">
      <c r="A1470" s="4" t="s">
        <v>6471</v>
      </c>
      <c r="B1470" s="3" t="str">
        <f t="shared" si="80"/>
        <v>Yes</v>
      </c>
      <c r="C1470" s="3">
        <f t="shared" si="81"/>
        <v>446</v>
      </c>
      <c r="D1470" s="5">
        <v>1577</v>
      </c>
      <c r="E1470" s="4" t="s">
        <v>3941</v>
      </c>
      <c r="F1470" s="4" t="s">
        <v>6472</v>
      </c>
      <c r="G1470" s="4"/>
      <c r="H1470" s="4" t="s">
        <v>34</v>
      </c>
      <c r="I1470" s="4" t="s">
        <v>6473</v>
      </c>
      <c r="J1470" s="6" t="s">
        <v>6474</v>
      </c>
      <c r="K1470" s="4"/>
      <c r="L1470" s="4" t="s">
        <v>1388</v>
      </c>
      <c r="M1470" s="4" t="s">
        <v>38</v>
      </c>
      <c r="N1470" s="4"/>
      <c r="O1470" s="4"/>
      <c r="P1470" s="4" t="str">
        <f t="shared" si="84"/>
        <v>YES</v>
      </c>
    </row>
    <row r="1471" spans="1:16" ht="13" x14ac:dyDescent="0.15">
      <c r="A1471" s="4" t="s">
        <v>6471</v>
      </c>
      <c r="B1471" s="3" t="str">
        <f t="shared" si="80"/>
        <v>Yes</v>
      </c>
      <c r="C1471" s="3">
        <f t="shared" si="81"/>
        <v>446</v>
      </c>
      <c r="D1471" s="5">
        <v>7106</v>
      </c>
      <c r="E1471" s="4" t="s">
        <v>1291</v>
      </c>
      <c r="F1471" s="4" t="s">
        <v>6475</v>
      </c>
      <c r="G1471" s="4"/>
      <c r="H1471" s="4" t="s">
        <v>34</v>
      </c>
      <c r="I1471" s="4" t="s">
        <v>6476</v>
      </c>
      <c r="J1471" s="6" t="s">
        <v>6474</v>
      </c>
      <c r="K1471" s="4"/>
      <c r="L1471" s="4" t="s">
        <v>6477</v>
      </c>
      <c r="M1471" s="4" t="s">
        <v>38</v>
      </c>
      <c r="N1471" s="4"/>
      <c r="O1471" s="4"/>
      <c r="P1471" s="4" t="str">
        <f t="shared" si="84"/>
        <v>YES</v>
      </c>
    </row>
    <row r="1472" spans="1:16" ht="13" x14ac:dyDescent="0.15">
      <c r="A1472" s="4" t="s">
        <v>6478</v>
      </c>
      <c r="B1472" s="3" t="str">
        <f t="shared" si="80"/>
        <v>Yes</v>
      </c>
      <c r="C1472" s="3">
        <f t="shared" si="81"/>
        <v>446</v>
      </c>
      <c r="D1472" s="5">
        <v>11513106178</v>
      </c>
      <c r="E1472" s="4" t="s">
        <v>2551</v>
      </c>
      <c r="F1472" s="4" t="s">
        <v>6479</v>
      </c>
      <c r="G1472" s="4"/>
      <c r="H1472" s="4" t="s">
        <v>34</v>
      </c>
      <c r="I1472" s="4" t="s">
        <v>6480</v>
      </c>
      <c r="J1472" s="6" t="s">
        <v>6481</v>
      </c>
      <c r="K1472" s="4"/>
      <c r="L1472" s="4" t="s">
        <v>949</v>
      </c>
      <c r="M1472" s="4" t="s">
        <v>38</v>
      </c>
      <c r="N1472" s="4"/>
      <c r="O1472" s="4"/>
      <c r="P1472" s="4" t="str">
        <f t="shared" si="84"/>
        <v>YES</v>
      </c>
    </row>
    <row r="1473" spans="1:16" ht="13" x14ac:dyDescent="0.15">
      <c r="A1473" s="4" t="s">
        <v>6482</v>
      </c>
      <c r="B1473" s="3" t="str">
        <f t="shared" si="80"/>
        <v>william.hall2@unchealth.unc.edu</v>
      </c>
      <c r="C1473" s="3">
        <f t="shared" si="81"/>
        <v>1</v>
      </c>
      <c r="D1473" s="5">
        <v>25021538147</v>
      </c>
      <c r="E1473" s="4" t="s">
        <v>18</v>
      </c>
      <c r="F1473" s="4" t="s">
        <v>2552</v>
      </c>
      <c r="G1473" s="4" t="s">
        <v>34</v>
      </c>
      <c r="H1473" s="4"/>
      <c r="I1473" s="4" t="s">
        <v>6483</v>
      </c>
      <c r="J1473" s="6" t="s">
        <v>6484</v>
      </c>
      <c r="K1473" s="4"/>
      <c r="L1473" s="4" t="s">
        <v>4057</v>
      </c>
      <c r="M1473" s="4"/>
      <c r="N1473" s="4"/>
      <c r="O1473" s="4"/>
      <c r="P1473" s="4" t="str">
        <f t="shared" si="84"/>
        <v>YES</v>
      </c>
    </row>
    <row r="1474" spans="1:16" ht="13" x14ac:dyDescent="0.15">
      <c r="A1474" s="4" t="s">
        <v>6485</v>
      </c>
      <c r="B1474" s="3" t="str">
        <f t="shared" ref="B1474:B1537" si="85">IF(H1474&lt;&gt;"",H1474,I1474)</f>
        <v>Yes</v>
      </c>
      <c r="C1474" s="3">
        <f t="shared" ref="C1474:C1537" si="86">COUNTIF($B$2:$B$1586,B1474)</f>
        <v>446</v>
      </c>
      <c r="D1474" s="5">
        <v>11511483298</v>
      </c>
      <c r="E1474" s="4" t="s">
        <v>6486</v>
      </c>
      <c r="F1474" s="4" t="s">
        <v>6487</v>
      </c>
      <c r="G1474" s="4"/>
      <c r="H1474" s="4" t="s">
        <v>34</v>
      </c>
      <c r="I1474" s="4" t="s">
        <v>6488</v>
      </c>
      <c r="J1474" s="6" t="s">
        <v>6489</v>
      </c>
      <c r="K1474" s="4"/>
      <c r="L1474" s="4" t="s">
        <v>6490</v>
      </c>
      <c r="M1474" s="4" t="s">
        <v>38</v>
      </c>
      <c r="N1474" s="4"/>
      <c r="O1474" s="4"/>
      <c r="P1474" s="4" t="str">
        <f t="shared" si="84"/>
        <v>YES</v>
      </c>
    </row>
    <row r="1475" spans="1:16" ht="15" x14ac:dyDescent="0.2">
      <c r="A1475" s="2" t="s">
        <v>6491</v>
      </c>
      <c r="B1475" s="3" t="str">
        <f t="shared" si="85"/>
        <v>cbarker@unilogichealthcare.com</v>
      </c>
      <c r="C1475" s="3">
        <f t="shared" si="86"/>
        <v>1</v>
      </c>
      <c r="D1475" s="2" t="s">
        <v>6492</v>
      </c>
      <c r="E1475" s="2" t="s">
        <v>667</v>
      </c>
      <c r="F1475" s="2" t="s">
        <v>6493</v>
      </c>
      <c r="I1475" s="2" t="s">
        <v>6494</v>
      </c>
      <c r="L1475" s="2" t="s">
        <v>6495</v>
      </c>
      <c r="M1475" s="2" t="s">
        <v>22</v>
      </c>
    </row>
    <row r="1476" spans="1:16" ht="13" x14ac:dyDescent="0.15">
      <c r="A1476" s="4" t="s">
        <v>6496</v>
      </c>
      <c r="B1476" s="3" t="str">
        <f t="shared" si="85"/>
        <v>peter.spivack@umpartners.com</v>
      </c>
      <c r="C1476" s="3">
        <f t="shared" si="86"/>
        <v>1</v>
      </c>
      <c r="D1476" s="5">
        <v>25021479700</v>
      </c>
      <c r="E1476" s="4" t="s">
        <v>24</v>
      </c>
      <c r="F1476" s="4" t="s">
        <v>6497</v>
      </c>
      <c r="G1476" s="4" t="s">
        <v>34</v>
      </c>
      <c r="H1476" s="4"/>
      <c r="I1476" s="4" t="s">
        <v>6498</v>
      </c>
      <c r="J1476" s="6" t="s">
        <v>6499</v>
      </c>
      <c r="K1476" s="4"/>
      <c r="L1476" s="4" t="s">
        <v>6500</v>
      </c>
      <c r="M1476" s="4"/>
      <c r="N1476" s="4"/>
      <c r="O1476" s="4"/>
      <c r="P1476" s="4" t="str">
        <f>IF(OR(M1476="Customer", M1476="Opportunity", H1476="Yes", H1476=TRUE, G1476="Yes", G1476=TRUE, O1476&gt;0), "YES", "NO")</f>
        <v>YES</v>
      </c>
    </row>
    <row r="1477" spans="1:16" ht="13" x14ac:dyDescent="0.15">
      <c r="A1477" s="4" t="s">
        <v>6501</v>
      </c>
      <c r="B1477" s="3" t="str">
        <f t="shared" si="85"/>
        <v>krista.arndt@umpartners.com</v>
      </c>
      <c r="C1477" s="3">
        <f t="shared" si="86"/>
        <v>1</v>
      </c>
      <c r="D1477" s="5">
        <v>25006711047</v>
      </c>
      <c r="E1477" s="4" t="s">
        <v>6502</v>
      </c>
      <c r="F1477" s="4" t="s">
        <v>6278</v>
      </c>
      <c r="G1477" s="4" t="s">
        <v>34</v>
      </c>
      <c r="H1477" s="4"/>
      <c r="I1477" s="4" t="s">
        <v>6503</v>
      </c>
      <c r="J1477" s="6" t="s">
        <v>6499</v>
      </c>
      <c r="K1477" s="4"/>
      <c r="L1477" s="4" t="s">
        <v>681</v>
      </c>
      <c r="M1477" s="4"/>
      <c r="N1477" s="4"/>
      <c r="O1477" s="4"/>
      <c r="P1477" s="4" t="str">
        <f>IF(OR(M1477="Customer", M1477="Opportunity", H1477="Yes", H1477=TRUE, G1477="Yes", G1477=TRUE, O1477&gt;0), "YES", "NO")</f>
        <v>YES</v>
      </c>
    </row>
    <row r="1478" spans="1:16" ht="13" x14ac:dyDescent="0.15">
      <c r="A1478" s="4" t="s">
        <v>6504</v>
      </c>
      <c r="B1478" s="3" t="str">
        <f t="shared" si="85"/>
        <v>jeremiah_green@urmc.rochester.edu</v>
      </c>
      <c r="C1478" s="3">
        <f t="shared" si="86"/>
        <v>1</v>
      </c>
      <c r="D1478" s="5">
        <v>25012087919</v>
      </c>
      <c r="E1478" s="4" t="s">
        <v>6505</v>
      </c>
      <c r="F1478" s="4" t="s">
        <v>6506</v>
      </c>
      <c r="G1478" s="4" t="s">
        <v>34</v>
      </c>
      <c r="H1478" s="4"/>
      <c r="I1478" s="4" t="s">
        <v>6507</v>
      </c>
      <c r="J1478" s="6" t="s">
        <v>6508</v>
      </c>
      <c r="K1478" s="4"/>
      <c r="L1478" s="4" t="s">
        <v>6509</v>
      </c>
      <c r="M1478" s="4"/>
      <c r="N1478" s="4"/>
      <c r="O1478" s="4"/>
      <c r="P1478" s="4" t="str">
        <f>IF(OR(M1478="Customer", M1478="Opportunity", H1478="Yes", H1478=TRUE, G1478="Yes", G1478=TRUE, O1478&gt;0), "YES", "NO")</f>
        <v>YES</v>
      </c>
    </row>
    <row r="1479" spans="1:16" ht="13" x14ac:dyDescent="0.15">
      <c r="A1479" s="4" t="s">
        <v>6510</v>
      </c>
      <c r="B1479" s="3" t="str">
        <f t="shared" si="85"/>
        <v>Yes</v>
      </c>
      <c r="C1479" s="3">
        <f t="shared" si="86"/>
        <v>446</v>
      </c>
      <c r="D1479" s="5">
        <v>471</v>
      </c>
      <c r="E1479" s="4" t="s">
        <v>5276</v>
      </c>
      <c r="F1479" s="4" t="s">
        <v>6511</v>
      </c>
      <c r="G1479" s="4"/>
      <c r="H1479" s="4" t="s">
        <v>34</v>
      </c>
      <c r="I1479" s="4" t="s">
        <v>6512</v>
      </c>
      <c r="J1479" s="6" t="s">
        <v>6513</v>
      </c>
      <c r="K1479" s="4"/>
      <c r="L1479" s="4" t="s">
        <v>6514</v>
      </c>
      <c r="M1479" s="4" t="s">
        <v>38</v>
      </c>
      <c r="N1479" s="4"/>
      <c r="O1479" s="4"/>
      <c r="P1479" s="4" t="str">
        <f>IF(OR(M1479="Customer", M1479="Opportunity", H1479="Yes", H1479=TRUE, G1479="Yes", G1479=TRUE, O1479&gt;0), "YES", "NO")</f>
        <v>YES</v>
      </c>
    </row>
    <row r="1480" spans="1:16" ht="13" x14ac:dyDescent="0.15">
      <c r="A1480" s="4" t="s">
        <v>6515</v>
      </c>
      <c r="B1480" s="3" t="str">
        <f t="shared" si="85"/>
        <v>rkz2f@uvahealth.org</v>
      </c>
      <c r="C1480" s="3">
        <f t="shared" si="86"/>
        <v>1</v>
      </c>
      <c r="D1480" s="5">
        <v>25010833078</v>
      </c>
      <c r="E1480" s="4" t="s">
        <v>6516</v>
      </c>
      <c r="F1480" s="4" t="s">
        <v>1460</v>
      </c>
      <c r="G1480" s="4" t="s">
        <v>34</v>
      </c>
      <c r="H1480" s="4"/>
      <c r="I1480" s="4" t="s">
        <v>6517</v>
      </c>
      <c r="J1480" s="6" t="s">
        <v>6518</v>
      </c>
      <c r="K1480" s="4"/>
      <c r="L1480" s="4" t="s">
        <v>6519</v>
      </c>
      <c r="M1480" s="4"/>
      <c r="N1480" s="4"/>
      <c r="O1480" s="4"/>
      <c r="P1480" s="4" t="str">
        <f>IF(OR(M1480="Customer", M1480="Opportunity", H1480="Yes", H1480=TRUE, G1480="Yes", G1480=TRUE, O1480&gt;0), "YES", "NO")</f>
        <v>YES</v>
      </c>
    </row>
    <row r="1481" spans="1:16" ht="15" x14ac:dyDescent="0.2">
      <c r="A1481" s="2" t="s">
        <v>6520</v>
      </c>
      <c r="B1481" s="3" t="str">
        <f t="shared" si="85"/>
        <v>jatin.trivedi@vareximaging.com</v>
      </c>
      <c r="C1481" s="3">
        <f t="shared" si="86"/>
        <v>1</v>
      </c>
      <c r="D1481" s="2" t="s">
        <v>6521</v>
      </c>
      <c r="E1481" s="2" t="s">
        <v>6522</v>
      </c>
      <c r="F1481" s="2" t="s">
        <v>6523</v>
      </c>
      <c r="I1481" s="2" t="s">
        <v>6524</v>
      </c>
      <c r="L1481" s="2" t="s">
        <v>6525</v>
      </c>
      <c r="M1481" s="2" t="s">
        <v>45</v>
      </c>
    </row>
    <row r="1482" spans="1:16" ht="15" x14ac:dyDescent="0.2">
      <c r="A1482" s="2" t="s">
        <v>6526</v>
      </c>
      <c r="B1482" s="3" t="str">
        <f t="shared" si="85"/>
        <v>jared.kohr@varian.com</v>
      </c>
      <c r="C1482" s="3">
        <f t="shared" si="86"/>
        <v>1</v>
      </c>
      <c r="D1482" s="2" t="s">
        <v>6527</v>
      </c>
      <c r="E1482" s="2" t="s">
        <v>516</v>
      </c>
      <c r="F1482" s="2" t="s">
        <v>6528</v>
      </c>
      <c r="I1482" s="2" t="s">
        <v>6529</v>
      </c>
      <c r="L1482" s="2" t="s">
        <v>6530</v>
      </c>
      <c r="M1482" s="2" t="s">
        <v>45</v>
      </c>
    </row>
    <row r="1483" spans="1:16" ht="15" x14ac:dyDescent="0.2">
      <c r="A1483" s="2" t="s">
        <v>6526</v>
      </c>
      <c r="B1483" s="3" t="str">
        <f t="shared" si="85"/>
        <v>onyinye.chiejina@varian.com</v>
      </c>
      <c r="C1483" s="3">
        <f t="shared" si="86"/>
        <v>1</v>
      </c>
      <c r="D1483" s="2" t="s">
        <v>6531</v>
      </c>
      <c r="E1483" s="2" t="s">
        <v>6532</v>
      </c>
      <c r="F1483" s="2" t="s">
        <v>6533</v>
      </c>
      <c r="I1483" s="2" t="s">
        <v>6534</v>
      </c>
      <c r="L1483" s="2" t="s">
        <v>6535</v>
      </c>
      <c r="M1483" s="2" t="s">
        <v>45</v>
      </c>
    </row>
    <row r="1484" spans="1:16" ht="13" x14ac:dyDescent="0.15">
      <c r="A1484" s="4" t="s">
        <v>6536</v>
      </c>
      <c r="B1484" s="3" t="str">
        <f t="shared" si="85"/>
        <v>Yes</v>
      </c>
      <c r="C1484" s="3">
        <f t="shared" si="86"/>
        <v>446</v>
      </c>
      <c r="D1484" s="5">
        <v>11514195205</v>
      </c>
      <c r="E1484" s="4" t="s">
        <v>6537</v>
      </c>
      <c r="F1484" s="4" t="s">
        <v>6538</v>
      </c>
      <c r="G1484" s="4"/>
      <c r="H1484" s="4" t="s">
        <v>34</v>
      </c>
      <c r="I1484" s="4" t="s">
        <v>6539</v>
      </c>
      <c r="J1484" s="6" t="s">
        <v>6540</v>
      </c>
      <c r="K1484" s="4"/>
      <c r="L1484" s="4" t="s">
        <v>6541</v>
      </c>
      <c r="M1484" s="4" t="s">
        <v>38</v>
      </c>
      <c r="N1484" s="4"/>
      <c r="O1484" s="4"/>
      <c r="P1484" s="4" t="str">
        <f>IF(OR(M1484="Customer", M1484="Opportunity", H1484="Yes", H1484=TRUE, G1484="Yes", G1484=TRUE, O1484&gt;0), "YES", "NO")</f>
        <v>YES</v>
      </c>
    </row>
    <row r="1485" spans="1:16" ht="13" x14ac:dyDescent="0.15">
      <c r="A1485" s="4" t="s">
        <v>6542</v>
      </c>
      <c r="B1485" s="3" t="str">
        <f t="shared" si="85"/>
        <v>Yes</v>
      </c>
      <c r="C1485" s="3">
        <f t="shared" si="86"/>
        <v>446</v>
      </c>
      <c r="D1485" s="5">
        <v>11516076613</v>
      </c>
      <c r="E1485" s="4" t="s">
        <v>1291</v>
      </c>
      <c r="F1485" s="4" t="s">
        <v>6543</v>
      </c>
      <c r="G1485" s="4"/>
      <c r="H1485" s="4" t="s">
        <v>34</v>
      </c>
      <c r="I1485" s="4" t="s">
        <v>6544</v>
      </c>
      <c r="J1485" s="6" t="s">
        <v>6545</v>
      </c>
      <c r="K1485" s="4"/>
      <c r="L1485" s="4" t="s">
        <v>6546</v>
      </c>
      <c r="M1485" s="4" t="s">
        <v>38</v>
      </c>
      <c r="N1485" s="4"/>
      <c r="O1485" s="4"/>
      <c r="P1485" s="4" t="str">
        <f>IF(OR(M1485="Customer", M1485="Opportunity", H1485="Yes", H1485=TRUE, G1485="Yes", G1485=TRUE, O1485&gt;0), "YES", "NO")</f>
        <v>YES</v>
      </c>
    </row>
    <row r="1486" spans="1:16" ht="13" x14ac:dyDescent="0.15">
      <c r="A1486" s="4" t="s">
        <v>6547</v>
      </c>
      <c r="B1486" s="3" t="str">
        <f t="shared" si="85"/>
        <v>Yes</v>
      </c>
      <c r="C1486" s="3">
        <f t="shared" si="86"/>
        <v>446</v>
      </c>
      <c r="D1486" s="5">
        <v>11514703106</v>
      </c>
      <c r="E1486" s="4" t="s">
        <v>6548</v>
      </c>
      <c r="F1486" s="4" t="s">
        <v>6549</v>
      </c>
      <c r="G1486" s="4"/>
      <c r="H1486" s="4" t="s">
        <v>34</v>
      </c>
      <c r="I1486" s="4" t="s">
        <v>6550</v>
      </c>
      <c r="J1486" s="6" t="s">
        <v>6551</v>
      </c>
      <c r="K1486" s="4"/>
      <c r="L1486" s="4" t="s">
        <v>1608</v>
      </c>
      <c r="M1486" s="4" t="s">
        <v>38</v>
      </c>
      <c r="N1486" s="4"/>
      <c r="O1486" s="4"/>
      <c r="P1486" s="4" t="str">
        <f>IF(OR(M1486="Customer", M1486="Opportunity", H1486="Yes", H1486=TRUE, G1486="Yes", G1486=TRUE, O1486&gt;0), "YES", "NO")</f>
        <v>YES</v>
      </c>
    </row>
    <row r="1487" spans="1:16" ht="13" x14ac:dyDescent="0.15">
      <c r="A1487" s="4" t="s">
        <v>6552</v>
      </c>
      <c r="B1487" s="3" t="str">
        <f t="shared" si="85"/>
        <v>Yes</v>
      </c>
      <c r="C1487" s="3">
        <f t="shared" si="86"/>
        <v>446</v>
      </c>
      <c r="D1487" s="5">
        <v>11515400824</v>
      </c>
      <c r="E1487" s="4" t="s">
        <v>531</v>
      </c>
      <c r="F1487" s="4" t="s">
        <v>6553</v>
      </c>
      <c r="G1487" s="4"/>
      <c r="H1487" s="4" t="s">
        <v>34</v>
      </c>
      <c r="I1487" s="4" t="s">
        <v>6554</v>
      </c>
      <c r="J1487" s="6" t="s">
        <v>6555</v>
      </c>
      <c r="K1487" s="4"/>
      <c r="L1487" s="4" t="s">
        <v>6556</v>
      </c>
      <c r="M1487" s="4" t="s">
        <v>38</v>
      </c>
      <c r="N1487" s="4"/>
      <c r="O1487" s="4"/>
      <c r="P1487" s="4" t="str">
        <f>IF(OR(M1487="Customer", M1487="Opportunity", H1487="Yes", H1487=TRUE, G1487="Yes", G1487=TRUE, O1487&gt;0), "YES", "NO")</f>
        <v>YES</v>
      </c>
    </row>
    <row r="1488" spans="1:16" ht="15" x14ac:dyDescent="0.2">
      <c r="A1488" s="2" t="s">
        <v>6557</v>
      </c>
      <c r="B1488" s="3" t="str">
        <f t="shared" si="85"/>
        <v>garrett.schumacher@velentiummedical.com</v>
      </c>
      <c r="C1488" s="3">
        <f t="shared" si="86"/>
        <v>1</v>
      </c>
      <c r="D1488" s="2" t="s">
        <v>6558</v>
      </c>
      <c r="E1488" s="2" t="s">
        <v>910</v>
      </c>
      <c r="F1488" s="2" t="s">
        <v>910</v>
      </c>
      <c r="I1488" s="2" t="s">
        <v>6559</v>
      </c>
      <c r="L1488" s="2" t="s">
        <v>4583</v>
      </c>
      <c r="M1488" s="2" t="s">
        <v>910</v>
      </c>
    </row>
    <row r="1489" spans="1:16" ht="13" x14ac:dyDescent="0.15">
      <c r="A1489" s="4" t="s">
        <v>6560</v>
      </c>
      <c r="B1489" s="3" t="str">
        <f t="shared" si="85"/>
        <v>Yes</v>
      </c>
      <c r="C1489" s="3">
        <f t="shared" si="86"/>
        <v>446</v>
      </c>
      <c r="D1489" s="5">
        <v>11515568398</v>
      </c>
      <c r="E1489" s="4" t="s">
        <v>6561</v>
      </c>
      <c r="F1489" s="4" t="s">
        <v>6562</v>
      </c>
      <c r="G1489" s="4"/>
      <c r="H1489" s="4" t="s">
        <v>34</v>
      </c>
      <c r="I1489" s="4" t="s">
        <v>6563</v>
      </c>
      <c r="J1489" s="6" t="s">
        <v>6564</v>
      </c>
      <c r="K1489" s="4"/>
      <c r="L1489" s="4" t="s">
        <v>6565</v>
      </c>
      <c r="M1489" s="4" t="s">
        <v>38</v>
      </c>
      <c r="N1489" s="4"/>
      <c r="O1489" s="4"/>
      <c r="P1489" s="4" t="str">
        <f>IF(OR(M1489="Customer", M1489="Opportunity", H1489="Yes", H1489=TRUE, G1489="Yes", G1489=TRUE, O1489&gt;0), "YES", "NO")</f>
        <v>YES</v>
      </c>
    </row>
    <row r="1490" spans="1:16" ht="13" x14ac:dyDescent="0.15">
      <c r="A1490" s="4" t="s">
        <v>6566</v>
      </c>
      <c r="B1490" s="3" t="str">
        <f t="shared" si="85"/>
        <v>Yes</v>
      </c>
      <c r="C1490" s="3">
        <f t="shared" si="86"/>
        <v>446</v>
      </c>
      <c r="D1490" s="5">
        <v>11514176037</v>
      </c>
      <c r="E1490" s="4" t="s">
        <v>1722</v>
      </c>
      <c r="F1490" s="4" t="s">
        <v>2282</v>
      </c>
      <c r="G1490" s="4"/>
      <c r="H1490" s="4" t="s">
        <v>34</v>
      </c>
      <c r="I1490" s="4" t="s">
        <v>6567</v>
      </c>
      <c r="J1490" s="6" t="s">
        <v>6568</v>
      </c>
      <c r="K1490" s="4"/>
      <c r="L1490" s="4" t="s">
        <v>6569</v>
      </c>
      <c r="M1490" s="4" t="s">
        <v>38</v>
      </c>
      <c r="N1490" s="4"/>
      <c r="O1490" s="4"/>
      <c r="P1490" s="4" t="str">
        <f>IF(OR(M1490="Customer", M1490="Opportunity", H1490="Yes", H1490=TRUE, G1490="Yes", G1490=TRUE, O1490&gt;0), "YES", "NO")</f>
        <v>YES</v>
      </c>
    </row>
    <row r="1491" spans="1:16" ht="13" x14ac:dyDescent="0.15">
      <c r="A1491" s="4" t="s">
        <v>6570</v>
      </c>
      <c r="B1491" s="3" t="str">
        <f t="shared" si="85"/>
        <v>Yes</v>
      </c>
      <c r="C1491" s="3">
        <f t="shared" si="86"/>
        <v>446</v>
      </c>
      <c r="D1491" s="5">
        <v>11512248110</v>
      </c>
      <c r="E1491" s="4" t="s">
        <v>4232</v>
      </c>
      <c r="F1491" s="4" t="s">
        <v>6571</v>
      </c>
      <c r="G1491" s="4"/>
      <c r="H1491" s="4" t="s">
        <v>34</v>
      </c>
      <c r="I1491" s="4" t="s">
        <v>6572</v>
      </c>
      <c r="J1491" s="6" t="s">
        <v>6573</v>
      </c>
      <c r="K1491" s="4"/>
      <c r="L1491" s="4" t="s">
        <v>6574</v>
      </c>
      <c r="M1491" s="4" t="s">
        <v>38</v>
      </c>
      <c r="N1491" s="4"/>
      <c r="O1491" s="4"/>
      <c r="P1491" s="4" t="str">
        <f>IF(OR(M1491="Customer", M1491="Opportunity", H1491="Yes", H1491=TRUE, G1491="Yes", G1491=TRUE, O1491&gt;0), "YES", "NO")</f>
        <v>YES</v>
      </c>
    </row>
    <row r="1492" spans="1:16" ht="13" x14ac:dyDescent="0.15">
      <c r="A1492" s="4" t="s">
        <v>6575</v>
      </c>
      <c r="B1492" s="3" t="str">
        <f t="shared" si="85"/>
        <v>Yes</v>
      </c>
      <c r="C1492" s="3">
        <f t="shared" si="86"/>
        <v>446</v>
      </c>
      <c r="D1492" s="5">
        <v>11496431281</v>
      </c>
      <c r="E1492" s="4" t="s">
        <v>6576</v>
      </c>
      <c r="F1492" s="4" t="s">
        <v>6577</v>
      </c>
      <c r="G1492" s="4"/>
      <c r="H1492" s="4" t="s">
        <v>34</v>
      </c>
      <c r="I1492" s="4" t="s">
        <v>6578</v>
      </c>
      <c r="J1492" s="6" t="s">
        <v>6579</v>
      </c>
      <c r="K1492" s="4"/>
      <c r="L1492" s="4" t="s">
        <v>657</v>
      </c>
      <c r="M1492" s="4" t="s">
        <v>38</v>
      </c>
      <c r="N1492" s="4"/>
      <c r="O1492" s="4"/>
      <c r="P1492" s="4" t="str">
        <f>IF(OR(M1492="Customer", M1492="Opportunity", H1492="Yes", H1492=TRUE, G1492="Yes", G1492=TRUE, O1492&gt;0), "YES", "NO")</f>
        <v>YES</v>
      </c>
    </row>
    <row r="1493" spans="1:16" ht="15" x14ac:dyDescent="0.2">
      <c r="A1493" s="2" t="s">
        <v>6580</v>
      </c>
      <c r="B1493" s="3" t="str">
        <f t="shared" si="85"/>
        <v>nathan.dube@viantmedical.com</v>
      </c>
      <c r="C1493" s="3">
        <f t="shared" si="86"/>
        <v>1</v>
      </c>
      <c r="D1493" s="2" t="s">
        <v>6581</v>
      </c>
      <c r="E1493" s="2" t="s">
        <v>934</v>
      </c>
      <c r="F1493" s="2" t="s">
        <v>6582</v>
      </c>
      <c r="I1493" s="2" t="s">
        <v>6583</v>
      </c>
      <c r="L1493" s="2" t="s">
        <v>3949</v>
      </c>
      <c r="M1493" s="2" t="s">
        <v>45</v>
      </c>
    </row>
    <row r="1494" spans="1:16" ht="15" x14ac:dyDescent="0.2">
      <c r="A1494" s="2" t="s">
        <v>6580</v>
      </c>
      <c r="B1494" s="3" t="str">
        <f t="shared" si="85"/>
        <v>michael.dellapolla@viantmedical.com</v>
      </c>
      <c r="C1494" s="3">
        <f t="shared" si="86"/>
        <v>1</v>
      </c>
      <c r="D1494" s="2" t="s">
        <v>6584</v>
      </c>
      <c r="E1494" s="2" t="s">
        <v>59</v>
      </c>
      <c r="F1494" s="2" t="s">
        <v>6585</v>
      </c>
      <c r="I1494" s="2" t="s">
        <v>6586</v>
      </c>
      <c r="L1494" s="2" t="s">
        <v>6587</v>
      </c>
      <c r="M1494" s="2" t="s">
        <v>45</v>
      </c>
    </row>
    <row r="1495" spans="1:16" ht="13" x14ac:dyDescent="0.15">
      <c r="A1495" s="4" t="s">
        <v>6588</v>
      </c>
      <c r="B1495" s="3" t="str">
        <f t="shared" si="85"/>
        <v>joseph.bopp@viatris.com</v>
      </c>
      <c r="C1495" s="3">
        <f t="shared" si="86"/>
        <v>1</v>
      </c>
      <c r="D1495" s="5">
        <v>25010944377</v>
      </c>
      <c r="E1495" s="4" t="s">
        <v>2526</v>
      </c>
      <c r="F1495" s="4" t="s">
        <v>6589</v>
      </c>
      <c r="G1495" s="4" t="s">
        <v>34</v>
      </c>
      <c r="H1495" s="4"/>
      <c r="I1495" s="4" t="s">
        <v>6590</v>
      </c>
      <c r="J1495" s="6" t="s">
        <v>6591</v>
      </c>
      <c r="K1495" s="4"/>
      <c r="L1495" s="4" t="s">
        <v>6592</v>
      </c>
      <c r="M1495" s="4"/>
      <c r="N1495" s="4"/>
      <c r="O1495" s="4"/>
      <c r="P1495" s="4" t="str">
        <f>IF(OR(M1495="Customer", M1495="Opportunity", H1495="Yes", H1495=TRUE, G1495="Yes", G1495=TRUE, O1495&gt;0), "YES", "NO")</f>
        <v>YES</v>
      </c>
    </row>
    <row r="1496" spans="1:16" ht="13" x14ac:dyDescent="0.15">
      <c r="A1496" s="4" t="s">
        <v>6588</v>
      </c>
      <c r="B1496" s="3" t="str">
        <f t="shared" si="85"/>
        <v>karen.angelozzi@viatris.com</v>
      </c>
      <c r="C1496" s="3">
        <f t="shared" si="86"/>
        <v>1</v>
      </c>
      <c r="D1496" s="5">
        <v>25013279847</v>
      </c>
      <c r="E1496" s="4" t="s">
        <v>6593</v>
      </c>
      <c r="F1496" s="4" t="s">
        <v>6594</v>
      </c>
      <c r="G1496" s="4" t="s">
        <v>34</v>
      </c>
      <c r="H1496" s="4"/>
      <c r="I1496" s="4" t="s">
        <v>6595</v>
      </c>
      <c r="J1496" s="6" t="s">
        <v>6591</v>
      </c>
      <c r="K1496" s="4"/>
      <c r="L1496" s="4" t="s">
        <v>1423</v>
      </c>
      <c r="M1496" s="4"/>
      <c r="N1496" s="4"/>
      <c r="O1496" s="4"/>
      <c r="P1496" s="4" t="str">
        <f>IF(OR(M1496="Customer", M1496="Opportunity", H1496="Yes", H1496=TRUE, G1496="Yes", G1496=TRUE, O1496&gt;0), "YES", "NO")</f>
        <v>YES</v>
      </c>
    </row>
    <row r="1497" spans="1:16" ht="13" x14ac:dyDescent="0.15">
      <c r="A1497" s="4" t="s">
        <v>6588</v>
      </c>
      <c r="B1497" s="3" t="str">
        <f t="shared" si="85"/>
        <v>michael.woods@viatris.com</v>
      </c>
      <c r="C1497" s="3">
        <f t="shared" si="86"/>
        <v>1</v>
      </c>
      <c r="D1497" s="5">
        <v>25005334412</v>
      </c>
      <c r="E1497" s="4" t="s">
        <v>59</v>
      </c>
      <c r="F1497" s="4" t="s">
        <v>6596</v>
      </c>
      <c r="G1497" s="4" t="s">
        <v>34</v>
      </c>
      <c r="H1497" s="4"/>
      <c r="I1497" s="4" t="s">
        <v>6597</v>
      </c>
      <c r="J1497" s="6" t="s">
        <v>6591</v>
      </c>
      <c r="K1497" s="4"/>
      <c r="L1497" s="4" t="s">
        <v>6598</v>
      </c>
      <c r="M1497" s="4"/>
      <c r="N1497" s="4"/>
      <c r="O1497" s="4"/>
      <c r="P1497" s="4" t="str">
        <f>IF(OR(M1497="Customer", M1497="Opportunity", H1497="Yes", H1497=TRUE, G1497="Yes", G1497=TRUE, O1497&gt;0), "YES", "NO")</f>
        <v>YES</v>
      </c>
    </row>
    <row r="1498" spans="1:16" ht="13" x14ac:dyDescent="0.15">
      <c r="A1498" s="4" t="s">
        <v>6588</v>
      </c>
      <c r="B1498" s="3" t="str">
        <f t="shared" si="85"/>
        <v>kerry.thorn@viatris.com</v>
      </c>
      <c r="C1498" s="3">
        <f t="shared" si="86"/>
        <v>1</v>
      </c>
      <c r="D1498" s="5">
        <v>25013194580</v>
      </c>
      <c r="E1498" s="4" t="s">
        <v>6599</v>
      </c>
      <c r="F1498" s="4" t="s">
        <v>6600</v>
      </c>
      <c r="G1498" s="4" t="s">
        <v>34</v>
      </c>
      <c r="H1498" s="4"/>
      <c r="I1498" s="4" t="s">
        <v>6601</v>
      </c>
      <c r="J1498" s="6" t="s">
        <v>6591</v>
      </c>
      <c r="K1498" s="4"/>
      <c r="L1498" s="4" t="s">
        <v>6602</v>
      </c>
      <c r="M1498" s="4"/>
      <c r="N1498" s="4"/>
      <c r="O1498" s="4"/>
      <c r="P1498" s="4" t="str">
        <f>IF(OR(M1498="Customer", M1498="Opportunity", H1498="Yes", H1498=TRUE, G1498="Yes", G1498=TRUE, O1498&gt;0), "YES", "NO")</f>
        <v>YES</v>
      </c>
    </row>
    <row r="1499" spans="1:16" ht="15" x14ac:dyDescent="0.2">
      <c r="A1499" s="2" t="s">
        <v>6603</v>
      </c>
      <c r="B1499" s="3" t="str">
        <f t="shared" si="85"/>
        <v>dlaird@vibrahealthcare.com</v>
      </c>
      <c r="C1499" s="3">
        <f t="shared" si="86"/>
        <v>1</v>
      </c>
      <c r="D1499" s="2" t="s">
        <v>6604</v>
      </c>
      <c r="E1499" s="2" t="s">
        <v>6605</v>
      </c>
      <c r="F1499" s="2" t="s">
        <v>5963</v>
      </c>
      <c r="I1499" s="2" t="s">
        <v>6606</v>
      </c>
      <c r="L1499" s="2" t="s">
        <v>1225</v>
      </c>
      <c r="M1499" s="2" t="s">
        <v>45</v>
      </c>
    </row>
    <row r="1500" spans="1:16" ht="13" x14ac:dyDescent="0.15">
      <c r="A1500" s="4" t="s">
        <v>6607</v>
      </c>
      <c r="B1500" s="3" t="str">
        <f t="shared" si="85"/>
        <v>Yes</v>
      </c>
      <c r="C1500" s="3">
        <f t="shared" si="86"/>
        <v>446</v>
      </c>
      <c r="D1500" s="5">
        <v>7151</v>
      </c>
      <c r="E1500" s="4" t="s">
        <v>6608</v>
      </c>
      <c r="F1500" s="4" t="s">
        <v>6609</v>
      </c>
      <c r="G1500" s="4"/>
      <c r="H1500" s="4" t="s">
        <v>34</v>
      </c>
      <c r="I1500" s="4" t="s">
        <v>6610</v>
      </c>
      <c r="J1500" s="6" t="s">
        <v>6611</v>
      </c>
      <c r="K1500" s="4"/>
      <c r="L1500" s="4" t="s">
        <v>6612</v>
      </c>
      <c r="M1500" s="4" t="s">
        <v>1442</v>
      </c>
      <c r="N1500" s="4"/>
      <c r="O1500" s="4"/>
      <c r="P1500" s="4" t="str">
        <f t="shared" ref="P1500:P1531" si="87">IF(OR(M1500="Customer", M1500="Opportunity", H1500="Yes", H1500=TRUE, G1500="Yes", G1500=TRUE, O1500&gt;0), "YES", "NO")</f>
        <v>YES</v>
      </c>
    </row>
    <row r="1501" spans="1:16" ht="13" x14ac:dyDescent="0.15">
      <c r="A1501" s="4" t="s">
        <v>6613</v>
      </c>
      <c r="B1501" s="3" t="str">
        <f t="shared" si="85"/>
        <v>Yes</v>
      </c>
      <c r="C1501" s="3">
        <f t="shared" si="86"/>
        <v>446</v>
      </c>
      <c r="D1501" s="5">
        <v>2709</v>
      </c>
      <c r="E1501" s="4" t="s">
        <v>187</v>
      </c>
      <c r="F1501" s="4" t="s">
        <v>6614</v>
      </c>
      <c r="G1501" s="4"/>
      <c r="H1501" s="4" t="s">
        <v>34</v>
      </c>
      <c r="I1501" s="4" t="s">
        <v>6615</v>
      </c>
      <c r="J1501" s="6" t="s">
        <v>4883</v>
      </c>
      <c r="K1501" s="4"/>
      <c r="L1501" s="4" t="s">
        <v>6616</v>
      </c>
      <c r="M1501" s="4" t="s">
        <v>38</v>
      </c>
      <c r="N1501" s="4"/>
      <c r="O1501" s="4"/>
      <c r="P1501" s="4" t="str">
        <f t="shared" si="87"/>
        <v>YES</v>
      </c>
    </row>
    <row r="1502" spans="1:16" ht="13" x14ac:dyDescent="0.15">
      <c r="A1502" s="4" t="s">
        <v>6617</v>
      </c>
      <c r="B1502" s="3" t="str">
        <f t="shared" si="85"/>
        <v>Yes</v>
      </c>
      <c r="C1502" s="3">
        <f t="shared" si="86"/>
        <v>446</v>
      </c>
      <c r="D1502" s="5">
        <v>11496431280</v>
      </c>
      <c r="E1502" s="4" t="s">
        <v>6618</v>
      </c>
      <c r="F1502" s="4" t="s">
        <v>6619</v>
      </c>
      <c r="G1502" s="4"/>
      <c r="H1502" s="4" t="s">
        <v>34</v>
      </c>
      <c r="I1502" s="4" t="s">
        <v>6620</v>
      </c>
      <c r="J1502" s="6" t="s">
        <v>6621</v>
      </c>
      <c r="K1502" s="4"/>
      <c r="L1502" s="4" t="s">
        <v>6622</v>
      </c>
      <c r="M1502" s="4" t="s">
        <v>38</v>
      </c>
      <c r="N1502" s="4"/>
      <c r="O1502" s="4"/>
      <c r="P1502" s="4" t="str">
        <f t="shared" si="87"/>
        <v>YES</v>
      </c>
    </row>
    <row r="1503" spans="1:16" ht="13" x14ac:dyDescent="0.15">
      <c r="A1503" s="4" t="s">
        <v>6623</v>
      </c>
      <c r="B1503" s="3" t="str">
        <f t="shared" si="85"/>
        <v>Yes</v>
      </c>
      <c r="C1503" s="3">
        <f t="shared" si="86"/>
        <v>446</v>
      </c>
      <c r="D1503" s="5">
        <v>4154</v>
      </c>
      <c r="E1503" s="4" t="s">
        <v>6624</v>
      </c>
      <c r="F1503" s="4" t="s">
        <v>6625</v>
      </c>
      <c r="G1503" s="4"/>
      <c r="H1503" s="4" t="s">
        <v>34</v>
      </c>
      <c r="I1503" s="4" t="s">
        <v>6626</v>
      </c>
      <c r="J1503" s="6" t="s">
        <v>3583</v>
      </c>
      <c r="K1503" s="4"/>
      <c r="L1503" s="4" t="s">
        <v>6627</v>
      </c>
      <c r="M1503" s="4" t="s">
        <v>38</v>
      </c>
      <c r="N1503" s="4"/>
      <c r="O1503" s="4"/>
      <c r="P1503" s="4" t="str">
        <f t="shared" si="87"/>
        <v>YES</v>
      </c>
    </row>
    <row r="1504" spans="1:16" ht="13" x14ac:dyDescent="0.15">
      <c r="A1504" s="4" t="s">
        <v>6628</v>
      </c>
      <c r="B1504" s="3" t="str">
        <f t="shared" si="85"/>
        <v>Yes</v>
      </c>
      <c r="C1504" s="3">
        <f t="shared" si="86"/>
        <v>446</v>
      </c>
      <c r="D1504" s="5">
        <v>11515414596</v>
      </c>
      <c r="E1504" s="4" t="s">
        <v>6629</v>
      </c>
      <c r="F1504" s="4" t="s">
        <v>6630</v>
      </c>
      <c r="G1504" s="4"/>
      <c r="H1504" s="4" t="s">
        <v>34</v>
      </c>
      <c r="I1504" s="4" t="s">
        <v>6631</v>
      </c>
      <c r="J1504" s="6" t="s">
        <v>6632</v>
      </c>
      <c r="K1504" s="4"/>
      <c r="L1504" s="4" t="s">
        <v>6276</v>
      </c>
      <c r="M1504" s="4" t="s">
        <v>38</v>
      </c>
      <c r="N1504" s="4"/>
      <c r="O1504" s="4"/>
      <c r="P1504" s="4" t="str">
        <f t="shared" si="87"/>
        <v>YES</v>
      </c>
    </row>
    <row r="1505" spans="1:16" ht="13" x14ac:dyDescent="0.15">
      <c r="A1505" s="4" t="s">
        <v>6633</v>
      </c>
      <c r="B1505" s="3" t="str">
        <f t="shared" si="85"/>
        <v>Yes</v>
      </c>
      <c r="C1505" s="3">
        <f t="shared" si="86"/>
        <v>446</v>
      </c>
      <c r="D1505" s="5">
        <v>11510627241</v>
      </c>
      <c r="E1505" s="4" t="s">
        <v>1576</v>
      </c>
      <c r="F1505" s="4" t="s">
        <v>6634</v>
      </c>
      <c r="G1505" s="4"/>
      <c r="H1505" s="4" t="s">
        <v>34</v>
      </c>
      <c r="I1505" s="4" t="s">
        <v>6635</v>
      </c>
      <c r="J1505" s="6" t="s">
        <v>6636</v>
      </c>
      <c r="K1505" s="4"/>
      <c r="L1505" s="4" t="s">
        <v>6637</v>
      </c>
      <c r="M1505" s="4" t="s">
        <v>38</v>
      </c>
      <c r="N1505" s="4"/>
      <c r="O1505" s="4"/>
      <c r="P1505" s="4" t="str">
        <f t="shared" si="87"/>
        <v>YES</v>
      </c>
    </row>
    <row r="1506" spans="1:16" ht="13" x14ac:dyDescent="0.15">
      <c r="A1506" s="4" t="s">
        <v>6638</v>
      </c>
      <c r="B1506" s="3" t="str">
        <f t="shared" si="85"/>
        <v>Yes</v>
      </c>
      <c r="C1506" s="3">
        <f t="shared" si="86"/>
        <v>446</v>
      </c>
      <c r="D1506" s="5">
        <v>11514195208</v>
      </c>
      <c r="E1506" s="4" t="s">
        <v>6639</v>
      </c>
      <c r="F1506" s="4" t="s">
        <v>6640</v>
      </c>
      <c r="G1506" s="4"/>
      <c r="H1506" s="4" t="s">
        <v>34</v>
      </c>
      <c r="I1506" s="4" t="s">
        <v>6641</v>
      </c>
      <c r="J1506" s="6" t="s">
        <v>6642</v>
      </c>
      <c r="K1506" s="4"/>
      <c r="L1506" s="4" t="s">
        <v>657</v>
      </c>
      <c r="M1506" s="4" t="s">
        <v>38</v>
      </c>
      <c r="N1506" s="4"/>
      <c r="O1506" s="4"/>
      <c r="P1506" s="4" t="str">
        <f t="shared" si="87"/>
        <v>YES</v>
      </c>
    </row>
    <row r="1507" spans="1:16" ht="13" x14ac:dyDescent="0.15">
      <c r="A1507" s="4" t="s">
        <v>6638</v>
      </c>
      <c r="B1507" s="3" t="str">
        <f t="shared" si="85"/>
        <v>Yes</v>
      </c>
      <c r="C1507" s="3">
        <f t="shared" si="86"/>
        <v>446</v>
      </c>
      <c r="D1507" s="5">
        <v>11513567152</v>
      </c>
      <c r="E1507" s="4" t="s">
        <v>177</v>
      </c>
      <c r="F1507" s="4" t="s">
        <v>6643</v>
      </c>
      <c r="G1507" s="4"/>
      <c r="H1507" s="4" t="s">
        <v>34</v>
      </c>
      <c r="I1507" s="4" t="s">
        <v>6644</v>
      </c>
      <c r="J1507" s="6" t="s">
        <v>6642</v>
      </c>
      <c r="K1507" s="4"/>
      <c r="L1507" s="4" t="s">
        <v>6645</v>
      </c>
      <c r="M1507" s="4" t="s">
        <v>38</v>
      </c>
      <c r="N1507" s="4"/>
      <c r="O1507" s="4"/>
      <c r="P1507" s="4" t="str">
        <f t="shared" si="87"/>
        <v>YES</v>
      </c>
    </row>
    <row r="1508" spans="1:16" ht="13" x14ac:dyDescent="0.15">
      <c r="A1508" s="4" t="s">
        <v>6638</v>
      </c>
      <c r="B1508" s="3" t="str">
        <f t="shared" si="85"/>
        <v>Yes</v>
      </c>
      <c r="C1508" s="3">
        <f t="shared" si="86"/>
        <v>446</v>
      </c>
      <c r="D1508" s="5">
        <v>11514643521</v>
      </c>
      <c r="E1508" s="4" t="s">
        <v>6646</v>
      </c>
      <c r="F1508" s="4" t="s">
        <v>6647</v>
      </c>
      <c r="G1508" s="4"/>
      <c r="H1508" s="4" t="s">
        <v>34</v>
      </c>
      <c r="I1508" s="4" t="s">
        <v>6648</v>
      </c>
      <c r="J1508" s="6" t="s">
        <v>6642</v>
      </c>
      <c r="K1508" s="4"/>
      <c r="L1508" s="4" t="s">
        <v>6649</v>
      </c>
      <c r="M1508" s="4" t="s">
        <v>38</v>
      </c>
      <c r="N1508" s="4"/>
      <c r="O1508" s="4"/>
      <c r="P1508" s="4" t="str">
        <f t="shared" si="87"/>
        <v>YES</v>
      </c>
    </row>
    <row r="1509" spans="1:16" ht="13" x14ac:dyDescent="0.15">
      <c r="A1509" s="4" t="s">
        <v>6638</v>
      </c>
      <c r="B1509" s="3" t="str">
        <f t="shared" si="85"/>
        <v>Yes</v>
      </c>
      <c r="C1509" s="3">
        <f t="shared" si="86"/>
        <v>446</v>
      </c>
      <c r="D1509" s="5">
        <v>11513992745</v>
      </c>
      <c r="E1509" s="4" t="s">
        <v>928</v>
      </c>
      <c r="F1509" s="4" t="s">
        <v>6650</v>
      </c>
      <c r="G1509" s="4"/>
      <c r="H1509" s="4" t="s">
        <v>34</v>
      </c>
      <c r="I1509" s="4" t="s">
        <v>6651</v>
      </c>
      <c r="J1509" s="6" t="s">
        <v>6642</v>
      </c>
      <c r="K1509" s="4"/>
      <c r="L1509" s="4" t="s">
        <v>6652</v>
      </c>
      <c r="M1509" s="4" t="s">
        <v>38</v>
      </c>
      <c r="N1509" s="4"/>
      <c r="O1509" s="4"/>
      <c r="P1509" s="4" t="str">
        <f t="shared" si="87"/>
        <v>YES</v>
      </c>
    </row>
    <row r="1510" spans="1:16" ht="13" x14ac:dyDescent="0.15">
      <c r="A1510" s="4" t="s">
        <v>6638</v>
      </c>
      <c r="B1510" s="3" t="str">
        <f t="shared" si="85"/>
        <v>Yes</v>
      </c>
      <c r="C1510" s="3">
        <f t="shared" si="86"/>
        <v>446</v>
      </c>
      <c r="D1510" s="5">
        <v>2712</v>
      </c>
      <c r="E1510" s="4" t="s">
        <v>1968</v>
      </c>
      <c r="F1510" s="4" t="s">
        <v>6653</v>
      </c>
      <c r="G1510" s="4"/>
      <c r="H1510" s="4" t="s">
        <v>34</v>
      </c>
      <c r="I1510" s="4" t="s">
        <v>6654</v>
      </c>
      <c r="J1510" s="6" t="s">
        <v>6642</v>
      </c>
      <c r="K1510" s="4"/>
      <c r="L1510" s="4" t="s">
        <v>6655</v>
      </c>
      <c r="M1510" s="4" t="s">
        <v>38</v>
      </c>
      <c r="N1510" s="4"/>
      <c r="O1510" s="4"/>
      <c r="P1510" s="4" t="str">
        <f t="shared" si="87"/>
        <v>YES</v>
      </c>
    </row>
    <row r="1511" spans="1:16" ht="13" x14ac:dyDescent="0.15">
      <c r="A1511" s="4" t="s">
        <v>6656</v>
      </c>
      <c r="B1511" s="3" t="str">
        <f t="shared" si="85"/>
        <v>Yes</v>
      </c>
      <c r="C1511" s="3">
        <f t="shared" si="86"/>
        <v>446</v>
      </c>
      <c r="D1511" s="5">
        <v>11510845954</v>
      </c>
      <c r="E1511" s="4" t="s">
        <v>6657</v>
      </c>
      <c r="F1511" s="4" t="s">
        <v>6658</v>
      </c>
      <c r="G1511" s="4"/>
      <c r="H1511" s="4" t="s">
        <v>34</v>
      </c>
      <c r="I1511" s="4" t="s">
        <v>6659</v>
      </c>
      <c r="J1511" s="6" t="s">
        <v>6660</v>
      </c>
      <c r="K1511" s="4"/>
      <c r="L1511" s="4" t="s">
        <v>6661</v>
      </c>
      <c r="M1511" s="4" t="s">
        <v>38</v>
      </c>
      <c r="N1511" s="4"/>
      <c r="O1511" s="4"/>
      <c r="P1511" s="4" t="str">
        <f t="shared" si="87"/>
        <v>YES</v>
      </c>
    </row>
    <row r="1512" spans="1:16" ht="13" x14ac:dyDescent="0.15">
      <c r="A1512" s="4" t="s">
        <v>6662</v>
      </c>
      <c r="B1512" s="3" t="str">
        <f t="shared" si="85"/>
        <v>Yes</v>
      </c>
      <c r="C1512" s="3">
        <f t="shared" si="86"/>
        <v>446</v>
      </c>
      <c r="D1512" s="5">
        <v>11514678190</v>
      </c>
      <c r="E1512" s="4" t="s">
        <v>59</v>
      </c>
      <c r="F1512" s="4" t="s">
        <v>6663</v>
      </c>
      <c r="G1512" s="4"/>
      <c r="H1512" s="4" t="s">
        <v>34</v>
      </c>
      <c r="I1512" s="4" t="s">
        <v>6664</v>
      </c>
      <c r="J1512" s="6" t="s">
        <v>6665</v>
      </c>
      <c r="K1512" s="4"/>
      <c r="L1512" s="4" t="s">
        <v>6666</v>
      </c>
      <c r="M1512" s="4" t="s">
        <v>38</v>
      </c>
      <c r="N1512" s="4"/>
      <c r="O1512" s="4"/>
      <c r="P1512" s="4" t="str">
        <f t="shared" si="87"/>
        <v>YES</v>
      </c>
    </row>
    <row r="1513" spans="1:16" ht="13" x14ac:dyDescent="0.15">
      <c r="A1513" s="4" t="s">
        <v>6662</v>
      </c>
      <c r="B1513" s="3" t="str">
        <f t="shared" si="85"/>
        <v>Yes</v>
      </c>
      <c r="C1513" s="3">
        <f t="shared" si="86"/>
        <v>446</v>
      </c>
      <c r="D1513" s="5">
        <v>1069</v>
      </c>
      <c r="E1513" s="4" t="s">
        <v>4162</v>
      </c>
      <c r="F1513" s="4" t="s">
        <v>6667</v>
      </c>
      <c r="G1513" s="4"/>
      <c r="H1513" s="4" t="s">
        <v>34</v>
      </c>
      <c r="I1513" s="4" t="s">
        <v>6668</v>
      </c>
      <c r="J1513" s="6" t="s">
        <v>6665</v>
      </c>
      <c r="K1513" s="4"/>
      <c r="L1513" s="4" t="s">
        <v>765</v>
      </c>
      <c r="M1513" s="4" t="s">
        <v>38</v>
      </c>
      <c r="N1513" s="4"/>
      <c r="O1513" s="4"/>
      <c r="P1513" s="4" t="str">
        <f t="shared" si="87"/>
        <v>YES</v>
      </c>
    </row>
    <row r="1514" spans="1:16" ht="13" x14ac:dyDescent="0.15">
      <c r="A1514" s="4" t="s">
        <v>6669</v>
      </c>
      <c r="B1514" s="3" t="str">
        <f t="shared" si="85"/>
        <v>bt5527@wayne.edu</v>
      </c>
      <c r="C1514" s="3">
        <f t="shared" si="86"/>
        <v>1</v>
      </c>
      <c r="D1514" s="5">
        <v>25013413731</v>
      </c>
      <c r="E1514" s="4" t="s">
        <v>6670</v>
      </c>
      <c r="F1514" s="4" t="s">
        <v>6671</v>
      </c>
      <c r="G1514" s="4" t="s">
        <v>34</v>
      </c>
      <c r="H1514" s="4"/>
      <c r="I1514" s="4" t="s">
        <v>6672</v>
      </c>
      <c r="J1514" s="6" t="s">
        <v>6673</v>
      </c>
      <c r="K1514" s="4"/>
      <c r="L1514" s="4" t="s">
        <v>681</v>
      </c>
      <c r="M1514" s="4"/>
      <c r="N1514" s="4"/>
      <c r="O1514" s="4"/>
      <c r="P1514" s="4" t="str">
        <f t="shared" si="87"/>
        <v>YES</v>
      </c>
    </row>
    <row r="1515" spans="1:16" ht="13" x14ac:dyDescent="0.15">
      <c r="A1515" s="4" t="s">
        <v>6674</v>
      </c>
      <c r="B1515" s="3" t="str">
        <f t="shared" si="85"/>
        <v>Yes</v>
      </c>
      <c r="C1515" s="3">
        <f t="shared" si="86"/>
        <v>446</v>
      </c>
      <c r="D1515" s="5">
        <v>11514018563</v>
      </c>
      <c r="E1515" s="4" t="s">
        <v>6675</v>
      </c>
      <c r="F1515" s="4" t="s">
        <v>6230</v>
      </c>
      <c r="G1515" s="4"/>
      <c r="H1515" s="4" t="s">
        <v>34</v>
      </c>
      <c r="I1515" s="4" t="s">
        <v>6676</v>
      </c>
      <c r="J1515" s="6" t="s">
        <v>6677</v>
      </c>
      <c r="K1515" s="4"/>
      <c r="L1515" s="4" t="s">
        <v>777</v>
      </c>
      <c r="M1515" s="4" t="s">
        <v>38</v>
      </c>
      <c r="N1515" s="4"/>
      <c r="O1515" s="4"/>
      <c r="P1515" s="4" t="str">
        <f t="shared" si="87"/>
        <v>YES</v>
      </c>
    </row>
    <row r="1516" spans="1:16" ht="13" x14ac:dyDescent="0.15">
      <c r="A1516" s="4" t="s">
        <v>6678</v>
      </c>
      <c r="B1516" s="3" t="str">
        <f t="shared" si="85"/>
        <v>ksheikh@werfen.com</v>
      </c>
      <c r="C1516" s="3">
        <f t="shared" si="86"/>
        <v>1</v>
      </c>
      <c r="D1516" s="5">
        <v>25013862409</v>
      </c>
      <c r="E1516" s="4" t="s">
        <v>6679</v>
      </c>
      <c r="F1516" s="4" t="s">
        <v>6680</v>
      </c>
      <c r="G1516" s="4" t="s">
        <v>34</v>
      </c>
      <c r="H1516" s="4"/>
      <c r="I1516" s="4" t="s">
        <v>6681</v>
      </c>
      <c r="J1516" s="6" t="s">
        <v>6682</v>
      </c>
      <c r="K1516" s="4"/>
      <c r="L1516" s="4" t="s">
        <v>6683</v>
      </c>
      <c r="M1516" s="4"/>
      <c r="N1516" s="4"/>
      <c r="O1516" s="4"/>
      <c r="P1516" s="4" t="str">
        <f t="shared" si="87"/>
        <v>YES</v>
      </c>
    </row>
    <row r="1517" spans="1:16" ht="13" x14ac:dyDescent="0.15">
      <c r="A1517" s="4" t="s">
        <v>6678</v>
      </c>
      <c r="B1517" s="3" t="str">
        <f t="shared" si="85"/>
        <v>mpaul@werfen.com</v>
      </c>
      <c r="C1517" s="3">
        <f t="shared" si="86"/>
        <v>1</v>
      </c>
      <c r="D1517" s="5">
        <v>25005692304</v>
      </c>
      <c r="E1517" s="4" t="s">
        <v>59</v>
      </c>
      <c r="F1517" s="4" t="s">
        <v>526</v>
      </c>
      <c r="G1517" s="4" t="s">
        <v>34</v>
      </c>
      <c r="H1517" s="4"/>
      <c r="I1517" s="4" t="s">
        <v>6684</v>
      </c>
      <c r="J1517" s="6" t="s">
        <v>6682</v>
      </c>
      <c r="K1517" s="4"/>
      <c r="L1517" s="4" t="s">
        <v>468</v>
      </c>
      <c r="M1517" s="4"/>
      <c r="N1517" s="4"/>
      <c r="O1517" s="4"/>
      <c r="P1517" s="4" t="str">
        <f t="shared" si="87"/>
        <v>YES</v>
      </c>
    </row>
    <row r="1518" spans="1:16" ht="13" x14ac:dyDescent="0.15">
      <c r="A1518" s="4" t="s">
        <v>6678</v>
      </c>
      <c r="B1518" s="3" t="str">
        <f t="shared" si="85"/>
        <v>rweber@werfen.com</v>
      </c>
      <c r="C1518" s="3">
        <f t="shared" si="86"/>
        <v>1</v>
      </c>
      <c r="D1518" s="5">
        <v>25006940691</v>
      </c>
      <c r="E1518" s="4" t="s">
        <v>6685</v>
      </c>
      <c r="F1518" s="4" t="s">
        <v>2745</v>
      </c>
      <c r="G1518" s="4" t="s">
        <v>34</v>
      </c>
      <c r="H1518" s="4"/>
      <c r="I1518" s="4" t="s">
        <v>6686</v>
      </c>
      <c r="J1518" s="6" t="s">
        <v>6682</v>
      </c>
      <c r="K1518" s="4"/>
      <c r="L1518" s="4" t="s">
        <v>6687</v>
      </c>
      <c r="M1518" s="4"/>
      <c r="N1518" s="4"/>
      <c r="O1518" s="4"/>
      <c r="P1518" s="4" t="str">
        <f t="shared" si="87"/>
        <v>YES</v>
      </c>
    </row>
    <row r="1519" spans="1:16" ht="13" x14ac:dyDescent="0.15">
      <c r="A1519" s="4" t="s">
        <v>6678</v>
      </c>
      <c r="B1519" s="3" t="str">
        <f t="shared" si="85"/>
        <v>Yes</v>
      </c>
      <c r="C1519" s="3">
        <f t="shared" si="86"/>
        <v>446</v>
      </c>
      <c r="D1519" s="5">
        <v>11513567150</v>
      </c>
      <c r="E1519" s="4" t="s">
        <v>6688</v>
      </c>
      <c r="F1519" s="4" t="s">
        <v>6689</v>
      </c>
      <c r="G1519" s="4"/>
      <c r="H1519" s="4" t="s">
        <v>34</v>
      </c>
      <c r="I1519" s="4" t="s">
        <v>6690</v>
      </c>
      <c r="J1519" s="6" t="s">
        <v>6682</v>
      </c>
      <c r="K1519" s="4"/>
      <c r="L1519" s="4" t="s">
        <v>6691</v>
      </c>
      <c r="M1519" s="4" t="s">
        <v>38</v>
      </c>
      <c r="N1519" s="4"/>
      <c r="O1519" s="4"/>
      <c r="P1519" s="4" t="str">
        <f t="shared" si="87"/>
        <v>YES</v>
      </c>
    </row>
    <row r="1520" spans="1:16" ht="13" x14ac:dyDescent="0.15">
      <c r="A1520" s="4" t="s">
        <v>6678</v>
      </c>
      <c r="B1520" s="3" t="str">
        <f t="shared" si="85"/>
        <v>Yes</v>
      </c>
      <c r="C1520" s="3">
        <f t="shared" si="86"/>
        <v>446</v>
      </c>
      <c r="D1520" s="5">
        <v>11511423352</v>
      </c>
      <c r="E1520" s="4" t="s">
        <v>6692</v>
      </c>
      <c r="F1520" s="4" t="s">
        <v>226</v>
      </c>
      <c r="G1520" s="4"/>
      <c r="H1520" s="4" t="s">
        <v>34</v>
      </c>
      <c r="I1520" s="4" t="s">
        <v>6693</v>
      </c>
      <c r="J1520" s="6" t="s">
        <v>6682</v>
      </c>
      <c r="K1520" s="4"/>
      <c r="L1520" s="4" t="s">
        <v>6694</v>
      </c>
      <c r="M1520" s="4" t="s">
        <v>38</v>
      </c>
      <c r="N1520" s="4"/>
      <c r="O1520" s="4"/>
      <c r="P1520" s="4" t="str">
        <f t="shared" si="87"/>
        <v>YES</v>
      </c>
    </row>
    <row r="1521" spans="1:16" ht="13" x14ac:dyDescent="0.15">
      <c r="A1521" s="4" t="s">
        <v>6678</v>
      </c>
      <c r="B1521" s="3" t="str">
        <f t="shared" si="85"/>
        <v>Yes</v>
      </c>
      <c r="C1521" s="3">
        <f t="shared" si="86"/>
        <v>446</v>
      </c>
      <c r="D1521" s="5">
        <v>11514176039</v>
      </c>
      <c r="E1521" s="4" t="s">
        <v>109</v>
      </c>
      <c r="F1521" s="4" t="s">
        <v>6695</v>
      </c>
      <c r="G1521" s="4"/>
      <c r="H1521" s="4" t="s">
        <v>34</v>
      </c>
      <c r="I1521" s="4" t="s">
        <v>6696</v>
      </c>
      <c r="J1521" s="6" t="s">
        <v>6682</v>
      </c>
      <c r="K1521" s="4"/>
      <c r="L1521" s="4" t="s">
        <v>6697</v>
      </c>
      <c r="M1521" s="4" t="s">
        <v>38</v>
      </c>
      <c r="N1521" s="4"/>
      <c r="O1521" s="4"/>
      <c r="P1521" s="4" t="str">
        <f t="shared" si="87"/>
        <v>YES</v>
      </c>
    </row>
    <row r="1522" spans="1:16" ht="13" x14ac:dyDescent="0.15">
      <c r="A1522" s="4" t="s">
        <v>6678</v>
      </c>
      <c r="B1522" s="3" t="str">
        <f t="shared" si="85"/>
        <v>Yes</v>
      </c>
      <c r="C1522" s="3">
        <f t="shared" si="86"/>
        <v>446</v>
      </c>
      <c r="D1522" s="5">
        <v>11514740019</v>
      </c>
      <c r="E1522" s="4" t="s">
        <v>2820</v>
      </c>
      <c r="F1522" s="4" t="s">
        <v>6698</v>
      </c>
      <c r="G1522" s="4"/>
      <c r="H1522" s="4" t="s">
        <v>34</v>
      </c>
      <c r="I1522" s="4" t="s">
        <v>6699</v>
      </c>
      <c r="J1522" s="6" t="s">
        <v>6682</v>
      </c>
      <c r="K1522" s="4"/>
      <c r="L1522" s="4" t="s">
        <v>6700</v>
      </c>
      <c r="M1522" s="4" t="s">
        <v>38</v>
      </c>
      <c r="N1522" s="4"/>
      <c r="O1522" s="4"/>
      <c r="P1522" s="4" t="str">
        <f t="shared" si="87"/>
        <v>YES</v>
      </c>
    </row>
    <row r="1523" spans="1:16" ht="13" x14ac:dyDescent="0.15">
      <c r="A1523" s="4" t="s">
        <v>6678</v>
      </c>
      <c r="B1523" s="3" t="str">
        <f t="shared" si="85"/>
        <v>Yes</v>
      </c>
      <c r="C1523" s="3">
        <f t="shared" si="86"/>
        <v>446</v>
      </c>
      <c r="D1523" s="5">
        <v>1323</v>
      </c>
      <c r="E1523" s="4" t="s">
        <v>541</v>
      </c>
      <c r="F1523" s="4" t="s">
        <v>264</v>
      </c>
      <c r="G1523" s="4"/>
      <c r="H1523" s="4" t="s">
        <v>34</v>
      </c>
      <c r="I1523" s="4" t="s">
        <v>6701</v>
      </c>
      <c r="J1523" s="6" t="s">
        <v>6682</v>
      </c>
      <c r="K1523" s="4"/>
      <c r="L1523" s="4" t="s">
        <v>6702</v>
      </c>
      <c r="M1523" s="4" t="s">
        <v>38</v>
      </c>
      <c r="N1523" s="4"/>
      <c r="O1523" s="4"/>
      <c r="P1523" s="4" t="str">
        <f t="shared" si="87"/>
        <v>YES</v>
      </c>
    </row>
    <row r="1524" spans="1:16" ht="13" x14ac:dyDescent="0.15">
      <c r="A1524" s="4" t="s">
        <v>6703</v>
      </c>
      <c r="B1524" s="3" t="str">
        <f t="shared" si="85"/>
        <v>matt.winkelmann@workiva.com</v>
      </c>
      <c r="C1524" s="3">
        <f t="shared" si="86"/>
        <v>1</v>
      </c>
      <c r="D1524" s="5">
        <v>33612301914</v>
      </c>
      <c r="E1524" s="4" t="s">
        <v>785</v>
      </c>
      <c r="F1524" s="4" t="s">
        <v>6704</v>
      </c>
      <c r="G1524" s="4"/>
      <c r="H1524" s="4"/>
      <c r="I1524" s="4" t="s">
        <v>6705</v>
      </c>
      <c r="J1524" s="6" t="s">
        <v>6706</v>
      </c>
      <c r="K1524" s="4"/>
      <c r="L1524" s="4" t="s">
        <v>6707</v>
      </c>
      <c r="M1524" s="4" t="s">
        <v>1033</v>
      </c>
      <c r="N1524" s="4" t="s">
        <v>6708</v>
      </c>
      <c r="O1524" s="4"/>
      <c r="P1524" s="4" t="str">
        <f t="shared" si="87"/>
        <v>YES</v>
      </c>
    </row>
    <row r="1525" spans="1:16" ht="13" x14ac:dyDescent="0.15">
      <c r="A1525" s="4" t="s">
        <v>6709</v>
      </c>
      <c r="B1525" s="3" t="str">
        <f t="shared" si="85"/>
        <v>Yes</v>
      </c>
      <c r="C1525" s="3">
        <f t="shared" si="86"/>
        <v>446</v>
      </c>
      <c r="D1525" s="5">
        <v>11512333137</v>
      </c>
      <c r="E1525" s="4" t="s">
        <v>6710</v>
      </c>
      <c r="F1525" s="4" t="s">
        <v>6711</v>
      </c>
      <c r="G1525" s="4"/>
      <c r="H1525" s="4" t="s">
        <v>34</v>
      </c>
      <c r="I1525" s="4" t="s">
        <v>6712</v>
      </c>
      <c r="J1525" s="6" t="s">
        <v>5862</v>
      </c>
      <c r="K1525" s="4"/>
      <c r="L1525" s="4" t="s">
        <v>6713</v>
      </c>
      <c r="M1525" s="4" t="s">
        <v>38</v>
      </c>
      <c r="N1525" s="4"/>
      <c r="O1525" s="4"/>
      <c r="P1525" s="4" t="str">
        <f t="shared" si="87"/>
        <v>YES</v>
      </c>
    </row>
    <row r="1526" spans="1:16" ht="13" x14ac:dyDescent="0.15">
      <c r="A1526" s="4" t="s">
        <v>6714</v>
      </c>
      <c r="B1526" s="3" t="str">
        <f t="shared" si="85"/>
        <v>Yes</v>
      </c>
      <c r="C1526" s="3">
        <f t="shared" si="86"/>
        <v>446</v>
      </c>
      <c r="D1526" s="5">
        <v>11514176036</v>
      </c>
      <c r="E1526" s="4" t="s">
        <v>6715</v>
      </c>
      <c r="F1526" s="4" t="s">
        <v>6716</v>
      </c>
      <c r="G1526" s="4"/>
      <c r="H1526" s="4" t="s">
        <v>34</v>
      </c>
      <c r="I1526" s="4" t="s">
        <v>6717</v>
      </c>
      <c r="J1526" s="6" t="s">
        <v>6718</v>
      </c>
      <c r="K1526" s="4"/>
      <c r="L1526" s="4" t="s">
        <v>6719</v>
      </c>
      <c r="M1526" s="4" t="s">
        <v>38</v>
      </c>
      <c r="N1526" s="4"/>
      <c r="O1526" s="4"/>
      <c r="P1526" s="4" t="str">
        <f t="shared" si="87"/>
        <v>YES</v>
      </c>
    </row>
    <row r="1527" spans="1:16" ht="13" x14ac:dyDescent="0.15">
      <c r="A1527" s="4" t="s">
        <v>6720</v>
      </c>
      <c r="B1527" s="3" t="str">
        <f t="shared" si="85"/>
        <v>Yes</v>
      </c>
      <c r="C1527" s="3">
        <f t="shared" si="86"/>
        <v>446</v>
      </c>
      <c r="D1527" s="5">
        <v>11513106176</v>
      </c>
      <c r="E1527" s="4" t="s">
        <v>6721</v>
      </c>
      <c r="F1527" s="4" t="s">
        <v>6722</v>
      </c>
      <c r="G1527" s="4"/>
      <c r="H1527" s="4" t="s">
        <v>34</v>
      </c>
      <c r="I1527" s="4" t="s">
        <v>6723</v>
      </c>
      <c r="J1527" s="6" t="s">
        <v>6724</v>
      </c>
      <c r="K1527" s="4"/>
      <c r="L1527" s="4" t="s">
        <v>6725</v>
      </c>
      <c r="M1527" s="4" t="s">
        <v>38</v>
      </c>
      <c r="N1527" s="4"/>
      <c r="O1527" s="4"/>
      <c r="P1527" s="4" t="str">
        <f t="shared" si="87"/>
        <v>YES</v>
      </c>
    </row>
    <row r="1528" spans="1:16" ht="13" x14ac:dyDescent="0.15">
      <c r="A1528" s="4" t="s">
        <v>6726</v>
      </c>
      <c r="B1528" s="3" t="str">
        <f t="shared" si="85"/>
        <v>Yes</v>
      </c>
      <c r="C1528" s="3">
        <f t="shared" si="86"/>
        <v>446</v>
      </c>
      <c r="D1528" s="5">
        <v>11510924341</v>
      </c>
      <c r="E1528" s="4" t="s">
        <v>6624</v>
      </c>
      <c r="F1528" s="4" t="s">
        <v>6727</v>
      </c>
      <c r="G1528" s="4"/>
      <c r="H1528" s="4" t="s">
        <v>34</v>
      </c>
      <c r="I1528" s="4" t="s">
        <v>6728</v>
      </c>
      <c r="J1528" s="6" t="s">
        <v>3047</v>
      </c>
      <c r="K1528" s="4"/>
      <c r="L1528" s="4" t="s">
        <v>6729</v>
      </c>
      <c r="M1528" s="4" t="s">
        <v>38</v>
      </c>
      <c r="N1528" s="4"/>
      <c r="O1528" s="4"/>
      <c r="P1528" s="4" t="str">
        <f t="shared" si="87"/>
        <v>YES</v>
      </c>
    </row>
    <row r="1529" spans="1:16" ht="13" x14ac:dyDescent="0.15">
      <c r="A1529" s="4" t="s">
        <v>6730</v>
      </c>
      <c r="B1529" s="3" t="str">
        <f t="shared" si="85"/>
        <v>Yes</v>
      </c>
      <c r="C1529" s="3">
        <f t="shared" si="86"/>
        <v>446</v>
      </c>
      <c r="D1529" s="5">
        <v>4310</v>
      </c>
      <c r="E1529" s="4" t="s">
        <v>6731</v>
      </c>
      <c r="F1529" s="4" t="s">
        <v>6732</v>
      </c>
      <c r="G1529" s="4"/>
      <c r="H1529" s="4" t="s">
        <v>34</v>
      </c>
      <c r="I1529" s="4" t="s">
        <v>6733</v>
      </c>
      <c r="J1529" s="6" t="s">
        <v>6734</v>
      </c>
      <c r="K1529" s="4"/>
      <c r="L1529" s="4" t="s">
        <v>5224</v>
      </c>
      <c r="M1529" s="4" t="s">
        <v>38</v>
      </c>
      <c r="N1529" s="4"/>
      <c r="O1529" s="4"/>
      <c r="P1529" s="4" t="str">
        <f t="shared" si="87"/>
        <v>YES</v>
      </c>
    </row>
    <row r="1530" spans="1:16" ht="13" x14ac:dyDescent="0.15">
      <c r="A1530" s="4" t="s">
        <v>6735</v>
      </c>
      <c r="B1530" s="3" t="str">
        <f t="shared" si="85"/>
        <v>Yes</v>
      </c>
      <c r="C1530" s="3">
        <f t="shared" si="86"/>
        <v>446</v>
      </c>
      <c r="D1530" s="5">
        <v>5412</v>
      </c>
      <c r="E1530" s="4" t="s">
        <v>6736</v>
      </c>
      <c r="F1530" s="4" t="s">
        <v>6737</v>
      </c>
      <c r="G1530" s="4"/>
      <c r="H1530" s="4" t="s">
        <v>34</v>
      </c>
      <c r="I1530" s="4" t="s">
        <v>6738</v>
      </c>
      <c r="J1530" s="6" t="s">
        <v>6739</v>
      </c>
      <c r="K1530" s="4"/>
      <c r="L1530" s="4" t="s">
        <v>949</v>
      </c>
      <c r="M1530" s="4" t="s">
        <v>38</v>
      </c>
      <c r="N1530" s="4"/>
      <c r="O1530" s="4"/>
      <c r="P1530" s="4" t="str">
        <f t="shared" si="87"/>
        <v>YES</v>
      </c>
    </row>
    <row r="1531" spans="1:16" ht="13" x14ac:dyDescent="0.15">
      <c r="A1531" s="4" t="s">
        <v>6740</v>
      </c>
      <c r="B1531" s="3" t="str">
        <f t="shared" si="85"/>
        <v>Yes</v>
      </c>
      <c r="C1531" s="3">
        <f t="shared" si="86"/>
        <v>446</v>
      </c>
      <c r="D1531" s="5">
        <v>11513106102</v>
      </c>
      <c r="E1531" s="4" t="s">
        <v>4479</v>
      </c>
      <c r="F1531" s="4" t="s">
        <v>4355</v>
      </c>
      <c r="G1531" s="4"/>
      <c r="H1531" s="4" t="s">
        <v>34</v>
      </c>
      <c r="I1531" s="4" t="s">
        <v>6741</v>
      </c>
      <c r="J1531" s="6" t="s">
        <v>6742</v>
      </c>
      <c r="K1531" s="4"/>
      <c r="L1531" s="4" t="s">
        <v>949</v>
      </c>
      <c r="M1531" s="4" t="s">
        <v>38</v>
      </c>
      <c r="N1531" s="4"/>
      <c r="O1531" s="4"/>
      <c r="P1531" s="4" t="str">
        <f t="shared" si="87"/>
        <v>YES</v>
      </c>
    </row>
    <row r="1532" spans="1:16" ht="13" x14ac:dyDescent="0.15">
      <c r="A1532" s="4" t="s">
        <v>6743</v>
      </c>
      <c r="B1532" s="3" t="str">
        <f t="shared" si="85"/>
        <v>Yes</v>
      </c>
      <c r="C1532" s="3">
        <f t="shared" si="86"/>
        <v>446</v>
      </c>
      <c r="D1532" s="5">
        <v>11514510414</v>
      </c>
      <c r="E1532" s="4" t="s">
        <v>2266</v>
      </c>
      <c r="F1532" s="4" t="s">
        <v>6744</v>
      </c>
      <c r="G1532" s="4"/>
      <c r="H1532" s="4" t="s">
        <v>34</v>
      </c>
      <c r="I1532" s="4" t="s">
        <v>6745</v>
      </c>
      <c r="J1532" s="6" t="s">
        <v>6746</v>
      </c>
      <c r="K1532" s="4"/>
      <c r="L1532" s="4" t="s">
        <v>6747</v>
      </c>
      <c r="M1532" s="4" t="s">
        <v>38</v>
      </c>
      <c r="N1532" s="4"/>
      <c r="O1532" s="4"/>
      <c r="P1532" s="4" t="str">
        <f t="shared" ref="P1532:P1563" si="88">IF(OR(M1532="Customer", M1532="Opportunity", H1532="Yes", H1532=TRUE, G1532="Yes", G1532=TRUE, O1532&gt;0), "YES", "NO")</f>
        <v>YES</v>
      </c>
    </row>
    <row r="1533" spans="1:16" ht="13" x14ac:dyDescent="0.15">
      <c r="A1533" s="4" t="s">
        <v>6743</v>
      </c>
      <c r="B1533" s="3" t="str">
        <f t="shared" si="85"/>
        <v>Yes</v>
      </c>
      <c r="C1533" s="3">
        <f t="shared" si="86"/>
        <v>446</v>
      </c>
      <c r="D1533" s="5">
        <v>1519</v>
      </c>
      <c r="E1533" s="4" t="s">
        <v>6748</v>
      </c>
      <c r="F1533" s="4" t="s">
        <v>6749</v>
      </c>
      <c r="G1533" s="4"/>
      <c r="H1533" s="4" t="s">
        <v>34</v>
      </c>
      <c r="I1533" s="4" t="s">
        <v>6750</v>
      </c>
      <c r="J1533" s="6" t="s">
        <v>6746</v>
      </c>
      <c r="K1533" s="4"/>
      <c r="L1533" s="4" t="s">
        <v>6751</v>
      </c>
      <c r="M1533" s="4" t="s">
        <v>38</v>
      </c>
      <c r="N1533" s="4"/>
      <c r="O1533" s="4"/>
      <c r="P1533" s="4" t="str">
        <f t="shared" si="88"/>
        <v>YES</v>
      </c>
    </row>
    <row r="1534" spans="1:16" ht="13" x14ac:dyDescent="0.15">
      <c r="A1534" s="4" t="s">
        <v>6743</v>
      </c>
      <c r="B1534" s="3" t="str">
        <f t="shared" si="85"/>
        <v>Yes</v>
      </c>
      <c r="C1534" s="3">
        <f t="shared" si="86"/>
        <v>446</v>
      </c>
      <c r="D1534" s="5">
        <v>570</v>
      </c>
      <c r="E1534" s="4" t="s">
        <v>65</v>
      </c>
      <c r="F1534" s="4" t="s">
        <v>3158</v>
      </c>
      <c r="G1534" s="4"/>
      <c r="H1534" s="4" t="s">
        <v>34</v>
      </c>
      <c r="I1534" s="4" t="s">
        <v>6752</v>
      </c>
      <c r="J1534" s="6" t="s">
        <v>6746</v>
      </c>
      <c r="K1534" s="4"/>
      <c r="L1534" s="4" t="s">
        <v>6753</v>
      </c>
      <c r="M1534" s="4" t="s">
        <v>38</v>
      </c>
      <c r="N1534" s="4"/>
      <c r="O1534" s="4"/>
      <c r="P1534" s="4" t="str">
        <f t="shared" si="88"/>
        <v>YES</v>
      </c>
    </row>
    <row r="1535" spans="1:16" ht="13" x14ac:dyDescent="0.15">
      <c r="A1535" s="4" t="s">
        <v>6754</v>
      </c>
      <c r="B1535" s="3" t="str">
        <f t="shared" si="85"/>
        <v>Yes</v>
      </c>
      <c r="C1535" s="3">
        <f t="shared" si="86"/>
        <v>446</v>
      </c>
      <c r="D1535" s="5">
        <v>11514388008</v>
      </c>
      <c r="E1535" s="4" t="s">
        <v>6755</v>
      </c>
      <c r="F1535" s="4" t="s">
        <v>6756</v>
      </c>
      <c r="G1535" s="4"/>
      <c r="H1535" s="4" t="s">
        <v>34</v>
      </c>
      <c r="I1535" s="4" t="s">
        <v>6757</v>
      </c>
      <c r="J1535" s="4" t="s">
        <v>6758</v>
      </c>
      <c r="K1535" s="4"/>
      <c r="L1535" s="4" t="s">
        <v>6759</v>
      </c>
      <c r="M1535" s="4" t="s">
        <v>38</v>
      </c>
      <c r="N1535" s="4"/>
      <c r="O1535" s="4"/>
      <c r="P1535" s="4" t="str">
        <f t="shared" si="88"/>
        <v>YES</v>
      </c>
    </row>
    <row r="1536" spans="1:16" ht="13" x14ac:dyDescent="0.15">
      <c r="A1536" s="4" t="s">
        <v>6760</v>
      </c>
      <c r="B1536" s="3" t="str">
        <f t="shared" si="85"/>
        <v>gourab.saha@zs.com</v>
      </c>
      <c r="C1536" s="3">
        <f t="shared" si="86"/>
        <v>1</v>
      </c>
      <c r="D1536" s="5">
        <v>25021567518</v>
      </c>
      <c r="E1536" s="4" t="s">
        <v>6761</v>
      </c>
      <c r="F1536" s="4" t="s">
        <v>6762</v>
      </c>
      <c r="G1536" s="4" t="s">
        <v>34</v>
      </c>
      <c r="H1536" s="4"/>
      <c r="I1536" s="4" t="s">
        <v>6763</v>
      </c>
      <c r="J1536" s="6" t="s">
        <v>6764</v>
      </c>
      <c r="K1536" s="4"/>
      <c r="L1536" s="4" t="s">
        <v>6765</v>
      </c>
      <c r="M1536" s="4"/>
      <c r="N1536" s="4"/>
      <c r="O1536" s="4"/>
      <c r="P1536" s="4" t="str">
        <f t="shared" si="88"/>
        <v>YES</v>
      </c>
    </row>
    <row r="1537" spans="1:16" ht="13" x14ac:dyDescent="0.15">
      <c r="A1537" s="4" t="s">
        <v>6766</v>
      </c>
      <c r="B1537" s="3" t="str">
        <f t="shared" si="85"/>
        <v>zkugler@zynex.com</v>
      </c>
      <c r="C1537" s="3">
        <f t="shared" si="86"/>
        <v>1</v>
      </c>
      <c r="D1537" s="5">
        <v>15141863831</v>
      </c>
      <c r="E1537" s="4" t="s">
        <v>1460</v>
      </c>
      <c r="F1537" s="4" t="s">
        <v>6767</v>
      </c>
      <c r="G1537" s="4"/>
      <c r="H1537" s="4"/>
      <c r="I1537" s="4" t="s">
        <v>6768</v>
      </c>
      <c r="J1537" s="6" t="s">
        <v>5889</v>
      </c>
      <c r="K1537" s="7">
        <v>45449.648611111108</v>
      </c>
      <c r="L1537" s="4" t="s">
        <v>4742</v>
      </c>
      <c r="M1537" s="4" t="s">
        <v>716</v>
      </c>
      <c r="N1537" s="4" t="s">
        <v>6769</v>
      </c>
      <c r="O1537" s="5">
        <v>1</v>
      </c>
      <c r="P1537" s="4" t="str">
        <f t="shared" si="88"/>
        <v>YES</v>
      </c>
    </row>
    <row r="1538" spans="1:16" ht="13" x14ac:dyDescent="0.15">
      <c r="A1538" s="4" t="s">
        <v>6766</v>
      </c>
      <c r="B1538" s="3" t="str">
        <f t="shared" ref="B1538:B1587" si="89">IF(H1538&lt;&gt;"",H1538,I1538)</f>
        <v>tseverson@zynex.com</v>
      </c>
      <c r="C1538" s="3">
        <f t="shared" ref="C1538:C1587" si="90">COUNTIF($B$2:$B$1586,B1538)</f>
        <v>1</v>
      </c>
      <c r="D1538" s="5">
        <v>15122987815</v>
      </c>
      <c r="E1538" s="4" t="s">
        <v>2438</v>
      </c>
      <c r="F1538" s="4" t="s">
        <v>6770</v>
      </c>
      <c r="G1538" s="4"/>
      <c r="H1538" s="4"/>
      <c r="I1538" s="4" t="s">
        <v>6771</v>
      </c>
      <c r="J1538" s="6" t="s">
        <v>5889</v>
      </c>
      <c r="K1538" s="4"/>
      <c r="L1538" s="4"/>
      <c r="M1538" s="4" t="s">
        <v>716</v>
      </c>
      <c r="N1538" s="4"/>
      <c r="O1538" s="4"/>
      <c r="P1538" s="4" t="str">
        <f t="shared" si="88"/>
        <v>YES</v>
      </c>
    </row>
    <row r="1539" spans="1:16" ht="13" x14ac:dyDescent="0.15">
      <c r="A1539" s="4" t="s">
        <v>6766</v>
      </c>
      <c r="B1539" s="3" t="str">
        <f t="shared" si="89"/>
        <v>rgilbert@zynex.com</v>
      </c>
      <c r="C1539" s="3">
        <f t="shared" si="90"/>
        <v>1</v>
      </c>
      <c r="D1539" s="5">
        <v>15122923832</v>
      </c>
      <c r="E1539" s="4" t="s">
        <v>4112</v>
      </c>
      <c r="F1539" s="4" t="s">
        <v>3162</v>
      </c>
      <c r="G1539" s="4"/>
      <c r="H1539" s="4"/>
      <c r="I1539" s="4" t="s">
        <v>6772</v>
      </c>
      <c r="J1539" s="6" t="s">
        <v>5889</v>
      </c>
      <c r="K1539" s="7">
        <v>45449.648611111108</v>
      </c>
      <c r="L1539" s="4" t="s">
        <v>949</v>
      </c>
      <c r="M1539" s="4" t="s">
        <v>716</v>
      </c>
      <c r="N1539" s="4"/>
      <c r="O1539" s="5">
        <v>1</v>
      </c>
      <c r="P1539" s="4" t="str">
        <f t="shared" si="88"/>
        <v>YES</v>
      </c>
    </row>
    <row r="1540" spans="1:16" ht="13" x14ac:dyDescent="0.15">
      <c r="A1540" s="4" t="s">
        <v>6766</v>
      </c>
      <c r="B1540" s="3" t="str">
        <f t="shared" si="89"/>
        <v>emcclain@zynex.com</v>
      </c>
      <c r="C1540" s="3">
        <f t="shared" si="90"/>
        <v>1</v>
      </c>
      <c r="D1540" s="5">
        <v>15141397583</v>
      </c>
      <c r="E1540" s="4" t="s">
        <v>409</v>
      </c>
      <c r="F1540" s="4" t="s">
        <v>3469</v>
      </c>
      <c r="G1540" s="4"/>
      <c r="H1540" s="4"/>
      <c r="I1540" s="4" t="s">
        <v>6773</v>
      </c>
      <c r="J1540" s="6" t="s">
        <v>5889</v>
      </c>
      <c r="K1540" s="4"/>
      <c r="L1540" s="4"/>
      <c r="M1540" s="4" t="s">
        <v>716</v>
      </c>
      <c r="N1540" s="4"/>
      <c r="O1540" s="4"/>
      <c r="P1540" s="4" t="str">
        <f t="shared" si="88"/>
        <v>YES</v>
      </c>
    </row>
    <row r="1541" spans="1:16" ht="13" x14ac:dyDescent="0.15">
      <c r="A1541" s="4"/>
      <c r="B1541" s="3" t="str">
        <f t="shared" si="89"/>
        <v>rory@avive.life</v>
      </c>
      <c r="C1541" s="3">
        <f t="shared" si="90"/>
        <v>1</v>
      </c>
      <c r="D1541" s="5">
        <v>102320745119</v>
      </c>
      <c r="E1541" s="4" t="s">
        <v>6774</v>
      </c>
      <c r="F1541" s="4" t="s">
        <v>6775</v>
      </c>
      <c r="G1541" s="4"/>
      <c r="H1541" s="4"/>
      <c r="I1541" s="4" t="s">
        <v>6776</v>
      </c>
      <c r="J1541" s="4" t="s">
        <v>6777</v>
      </c>
      <c r="K1541" s="7">
        <v>45740.564583333333</v>
      </c>
      <c r="L1541" s="4" t="s">
        <v>6778</v>
      </c>
      <c r="M1541" s="4" t="s">
        <v>1033</v>
      </c>
      <c r="N1541" s="4" t="s">
        <v>6779</v>
      </c>
      <c r="O1541" s="5">
        <v>1</v>
      </c>
      <c r="P1541" s="4" t="str">
        <f t="shared" si="88"/>
        <v>YES</v>
      </c>
    </row>
    <row r="1542" spans="1:16" ht="13" x14ac:dyDescent="0.15">
      <c r="A1542" s="4"/>
      <c r="B1542" s="3" t="str">
        <f t="shared" si="89"/>
        <v>santiago.salazar_benjumea@roche.com</v>
      </c>
      <c r="C1542" s="3">
        <f t="shared" si="90"/>
        <v>1</v>
      </c>
      <c r="D1542" s="5">
        <v>97452110209</v>
      </c>
      <c r="E1542" s="4" t="s">
        <v>6780</v>
      </c>
      <c r="F1542" s="4" t="s">
        <v>6781</v>
      </c>
      <c r="G1542" s="4"/>
      <c r="H1542" s="4"/>
      <c r="I1542" s="4" t="s">
        <v>6782</v>
      </c>
      <c r="J1542" s="6" t="s">
        <v>5504</v>
      </c>
      <c r="K1542" s="7">
        <v>45714.473611111112</v>
      </c>
      <c r="L1542" s="4" t="s">
        <v>6783</v>
      </c>
      <c r="M1542" s="4" t="s">
        <v>1033</v>
      </c>
      <c r="N1542" s="4" t="s">
        <v>6784</v>
      </c>
      <c r="O1542" s="5">
        <v>1</v>
      </c>
      <c r="P1542" s="4" t="str">
        <f t="shared" si="88"/>
        <v>YES</v>
      </c>
    </row>
    <row r="1543" spans="1:16" ht="13" x14ac:dyDescent="0.15">
      <c r="A1543" s="4"/>
      <c r="B1543" s="3" t="str">
        <f t="shared" si="89"/>
        <v>gwalker@adaptivendo.com</v>
      </c>
      <c r="C1543" s="3">
        <f t="shared" si="90"/>
        <v>1</v>
      </c>
      <c r="D1543" s="5">
        <v>92974906369</v>
      </c>
      <c r="E1543" s="4" t="s">
        <v>1709</v>
      </c>
      <c r="F1543" s="4" t="s">
        <v>987</v>
      </c>
      <c r="G1543" s="4"/>
      <c r="H1543" s="4"/>
      <c r="I1543" s="4" t="s">
        <v>6785</v>
      </c>
      <c r="J1543" s="6" t="s">
        <v>734</v>
      </c>
      <c r="K1543" s="7">
        <v>45677.660416666666</v>
      </c>
      <c r="L1543" s="4"/>
      <c r="M1543" s="4" t="s">
        <v>716</v>
      </c>
      <c r="N1543" s="4"/>
      <c r="O1543" s="5">
        <v>1</v>
      </c>
      <c r="P1543" s="4" t="str">
        <f t="shared" si="88"/>
        <v>YES</v>
      </c>
    </row>
    <row r="1544" spans="1:16" ht="13" x14ac:dyDescent="0.15">
      <c r="A1544" s="4"/>
      <c r="B1544" s="3">
        <f t="shared" si="89"/>
        <v>0</v>
      </c>
      <c r="C1544" s="3">
        <f t="shared" si="90"/>
        <v>1</v>
      </c>
      <c r="D1544" s="5">
        <v>92960223807</v>
      </c>
      <c r="E1544" s="4" t="s">
        <v>6786</v>
      </c>
      <c r="F1544" s="4" t="s">
        <v>6787</v>
      </c>
      <c r="G1544" s="4"/>
      <c r="H1544" s="4"/>
      <c r="I1544" s="4"/>
      <c r="J1544" s="4"/>
      <c r="K1544" s="7">
        <v>45677.660416666666</v>
      </c>
      <c r="L1544" s="4" t="s">
        <v>1608</v>
      </c>
      <c r="M1544" s="4" t="s">
        <v>716</v>
      </c>
      <c r="N1544" s="4"/>
      <c r="O1544" s="5">
        <v>1</v>
      </c>
      <c r="P1544" s="4" t="str">
        <f t="shared" si="88"/>
        <v>YES</v>
      </c>
    </row>
    <row r="1545" spans="1:16" ht="13" x14ac:dyDescent="0.15">
      <c r="A1545" s="4"/>
      <c r="B1545" s="3" t="str">
        <f t="shared" si="89"/>
        <v>kayra.otaner@roche.com</v>
      </c>
      <c r="C1545" s="3">
        <f t="shared" si="90"/>
        <v>1</v>
      </c>
      <c r="D1545" s="5">
        <v>86479899408</v>
      </c>
      <c r="E1545" s="4" t="s">
        <v>6788</v>
      </c>
      <c r="F1545" s="4" t="s">
        <v>6789</v>
      </c>
      <c r="G1545" s="4"/>
      <c r="H1545" s="4"/>
      <c r="I1545" s="4" t="s">
        <v>6790</v>
      </c>
      <c r="J1545" s="6" t="s">
        <v>5504</v>
      </c>
      <c r="K1545" s="7">
        <v>45714.473611111112</v>
      </c>
      <c r="L1545" s="4"/>
      <c r="M1545" s="4" t="s">
        <v>1033</v>
      </c>
      <c r="N1545" s="4"/>
      <c r="O1545" s="5">
        <v>1</v>
      </c>
      <c r="P1545" s="4" t="str">
        <f t="shared" si="88"/>
        <v>YES</v>
      </c>
    </row>
    <row r="1546" spans="1:16" ht="13" x14ac:dyDescent="0.15">
      <c r="A1546" s="4"/>
      <c r="B1546" s="3" t="str">
        <f t="shared" si="89"/>
        <v>daniel.spezzacatena@sentec.com</v>
      </c>
      <c r="C1546" s="3">
        <f t="shared" si="90"/>
        <v>1</v>
      </c>
      <c r="D1546" s="5">
        <v>84536887832</v>
      </c>
      <c r="E1546" s="4" t="s">
        <v>1465</v>
      </c>
      <c r="F1546" s="4" t="s">
        <v>6791</v>
      </c>
      <c r="G1546" s="4"/>
      <c r="H1546" s="4"/>
      <c r="I1546" s="4" t="s">
        <v>6792</v>
      </c>
      <c r="J1546" s="6" t="s">
        <v>5594</v>
      </c>
      <c r="K1546" s="7">
        <v>45448.664583333331</v>
      </c>
      <c r="L1546" s="4" t="s">
        <v>6793</v>
      </c>
      <c r="M1546" s="4" t="s">
        <v>1033</v>
      </c>
      <c r="N1546" s="4"/>
      <c r="O1546" s="5">
        <v>1</v>
      </c>
      <c r="P1546" s="4" t="str">
        <f t="shared" si="88"/>
        <v>YES</v>
      </c>
    </row>
    <row r="1547" spans="1:16" ht="13" x14ac:dyDescent="0.15">
      <c r="A1547" s="4"/>
      <c r="B1547" s="3" t="str">
        <f t="shared" si="89"/>
        <v>peter.krammer@sentec.com</v>
      </c>
      <c r="C1547" s="3">
        <f t="shared" si="90"/>
        <v>1</v>
      </c>
      <c r="D1547" s="5">
        <v>84550820160</v>
      </c>
      <c r="E1547" s="4" t="s">
        <v>24</v>
      </c>
      <c r="F1547" s="4" t="s">
        <v>6794</v>
      </c>
      <c r="G1547" s="4"/>
      <c r="H1547" s="4"/>
      <c r="I1547" s="4" t="s">
        <v>6795</v>
      </c>
      <c r="J1547" s="6" t="s">
        <v>5594</v>
      </c>
      <c r="K1547" s="7">
        <v>45307</v>
      </c>
      <c r="L1547" s="4" t="s">
        <v>6796</v>
      </c>
      <c r="M1547" s="4" t="s">
        <v>1033</v>
      </c>
      <c r="N1547" s="4"/>
      <c r="O1547" s="5">
        <v>1</v>
      </c>
      <c r="P1547" s="4" t="str">
        <f t="shared" si="88"/>
        <v>YES</v>
      </c>
    </row>
    <row r="1548" spans="1:16" ht="13" x14ac:dyDescent="0.15">
      <c r="A1548" s="4"/>
      <c r="B1548" s="3" t="str">
        <f t="shared" si="89"/>
        <v>griggs.kurt@mayo.edu</v>
      </c>
      <c r="C1548" s="3">
        <f t="shared" si="90"/>
        <v>1</v>
      </c>
      <c r="D1548" s="5">
        <v>83490293169</v>
      </c>
      <c r="E1548" s="4" t="s">
        <v>6797</v>
      </c>
      <c r="F1548" s="4" t="s">
        <v>6798</v>
      </c>
      <c r="G1548" s="4"/>
      <c r="H1548" s="4"/>
      <c r="I1548" s="4" t="s">
        <v>6799</v>
      </c>
      <c r="J1548" s="6" t="s">
        <v>4121</v>
      </c>
      <c r="K1548" s="7">
        <v>45677.661805555559</v>
      </c>
      <c r="L1548" s="4" t="s">
        <v>6800</v>
      </c>
      <c r="M1548" s="4" t="s">
        <v>1033</v>
      </c>
      <c r="N1548" s="4"/>
      <c r="O1548" s="5">
        <v>1</v>
      </c>
      <c r="P1548" s="4" t="str">
        <f t="shared" si="88"/>
        <v>YES</v>
      </c>
    </row>
    <row r="1549" spans="1:16" ht="13" x14ac:dyDescent="0.15">
      <c r="A1549" s="4"/>
      <c r="B1549" s="3" t="str">
        <f t="shared" si="89"/>
        <v>gary.shields@datrend.com</v>
      </c>
      <c r="C1549" s="3">
        <f t="shared" si="90"/>
        <v>1</v>
      </c>
      <c r="D1549" s="5">
        <v>77850256709</v>
      </c>
      <c r="E1549" s="4" t="s">
        <v>603</v>
      </c>
      <c r="F1549" s="4" t="s">
        <v>4628</v>
      </c>
      <c r="G1549" s="4"/>
      <c r="H1549" s="4"/>
      <c r="I1549" s="4" t="s">
        <v>6801</v>
      </c>
      <c r="J1549" s="6" t="s">
        <v>2356</v>
      </c>
      <c r="K1549" s="7">
        <v>45688.649305555555</v>
      </c>
      <c r="L1549" s="4" t="s">
        <v>6802</v>
      </c>
      <c r="M1549" s="4" t="s">
        <v>716</v>
      </c>
      <c r="N1549" s="4"/>
      <c r="O1549" s="5">
        <v>1</v>
      </c>
      <c r="P1549" s="4" t="str">
        <f t="shared" si="88"/>
        <v>YES</v>
      </c>
    </row>
    <row r="1550" spans="1:16" ht="13" x14ac:dyDescent="0.15">
      <c r="A1550" s="4"/>
      <c r="B1550" s="3" t="str">
        <f t="shared" si="89"/>
        <v>andreas.cloos@union-investment.de</v>
      </c>
      <c r="C1550" s="3">
        <f t="shared" si="90"/>
        <v>1</v>
      </c>
      <c r="D1550" s="5">
        <v>77245620263</v>
      </c>
      <c r="E1550" s="4" t="s">
        <v>6803</v>
      </c>
      <c r="F1550" s="4" t="s">
        <v>6804</v>
      </c>
      <c r="G1550" s="4"/>
      <c r="H1550" s="4"/>
      <c r="I1550" s="4" t="s">
        <v>6805</v>
      </c>
      <c r="J1550" s="6" t="s">
        <v>6806</v>
      </c>
      <c r="K1550" s="7">
        <v>45622.724999999999</v>
      </c>
      <c r="L1550" s="4"/>
      <c r="M1550" s="4" t="s">
        <v>1033</v>
      </c>
      <c r="N1550" s="4" t="s">
        <v>6807</v>
      </c>
      <c r="O1550" s="5">
        <v>1</v>
      </c>
      <c r="P1550" s="4" t="str">
        <f t="shared" si="88"/>
        <v>YES</v>
      </c>
    </row>
    <row r="1551" spans="1:16" ht="13" x14ac:dyDescent="0.15">
      <c r="A1551" s="4"/>
      <c r="B1551" s="3" t="str">
        <f t="shared" si="89"/>
        <v>nisha.datta@integralife.com</v>
      </c>
      <c r="C1551" s="3">
        <f t="shared" si="90"/>
        <v>1</v>
      </c>
      <c r="D1551" s="5">
        <v>75254410367</v>
      </c>
      <c r="E1551" s="4" t="s">
        <v>6808</v>
      </c>
      <c r="F1551" s="4" t="s">
        <v>6809</v>
      </c>
      <c r="G1551" s="4"/>
      <c r="H1551" s="4"/>
      <c r="I1551" s="4" t="s">
        <v>6810</v>
      </c>
      <c r="J1551" s="6" t="s">
        <v>3447</v>
      </c>
      <c r="K1551" s="7">
        <v>45601.595138888886</v>
      </c>
      <c r="L1551" s="4" t="s">
        <v>6811</v>
      </c>
      <c r="M1551" s="4" t="s">
        <v>1033</v>
      </c>
      <c r="N1551" s="4"/>
      <c r="O1551" s="5">
        <v>1</v>
      </c>
      <c r="P1551" s="4" t="str">
        <f t="shared" si="88"/>
        <v>YES</v>
      </c>
    </row>
    <row r="1552" spans="1:16" ht="13" x14ac:dyDescent="0.15">
      <c r="A1552" s="4"/>
      <c r="B1552" s="3" t="str">
        <f t="shared" si="89"/>
        <v>sunil.shenoy@integralife.com</v>
      </c>
      <c r="C1552" s="3">
        <f t="shared" si="90"/>
        <v>1</v>
      </c>
      <c r="D1552" s="5">
        <v>75251727756</v>
      </c>
      <c r="E1552" s="4" t="s">
        <v>6812</v>
      </c>
      <c r="F1552" s="4" t="s">
        <v>6813</v>
      </c>
      <c r="G1552" s="4"/>
      <c r="H1552" s="4"/>
      <c r="I1552" s="4" t="s">
        <v>6814</v>
      </c>
      <c r="J1552" s="6" t="s">
        <v>3447</v>
      </c>
      <c r="K1552" s="7">
        <v>45601.595138888886</v>
      </c>
      <c r="L1552" s="4"/>
      <c r="M1552" s="4" t="s">
        <v>1033</v>
      </c>
      <c r="N1552" s="4"/>
      <c r="O1552" s="5">
        <v>1</v>
      </c>
      <c r="P1552" s="4" t="str">
        <f t="shared" si="88"/>
        <v>YES</v>
      </c>
    </row>
    <row r="1553" spans="1:16" ht="13" x14ac:dyDescent="0.15">
      <c r="A1553" s="4"/>
      <c r="B1553" s="3" t="str">
        <f t="shared" si="89"/>
        <v>kay-uwe.amthor@od-os.com</v>
      </c>
      <c r="C1553" s="3">
        <f t="shared" si="90"/>
        <v>1</v>
      </c>
      <c r="D1553" s="5">
        <v>73179678753</v>
      </c>
      <c r="E1553" s="4" t="s">
        <v>6815</v>
      </c>
      <c r="F1553" s="4" t="s">
        <v>6816</v>
      </c>
      <c r="G1553" s="4"/>
      <c r="H1553" s="4"/>
      <c r="I1553" s="4" t="s">
        <v>6817</v>
      </c>
      <c r="J1553" s="6" t="s">
        <v>6818</v>
      </c>
      <c r="K1553" s="7">
        <v>45609.510416666664</v>
      </c>
      <c r="L1553" s="4" t="s">
        <v>6819</v>
      </c>
      <c r="M1553" s="4" t="s">
        <v>1033</v>
      </c>
      <c r="N1553" s="4" t="s">
        <v>6820</v>
      </c>
      <c r="O1553" s="5">
        <v>1</v>
      </c>
      <c r="P1553" s="4" t="str">
        <f t="shared" si="88"/>
        <v>YES</v>
      </c>
    </row>
    <row r="1554" spans="1:16" ht="13" x14ac:dyDescent="0.15">
      <c r="A1554" s="4"/>
      <c r="B1554" s="3" t="str">
        <f t="shared" si="89"/>
        <v>mark@leocancercare.com</v>
      </c>
      <c r="C1554" s="3">
        <f t="shared" si="90"/>
        <v>1</v>
      </c>
      <c r="D1554" s="5">
        <v>59777969491</v>
      </c>
      <c r="E1554" s="4" t="s">
        <v>192</v>
      </c>
      <c r="F1554" s="4"/>
      <c r="G1554" s="4"/>
      <c r="H1554" s="4"/>
      <c r="I1554" s="4" t="s">
        <v>6821</v>
      </c>
      <c r="J1554" s="6" t="s">
        <v>6822</v>
      </c>
      <c r="K1554" s="7">
        <v>44537</v>
      </c>
      <c r="L1554" s="4"/>
      <c r="M1554" s="4" t="s">
        <v>1033</v>
      </c>
      <c r="N1554" s="4"/>
      <c r="O1554" s="5">
        <v>1</v>
      </c>
      <c r="P1554" s="4" t="str">
        <f t="shared" si="88"/>
        <v>YES</v>
      </c>
    </row>
    <row r="1555" spans="1:16" ht="13" x14ac:dyDescent="0.15">
      <c r="A1555" s="4"/>
      <c r="B1555" s="3" t="str">
        <f t="shared" si="89"/>
        <v>balapesala@adiuvodiagnostics.com</v>
      </c>
      <c r="C1555" s="3">
        <f t="shared" si="90"/>
        <v>1</v>
      </c>
      <c r="D1555" s="5">
        <v>59775847962</v>
      </c>
      <c r="E1555" s="4" t="s">
        <v>6823</v>
      </c>
      <c r="F1555" s="4"/>
      <c r="G1555" s="4"/>
      <c r="H1555" s="4"/>
      <c r="I1555" s="4" t="s">
        <v>6824</v>
      </c>
      <c r="J1555" s="6" t="s">
        <v>6825</v>
      </c>
      <c r="K1555" s="7">
        <v>45330</v>
      </c>
      <c r="L1555" s="4"/>
      <c r="M1555" s="4" t="s">
        <v>1033</v>
      </c>
      <c r="N1555" s="4"/>
      <c r="O1555" s="5">
        <v>1</v>
      </c>
      <c r="P1555" s="4" t="str">
        <f t="shared" si="88"/>
        <v>YES</v>
      </c>
    </row>
    <row r="1556" spans="1:16" ht="13" x14ac:dyDescent="0.15">
      <c r="A1556" s="4"/>
      <c r="B1556" s="3" t="str">
        <f t="shared" si="89"/>
        <v>alexis.mcguire@gdit.com</v>
      </c>
      <c r="C1556" s="3">
        <f t="shared" si="90"/>
        <v>1</v>
      </c>
      <c r="D1556" s="5">
        <v>59682775900</v>
      </c>
      <c r="E1556" s="4" t="s">
        <v>831</v>
      </c>
      <c r="F1556" s="4" t="s">
        <v>2604</v>
      </c>
      <c r="G1556" s="4"/>
      <c r="H1556" s="4"/>
      <c r="I1556" s="4" t="s">
        <v>6826</v>
      </c>
      <c r="J1556" s="6" t="s">
        <v>6827</v>
      </c>
      <c r="K1556" s="7">
        <v>45554.365277777775</v>
      </c>
      <c r="L1556" s="4" t="s">
        <v>6828</v>
      </c>
      <c r="M1556" s="4" t="s">
        <v>1033</v>
      </c>
      <c r="N1556" s="4"/>
      <c r="O1556" s="5">
        <v>1</v>
      </c>
      <c r="P1556" s="4" t="str">
        <f t="shared" si="88"/>
        <v>YES</v>
      </c>
    </row>
    <row r="1557" spans="1:16" ht="13" x14ac:dyDescent="0.15">
      <c r="A1557" s="4"/>
      <c r="B1557" s="3" t="str">
        <f t="shared" si="89"/>
        <v>caitlyn.wilson@gdit.com</v>
      </c>
      <c r="C1557" s="3">
        <f t="shared" si="90"/>
        <v>1</v>
      </c>
      <c r="D1557" s="5">
        <v>59681352502</v>
      </c>
      <c r="E1557" s="4" t="s">
        <v>6829</v>
      </c>
      <c r="F1557" s="4" t="s">
        <v>1076</v>
      </c>
      <c r="G1557" s="4"/>
      <c r="H1557" s="4"/>
      <c r="I1557" s="4" t="s">
        <v>6830</v>
      </c>
      <c r="J1557" s="6" t="s">
        <v>6827</v>
      </c>
      <c r="K1557" s="7">
        <v>45554.365277777775</v>
      </c>
      <c r="L1557" s="4" t="s">
        <v>6831</v>
      </c>
      <c r="M1557" s="4" t="s">
        <v>1033</v>
      </c>
      <c r="N1557" s="4"/>
      <c r="O1557" s="5">
        <v>1</v>
      </c>
      <c r="P1557" s="4" t="str">
        <f t="shared" si="88"/>
        <v>YES</v>
      </c>
    </row>
    <row r="1558" spans="1:16" ht="13" x14ac:dyDescent="0.15">
      <c r="A1558" s="4"/>
      <c r="B1558" s="3" t="str">
        <f t="shared" si="89"/>
        <v>rob.harford@convatec.com</v>
      </c>
      <c r="C1558" s="3">
        <f t="shared" si="90"/>
        <v>1</v>
      </c>
      <c r="D1558" s="5">
        <v>55559905066</v>
      </c>
      <c r="E1558" s="4" t="s">
        <v>2707</v>
      </c>
      <c r="F1558" s="4" t="s">
        <v>6832</v>
      </c>
      <c r="G1558" s="4"/>
      <c r="H1558" s="4"/>
      <c r="I1558" s="4" t="s">
        <v>6833</v>
      </c>
      <c r="J1558" s="6" t="s">
        <v>6834</v>
      </c>
      <c r="K1558" s="7">
        <v>45055</v>
      </c>
      <c r="L1558" s="4"/>
      <c r="M1558" s="4" t="s">
        <v>1033</v>
      </c>
      <c r="N1558" s="4"/>
      <c r="O1558" s="5">
        <v>1</v>
      </c>
      <c r="P1558" s="4" t="str">
        <f t="shared" si="88"/>
        <v>YES</v>
      </c>
    </row>
    <row r="1559" spans="1:16" ht="13" x14ac:dyDescent="0.15">
      <c r="A1559" s="4"/>
      <c r="B1559" s="3" t="str">
        <f t="shared" si="89"/>
        <v>lkeegan@novabio.com</v>
      </c>
      <c r="C1559" s="3">
        <f t="shared" si="90"/>
        <v>1</v>
      </c>
      <c r="D1559" s="5">
        <v>29821260345</v>
      </c>
      <c r="E1559" s="4" t="s">
        <v>348</v>
      </c>
      <c r="F1559" s="4" t="s">
        <v>6835</v>
      </c>
      <c r="G1559" s="4"/>
      <c r="H1559" s="4"/>
      <c r="I1559" s="4" t="s">
        <v>6836</v>
      </c>
      <c r="J1559" s="6" t="s">
        <v>6837</v>
      </c>
      <c r="K1559" s="7">
        <v>45449.654861111114</v>
      </c>
      <c r="L1559" s="4" t="s">
        <v>6838</v>
      </c>
      <c r="M1559" s="4" t="s">
        <v>716</v>
      </c>
      <c r="N1559" s="4"/>
      <c r="O1559" s="5">
        <v>1</v>
      </c>
      <c r="P1559" s="4" t="str">
        <f t="shared" si="88"/>
        <v>YES</v>
      </c>
    </row>
    <row r="1560" spans="1:16" ht="13" x14ac:dyDescent="0.15">
      <c r="A1560" s="4"/>
      <c r="B1560" s="3" t="str">
        <f t="shared" si="89"/>
        <v>rauren@novabio.com</v>
      </c>
      <c r="C1560" s="3">
        <f t="shared" si="90"/>
        <v>1</v>
      </c>
      <c r="D1560" s="5">
        <v>29821259390</v>
      </c>
      <c r="E1560" s="4" t="s">
        <v>6839</v>
      </c>
      <c r="F1560" s="4" t="s">
        <v>6840</v>
      </c>
      <c r="G1560" s="4"/>
      <c r="H1560" s="4"/>
      <c r="I1560" s="4" t="s">
        <v>6841</v>
      </c>
      <c r="J1560" s="6" t="s">
        <v>6837</v>
      </c>
      <c r="K1560" s="7">
        <v>45449.654861111114</v>
      </c>
      <c r="L1560" s="4" t="s">
        <v>6842</v>
      </c>
      <c r="M1560" s="4" t="s">
        <v>716</v>
      </c>
      <c r="N1560" s="4"/>
      <c r="O1560" s="5">
        <v>1</v>
      </c>
      <c r="P1560" s="4" t="str">
        <f t="shared" si="88"/>
        <v>YES</v>
      </c>
    </row>
    <row r="1561" spans="1:16" ht="13" x14ac:dyDescent="0.15">
      <c r="A1561" s="4"/>
      <c r="B1561" s="3" t="str">
        <f t="shared" si="89"/>
        <v>larry_greenspan@bd.com</v>
      </c>
      <c r="C1561" s="3">
        <f t="shared" si="90"/>
        <v>1</v>
      </c>
      <c r="D1561" s="5">
        <v>23682470965</v>
      </c>
      <c r="E1561" s="4" t="s">
        <v>2472</v>
      </c>
      <c r="F1561" s="4" t="s">
        <v>6843</v>
      </c>
      <c r="G1561" s="4"/>
      <c r="H1561" s="4"/>
      <c r="I1561" s="4" t="s">
        <v>6844</v>
      </c>
      <c r="J1561" s="6" t="s">
        <v>1206</v>
      </c>
      <c r="K1561" s="7">
        <v>44770</v>
      </c>
      <c r="L1561" s="4" t="s">
        <v>5234</v>
      </c>
      <c r="M1561" s="4" t="s">
        <v>1033</v>
      </c>
      <c r="N1561" s="4"/>
      <c r="O1561" s="5">
        <v>1</v>
      </c>
      <c r="P1561" s="4" t="str">
        <f t="shared" si="88"/>
        <v>YES</v>
      </c>
    </row>
    <row r="1562" spans="1:16" ht="13" x14ac:dyDescent="0.15">
      <c r="A1562" s="4"/>
      <c r="B1562" s="3" t="str">
        <f t="shared" si="89"/>
        <v>garrett.schumacher@velentium.com</v>
      </c>
      <c r="C1562" s="3">
        <f t="shared" si="90"/>
        <v>1</v>
      </c>
      <c r="D1562" s="5">
        <v>23679056046</v>
      </c>
      <c r="E1562" s="4" t="s">
        <v>6670</v>
      </c>
      <c r="F1562" s="4" t="s">
        <v>6845</v>
      </c>
      <c r="G1562" s="4"/>
      <c r="H1562" s="4"/>
      <c r="I1562" s="4" t="s">
        <v>6846</v>
      </c>
      <c r="J1562" s="6" t="s">
        <v>6555</v>
      </c>
      <c r="K1562" s="7">
        <v>45435.270833333336</v>
      </c>
      <c r="L1562" s="4" t="s">
        <v>6847</v>
      </c>
      <c r="M1562" s="4" t="s">
        <v>1033</v>
      </c>
      <c r="N1562" s="4"/>
      <c r="O1562" s="5">
        <v>1</v>
      </c>
      <c r="P1562" s="4" t="str">
        <f t="shared" si="88"/>
        <v>YES</v>
      </c>
    </row>
    <row r="1563" spans="1:16" ht="13" x14ac:dyDescent="0.15">
      <c r="A1563" s="4"/>
      <c r="B1563" s="3" t="str">
        <f t="shared" si="89"/>
        <v>kyle.vieira@vibrint.com</v>
      </c>
      <c r="C1563" s="3">
        <f t="shared" si="90"/>
        <v>1</v>
      </c>
      <c r="D1563" s="5">
        <v>21681424467</v>
      </c>
      <c r="E1563" s="4" t="s">
        <v>2585</v>
      </c>
      <c r="F1563" s="4" t="s">
        <v>6848</v>
      </c>
      <c r="G1563" s="4"/>
      <c r="H1563" s="4"/>
      <c r="I1563" s="4" t="s">
        <v>6849</v>
      </c>
      <c r="J1563" s="6" t="s">
        <v>6850</v>
      </c>
      <c r="K1563" s="7">
        <v>45449.657638888886</v>
      </c>
      <c r="L1563" s="4"/>
      <c r="M1563" s="4" t="s">
        <v>1033</v>
      </c>
      <c r="N1563" s="4"/>
      <c r="O1563" s="5">
        <v>1</v>
      </c>
      <c r="P1563" s="4" t="str">
        <f t="shared" si="88"/>
        <v>YES</v>
      </c>
    </row>
    <row r="1564" spans="1:16" ht="13" x14ac:dyDescent="0.15">
      <c r="A1564" s="4"/>
      <c r="B1564" s="3" t="str">
        <f t="shared" si="89"/>
        <v>thomas.lindstrom@micropos.se</v>
      </c>
      <c r="C1564" s="3">
        <f t="shared" si="90"/>
        <v>1</v>
      </c>
      <c r="D1564" s="5">
        <v>20299634332</v>
      </c>
      <c r="E1564" s="4" t="s">
        <v>1126</v>
      </c>
      <c r="F1564" s="4" t="s">
        <v>6851</v>
      </c>
      <c r="G1564" s="4"/>
      <c r="H1564" s="4"/>
      <c r="I1564" s="4" t="s">
        <v>6852</v>
      </c>
      <c r="J1564" s="6" t="s">
        <v>6853</v>
      </c>
      <c r="K1564" s="7">
        <v>45426.6</v>
      </c>
      <c r="L1564" s="4" t="s">
        <v>6854</v>
      </c>
      <c r="M1564" s="4" t="s">
        <v>716</v>
      </c>
      <c r="N1564" s="4"/>
      <c r="O1564" s="5">
        <v>2</v>
      </c>
      <c r="P1564" s="4" t="str">
        <f t="shared" ref="P1564:P1595" si="91">IF(OR(M1564="Customer", M1564="Opportunity", H1564="Yes", H1564=TRUE, G1564="Yes", G1564=TRUE, O1564&gt;0), "YES", "NO")</f>
        <v>YES</v>
      </c>
    </row>
    <row r="1565" spans="1:16" ht="13" x14ac:dyDescent="0.15">
      <c r="A1565" s="4"/>
      <c r="B1565" s="3" t="str">
        <f t="shared" si="89"/>
        <v>keiji_watarai@nihonkohden.com</v>
      </c>
      <c r="C1565" s="3">
        <f t="shared" si="90"/>
        <v>1</v>
      </c>
      <c r="D1565" s="5">
        <v>20310392360</v>
      </c>
      <c r="E1565" s="4" t="s">
        <v>6855</v>
      </c>
      <c r="F1565" s="4" t="s">
        <v>6856</v>
      </c>
      <c r="G1565" s="4"/>
      <c r="H1565" s="4"/>
      <c r="I1565" s="4" t="s">
        <v>6857</v>
      </c>
      <c r="J1565" s="6" t="s">
        <v>5000</v>
      </c>
      <c r="K1565" s="7">
        <v>45243</v>
      </c>
      <c r="L1565" s="4" t="s">
        <v>6858</v>
      </c>
      <c r="M1565" s="4" t="s">
        <v>1033</v>
      </c>
      <c r="N1565" s="4"/>
      <c r="O1565" s="5">
        <v>1</v>
      </c>
      <c r="P1565" s="4" t="str">
        <f t="shared" si="91"/>
        <v>YES</v>
      </c>
    </row>
    <row r="1566" spans="1:16" ht="13" x14ac:dyDescent="0.15">
      <c r="A1566" s="4"/>
      <c r="B1566" s="3" t="str">
        <f t="shared" si="89"/>
        <v>victor_boyd@nihonkohden.com</v>
      </c>
      <c r="C1566" s="3">
        <f t="shared" si="90"/>
        <v>1</v>
      </c>
      <c r="D1566" s="5">
        <v>20311098373</v>
      </c>
      <c r="E1566" s="4" t="s">
        <v>1632</v>
      </c>
      <c r="F1566" s="4" t="s">
        <v>6859</v>
      </c>
      <c r="G1566" s="4"/>
      <c r="H1566" s="4"/>
      <c r="I1566" s="4" t="s">
        <v>6860</v>
      </c>
      <c r="J1566" s="6" t="s">
        <v>5000</v>
      </c>
      <c r="K1566" s="7">
        <v>45243</v>
      </c>
      <c r="L1566" s="4" t="s">
        <v>6861</v>
      </c>
      <c r="M1566" s="4" t="s">
        <v>1033</v>
      </c>
      <c r="N1566" s="4" t="s">
        <v>6862</v>
      </c>
      <c r="O1566" s="5">
        <v>1</v>
      </c>
      <c r="P1566" s="4" t="str">
        <f t="shared" si="91"/>
        <v>YES</v>
      </c>
    </row>
    <row r="1567" spans="1:16" ht="13" x14ac:dyDescent="0.15">
      <c r="A1567" s="4"/>
      <c r="B1567" s="3" t="str">
        <f t="shared" si="89"/>
        <v>mukund@adiuvodiagnostics.com</v>
      </c>
      <c r="C1567" s="3">
        <f t="shared" si="90"/>
        <v>1</v>
      </c>
      <c r="D1567" s="5">
        <v>20230737723</v>
      </c>
      <c r="E1567" s="4" t="s">
        <v>6863</v>
      </c>
      <c r="F1567" s="4" t="s">
        <v>6864</v>
      </c>
      <c r="G1567" s="4"/>
      <c r="H1567" s="4"/>
      <c r="I1567" s="4" t="s">
        <v>6865</v>
      </c>
      <c r="J1567" s="6" t="s">
        <v>6825</v>
      </c>
      <c r="K1567" s="7">
        <v>45330</v>
      </c>
      <c r="L1567" s="4" t="s">
        <v>6649</v>
      </c>
      <c r="M1567" s="4"/>
      <c r="N1567" s="4"/>
      <c r="O1567" s="5">
        <v>1</v>
      </c>
      <c r="P1567" s="4" t="str">
        <f t="shared" si="91"/>
        <v>YES</v>
      </c>
    </row>
    <row r="1568" spans="1:16" ht="13" x14ac:dyDescent="0.15">
      <c r="A1568" s="4"/>
      <c r="B1568" s="3" t="str">
        <f t="shared" si="89"/>
        <v>joe.rotiroti@vibrint.com</v>
      </c>
      <c r="C1568" s="3">
        <f t="shared" si="90"/>
        <v>1</v>
      </c>
      <c r="D1568" s="5">
        <v>21680685164</v>
      </c>
      <c r="E1568" s="4" t="s">
        <v>2526</v>
      </c>
      <c r="F1568" s="4" t="s">
        <v>6866</v>
      </c>
      <c r="G1568" s="4"/>
      <c r="H1568" s="4"/>
      <c r="I1568" s="4" t="s">
        <v>6867</v>
      </c>
      <c r="J1568" s="6" t="s">
        <v>6850</v>
      </c>
      <c r="K1568" s="7">
        <v>45422.443749999999</v>
      </c>
      <c r="L1568" s="4" t="s">
        <v>6868</v>
      </c>
      <c r="M1568" s="4" t="s">
        <v>716</v>
      </c>
      <c r="N1568" s="4"/>
      <c r="O1568" s="5">
        <v>2</v>
      </c>
      <c r="P1568" s="4" t="str">
        <f t="shared" si="91"/>
        <v>YES</v>
      </c>
    </row>
    <row r="1569" spans="1:16" ht="13" x14ac:dyDescent="0.15">
      <c r="A1569" s="4"/>
      <c r="B1569" s="3" t="str">
        <f t="shared" si="89"/>
        <v>nate@lazamedical.com</v>
      </c>
      <c r="C1569" s="3">
        <f t="shared" si="90"/>
        <v>1</v>
      </c>
      <c r="D1569" s="5">
        <v>19670290696</v>
      </c>
      <c r="E1569" s="4" t="s">
        <v>6869</v>
      </c>
      <c r="F1569" s="4" t="s">
        <v>6870</v>
      </c>
      <c r="G1569" s="4"/>
      <c r="H1569" s="4"/>
      <c r="I1569" s="4" t="s">
        <v>6871</v>
      </c>
      <c r="J1569" s="6" t="s">
        <v>4017</v>
      </c>
      <c r="K1569" s="7">
        <v>45482.775694444441</v>
      </c>
      <c r="L1569" s="4" t="s">
        <v>6872</v>
      </c>
      <c r="M1569" s="4" t="s">
        <v>1033</v>
      </c>
      <c r="N1569" s="4"/>
      <c r="O1569" s="5">
        <v>1</v>
      </c>
      <c r="P1569" s="4" t="str">
        <f t="shared" si="91"/>
        <v>YES</v>
      </c>
    </row>
    <row r="1570" spans="1:16" ht="13" x14ac:dyDescent="0.15">
      <c r="A1570" s="4"/>
      <c r="B1570" s="3" t="str">
        <f t="shared" si="89"/>
        <v>judd.guericke@elucent.com</v>
      </c>
      <c r="C1570" s="3">
        <f t="shared" si="90"/>
        <v>1</v>
      </c>
      <c r="D1570" s="5">
        <v>19326642264</v>
      </c>
      <c r="E1570" s="4" t="s">
        <v>6873</v>
      </c>
      <c r="F1570" s="4" t="s">
        <v>6874</v>
      </c>
      <c r="G1570" s="4"/>
      <c r="H1570" s="4"/>
      <c r="I1570" s="4" t="s">
        <v>6875</v>
      </c>
      <c r="J1570" s="6" t="s">
        <v>2606</v>
      </c>
      <c r="K1570" s="4"/>
      <c r="L1570" s="4" t="s">
        <v>6876</v>
      </c>
      <c r="M1570" s="4" t="s">
        <v>716</v>
      </c>
      <c r="N1570" s="4"/>
      <c r="O1570" s="4"/>
      <c r="P1570" s="4" t="str">
        <f t="shared" si="91"/>
        <v>YES</v>
      </c>
    </row>
    <row r="1571" spans="1:16" ht="13" x14ac:dyDescent="0.15">
      <c r="A1571" s="4"/>
      <c r="B1571" s="3" t="str">
        <f t="shared" si="89"/>
        <v>tyson.lamoureux@karlstorz.com</v>
      </c>
      <c r="C1571" s="3">
        <f t="shared" si="90"/>
        <v>1</v>
      </c>
      <c r="D1571" s="5">
        <v>19305809189</v>
      </c>
      <c r="E1571" s="4" t="s">
        <v>6877</v>
      </c>
      <c r="F1571" s="4" t="s">
        <v>6878</v>
      </c>
      <c r="G1571" s="4"/>
      <c r="H1571" s="4"/>
      <c r="I1571" s="4" t="s">
        <v>6879</v>
      </c>
      <c r="J1571" s="6" t="s">
        <v>6880</v>
      </c>
      <c r="K1571" s="7">
        <v>45435.279166666667</v>
      </c>
      <c r="L1571" s="4" t="s">
        <v>6881</v>
      </c>
      <c r="M1571" s="4" t="s">
        <v>1033</v>
      </c>
      <c r="N1571" s="4"/>
      <c r="O1571" s="5">
        <v>1</v>
      </c>
      <c r="P1571" s="4" t="str">
        <f t="shared" si="91"/>
        <v>YES</v>
      </c>
    </row>
    <row r="1572" spans="1:16" ht="13" x14ac:dyDescent="0.15">
      <c r="A1572" s="4"/>
      <c r="B1572" s="3" t="str">
        <f t="shared" si="89"/>
        <v>joseph.lisk@karlstorz.com</v>
      </c>
      <c r="C1572" s="3">
        <f t="shared" si="90"/>
        <v>1</v>
      </c>
      <c r="D1572" s="5">
        <v>19305808487</v>
      </c>
      <c r="E1572" s="4" t="s">
        <v>2526</v>
      </c>
      <c r="F1572" s="4" t="s">
        <v>6882</v>
      </c>
      <c r="G1572" s="4"/>
      <c r="H1572" s="4"/>
      <c r="I1572" s="4" t="s">
        <v>6883</v>
      </c>
      <c r="J1572" s="6" t="s">
        <v>6880</v>
      </c>
      <c r="K1572" s="7">
        <v>45435.279166666667</v>
      </c>
      <c r="L1572" s="4" t="s">
        <v>6884</v>
      </c>
      <c r="M1572" s="4" t="s">
        <v>1033</v>
      </c>
      <c r="N1572" s="4"/>
      <c r="O1572" s="5">
        <v>1</v>
      </c>
      <c r="P1572" s="4" t="str">
        <f t="shared" si="91"/>
        <v>YES</v>
      </c>
    </row>
    <row r="1573" spans="1:16" ht="13" x14ac:dyDescent="0.15">
      <c r="A1573" s="4"/>
      <c r="B1573" s="3" t="str">
        <f t="shared" si="89"/>
        <v>christianne.gaudet@karlstorz.com</v>
      </c>
      <c r="C1573" s="3">
        <f t="shared" si="90"/>
        <v>1</v>
      </c>
      <c r="D1573" s="5">
        <v>19305807782</v>
      </c>
      <c r="E1573" s="4" t="s">
        <v>6885</v>
      </c>
      <c r="F1573" s="4" t="s">
        <v>6886</v>
      </c>
      <c r="G1573" s="4"/>
      <c r="H1573" s="4"/>
      <c r="I1573" s="4" t="s">
        <v>6887</v>
      </c>
      <c r="J1573" s="6" t="s">
        <v>6880</v>
      </c>
      <c r="K1573" s="7">
        <v>45435.279166666667</v>
      </c>
      <c r="L1573" s="4" t="s">
        <v>6888</v>
      </c>
      <c r="M1573" s="4" t="s">
        <v>1033</v>
      </c>
      <c r="N1573" s="4"/>
      <c r="O1573" s="5">
        <v>1</v>
      </c>
      <c r="P1573" s="4" t="str">
        <f t="shared" si="91"/>
        <v>YES</v>
      </c>
    </row>
    <row r="1574" spans="1:16" ht="13" x14ac:dyDescent="0.15">
      <c r="A1574" s="4"/>
      <c r="B1574" s="3" t="str">
        <f t="shared" si="89"/>
        <v>rcruth@beckman.com</v>
      </c>
      <c r="C1574" s="3">
        <f t="shared" si="90"/>
        <v>1</v>
      </c>
      <c r="D1574" s="5">
        <v>18945845027</v>
      </c>
      <c r="E1574" s="4" t="s">
        <v>236</v>
      </c>
      <c r="F1574" s="4" t="s">
        <v>6889</v>
      </c>
      <c r="G1574" s="4"/>
      <c r="H1574" s="4"/>
      <c r="I1574" s="4" t="s">
        <v>6890</v>
      </c>
      <c r="J1574" s="6" t="s">
        <v>1200</v>
      </c>
      <c r="K1574" s="7">
        <v>45418.706944444442</v>
      </c>
      <c r="L1574" s="4" t="s">
        <v>6891</v>
      </c>
      <c r="M1574" s="4" t="s">
        <v>38</v>
      </c>
      <c r="N1574" s="4"/>
      <c r="O1574" s="5">
        <v>1</v>
      </c>
      <c r="P1574" s="4" t="str">
        <f t="shared" si="91"/>
        <v>YES</v>
      </c>
    </row>
    <row r="1575" spans="1:16" ht="13" x14ac:dyDescent="0.15">
      <c r="A1575" s="4"/>
      <c r="B1575" s="3" t="str">
        <f t="shared" si="89"/>
        <v>mwrembelski@beckman.com</v>
      </c>
      <c r="C1575" s="3">
        <f t="shared" si="90"/>
        <v>1</v>
      </c>
      <c r="D1575" s="5">
        <v>18945937512</v>
      </c>
      <c r="E1575" s="4" t="s">
        <v>59</v>
      </c>
      <c r="F1575" s="4" t="s">
        <v>6892</v>
      </c>
      <c r="G1575" s="4"/>
      <c r="H1575" s="4"/>
      <c r="I1575" s="4" t="s">
        <v>6893</v>
      </c>
      <c r="J1575" s="6" t="s">
        <v>1200</v>
      </c>
      <c r="K1575" s="7">
        <v>45418.706944444442</v>
      </c>
      <c r="L1575" s="4" t="s">
        <v>6894</v>
      </c>
      <c r="M1575" s="4" t="s">
        <v>30</v>
      </c>
      <c r="N1575" s="4"/>
      <c r="O1575" s="5">
        <v>1</v>
      </c>
      <c r="P1575" s="4" t="str">
        <f t="shared" si="91"/>
        <v>YES</v>
      </c>
    </row>
    <row r="1576" spans="1:16" ht="13" x14ac:dyDescent="0.15">
      <c r="A1576" s="4"/>
      <c r="B1576" s="3" t="str">
        <f t="shared" si="89"/>
        <v>mike.kovarik@workiva.com</v>
      </c>
      <c r="C1576" s="3">
        <f t="shared" si="90"/>
        <v>1</v>
      </c>
      <c r="D1576" s="5">
        <v>18887855238</v>
      </c>
      <c r="E1576" s="4" t="s">
        <v>1727</v>
      </c>
      <c r="F1576" s="4" t="s">
        <v>6895</v>
      </c>
      <c r="G1576" s="4"/>
      <c r="H1576" s="4"/>
      <c r="I1576" s="4" t="s">
        <v>6896</v>
      </c>
      <c r="J1576" s="6" t="s">
        <v>6706</v>
      </c>
      <c r="K1576" s="7">
        <v>45418.729861111111</v>
      </c>
      <c r="L1576" s="4" t="s">
        <v>6897</v>
      </c>
      <c r="M1576" s="4" t="s">
        <v>1033</v>
      </c>
      <c r="N1576" s="4"/>
      <c r="O1576" s="5">
        <v>1</v>
      </c>
      <c r="P1576" s="4" t="str">
        <f t="shared" si="91"/>
        <v>YES</v>
      </c>
    </row>
    <row r="1577" spans="1:16" ht="13" x14ac:dyDescent="0.15">
      <c r="A1577" s="4"/>
      <c r="B1577" s="3" t="str">
        <f t="shared" si="89"/>
        <v>frank.desensi@bayer.com</v>
      </c>
      <c r="C1577" s="3">
        <f t="shared" si="90"/>
        <v>1</v>
      </c>
      <c r="D1577" s="5">
        <v>18156525685</v>
      </c>
      <c r="E1577" s="4" t="s">
        <v>1998</v>
      </c>
      <c r="F1577" s="4" t="s">
        <v>6898</v>
      </c>
      <c r="G1577" s="4"/>
      <c r="H1577" s="4"/>
      <c r="I1577" s="4" t="s">
        <v>6899</v>
      </c>
      <c r="J1577" s="6" t="s">
        <v>1155</v>
      </c>
      <c r="K1577" s="7">
        <v>44222</v>
      </c>
      <c r="L1577" s="4"/>
      <c r="M1577" s="4" t="s">
        <v>38</v>
      </c>
      <c r="N1577" s="4"/>
      <c r="O1577" s="5">
        <v>1</v>
      </c>
      <c r="P1577" s="4" t="str">
        <f t="shared" si="91"/>
        <v>YES</v>
      </c>
    </row>
    <row r="1578" spans="1:16" ht="13" x14ac:dyDescent="0.15">
      <c r="A1578" s="4"/>
      <c r="B1578" s="3" t="str">
        <f t="shared" si="89"/>
        <v>chad.williams@bayer.com</v>
      </c>
      <c r="C1578" s="3">
        <f t="shared" si="90"/>
        <v>1</v>
      </c>
      <c r="D1578" s="5">
        <v>18157891144</v>
      </c>
      <c r="E1578" s="4" t="s">
        <v>1802</v>
      </c>
      <c r="F1578" s="4" t="s">
        <v>2654</v>
      </c>
      <c r="G1578" s="4"/>
      <c r="H1578" s="4"/>
      <c r="I1578" s="4" t="s">
        <v>6900</v>
      </c>
      <c r="J1578" s="6" t="s">
        <v>1155</v>
      </c>
      <c r="K1578" s="7">
        <v>43998</v>
      </c>
      <c r="L1578" s="4" t="s">
        <v>6901</v>
      </c>
      <c r="M1578" s="4" t="s">
        <v>716</v>
      </c>
      <c r="N1578" s="4"/>
      <c r="O1578" s="5">
        <v>2</v>
      </c>
      <c r="P1578" s="4" t="str">
        <f t="shared" si="91"/>
        <v>YES</v>
      </c>
    </row>
    <row r="1579" spans="1:16" ht="13" x14ac:dyDescent="0.15">
      <c r="A1579" s="4"/>
      <c r="B1579" s="3" t="str">
        <f t="shared" si="89"/>
        <v>dean@leocancercare.com</v>
      </c>
      <c r="C1579" s="3">
        <f t="shared" si="90"/>
        <v>1</v>
      </c>
      <c r="D1579" s="5">
        <v>18157153287</v>
      </c>
      <c r="E1579" s="4" t="s">
        <v>618</v>
      </c>
      <c r="F1579" s="4" t="s">
        <v>3050</v>
      </c>
      <c r="G1579" s="4"/>
      <c r="H1579" s="4"/>
      <c r="I1579" s="4" t="s">
        <v>6902</v>
      </c>
      <c r="J1579" s="6" t="s">
        <v>6822</v>
      </c>
      <c r="K1579" s="7">
        <v>44537</v>
      </c>
      <c r="L1579" s="4" t="s">
        <v>6903</v>
      </c>
      <c r="M1579" s="4" t="s">
        <v>38</v>
      </c>
      <c r="N1579" s="4"/>
      <c r="O1579" s="5">
        <v>1</v>
      </c>
      <c r="P1579" s="4" t="str">
        <f t="shared" si="91"/>
        <v>YES</v>
      </c>
    </row>
    <row r="1580" spans="1:16" ht="13" x14ac:dyDescent="0.15">
      <c r="A1580" s="4"/>
      <c r="B1580" s="3" t="str">
        <f t="shared" si="89"/>
        <v>cwatkins@zynex.com</v>
      </c>
      <c r="C1580" s="3">
        <f t="shared" si="90"/>
        <v>1</v>
      </c>
      <c r="D1580" s="5">
        <v>18157838461</v>
      </c>
      <c r="E1580" s="4" t="s">
        <v>3405</v>
      </c>
      <c r="F1580" s="4" t="s">
        <v>6904</v>
      </c>
      <c r="G1580" s="4"/>
      <c r="H1580" s="4"/>
      <c r="I1580" s="4" t="s">
        <v>6905</v>
      </c>
      <c r="J1580" s="6" t="s">
        <v>5889</v>
      </c>
      <c r="K1580" s="7">
        <v>44431</v>
      </c>
      <c r="L1580" s="4" t="s">
        <v>6906</v>
      </c>
      <c r="M1580" s="4" t="s">
        <v>716</v>
      </c>
      <c r="N1580" s="4"/>
      <c r="O1580" s="5">
        <v>1</v>
      </c>
      <c r="P1580" s="4" t="str">
        <f t="shared" si="91"/>
        <v>YES</v>
      </c>
    </row>
    <row r="1581" spans="1:16" ht="13" x14ac:dyDescent="0.15">
      <c r="A1581" s="4"/>
      <c r="B1581" s="3" t="str">
        <f t="shared" si="89"/>
        <v>starke.moore@ascensia.com</v>
      </c>
      <c r="C1581" s="3">
        <f t="shared" si="90"/>
        <v>1</v>
      </c>
      <c r="D1581" s="5">
        <v>18155934224</v>
      </c>
      <c r="E1581" s="4" t="s">
        <v>6907</v>
      </c>
      <c r="F1581" s="4" t="s">
        <v>6908</v>
      </c>
      <c r="G1581" s="4"/>
      <c r="H1581" s="4"/>
      <c r="I1581" s="4" t="s">
        <v>6909</v>
      </c>
      <c r="J1581" s="6" t="s">
        <v>943</v>
      </c>
      <c r="K1581" s="7">
        <v>44186</v>
      </c>
      <c r="L1581" s="4" t="s">
        <v>6910</v>
      </c>
      <c r="M1581" s="4" t="s">
        <v>716</v>
      </c>
      <c r="N1581" s="4" t="s">
        <v>6911</v>
      </c>
      <c r="O1581" s="5">
        <v>5</v>
      </c>
      <c r="P1581" s="4" t="str">
        <f t="shared" si="91"/>
        <v>YES</v>
      </c>
    </row>
    <row r="1582" spans="1:16" ht="13" x14ac:dyDescent="0.15">
      <c r="A1582" s="4"/>
      <c r="B1582" s="3" t="str">
        <f t="shared" si="89"/>
        <v>andreas.bergqvist@micropos.se</v>
      </c>
      <c r="C1582" s="3">
        <f t="shared" si="90"/>
        <v>1</v>
      </c>
      <c r="D1582" s="5">
        <v>18149996038</v>
      </c>
      <c r="E1582" s="4" t="s">
        <v>6803</v>
      </c>
      <c r="F1582" s="4" t="s">
        <v>6912</v>
      </c>
      <c r="G1582" s="4"/>
      <c r="H1582" s="4"/>
      <c r="I1582" s="4" t="s">
        <v>6913</v>
      </c>
      <c r="J1582" s="6" t="s">
        <v>6853</v>
      </c>
      <c r="K1582" s="7">
        <v>44201</v>
      </c>
      <c r="L1582" s="4"/>
      <c r="M1582" s="4" t="s">
        <v>716</v>
      </c>
      <c r="N1582" s="4"/>
      <c r="O1582" s="5">
        <v>2</v>
      </c>
      <c r="P1582" s="4" t="str">
        <f t="shared" si="91"/>
        <v>YES</v>
      </c>
    </row>
    <row r="1583" spans="1:16" ht="13" x14ac:dyDescent="0.15">
      <c r="A1583" s="4"/>
      <c r="B1583" s="3" t="str">
        <f t="shared" si="89"/>
        <v>khaden@waveneuro.com</v>
      </c>
      <c r="C1583" s="3">
        <f t="shared" si="90"/>
        <v>1</v>
      </c>
      <c r="D1583" s="5">
        <v>17634355290</v>
      </c>
      <c r="E1583" s="4" t="s">
        <v>6914</v>
      </c>
      <c r="F1583" s="4" t="s">
        <v>6915</v>
      </c>
      <c r="G1583" s="4"/>
      <c r="H1583" s="4"/>
      <c r="I1583" s="4" t="s">
        <v>6916</v>
      </c>
      <c r="J1583" s="6" t="s">
        <v>6917</v>
      </c>
      <c r="K1583" s="4"/>
      <c r="L1583" s="4" t="s">
        <v>6918</v>
      </c>
      <c r="M1583" s="4" t="s">
        <v>1033</v>
      </c>
      <c r="N1583" s="4"/>
      <c r="O1583" s="4"/>
      <c r="P1583" s="4" t="str">
        <f t="shared" si="91"/>
        <v>YES</v>
      </c>
    </row>
    <row r="1584" spans="1:16" ht="13" x14ac:dyDescent="0.15">
      <c r="A1584" s="4"/>
      <c r="B1584" s="3" t="str">
        <f t="shared" si="89"/>
        <v>brian.benavidez@biotronik.com</v>
      </c>
      <c r="C1584" s="3">
        <f t="shared" si="90"/>
        <v>1</v>
      </c>
      <c r="D1584" s="5">
        <v>15125681450</v>
      </c>
      <c r="E1584" s="4" t="s">
        <v>541</v>
      </c>
      <c r="F1584" s="4" t="s">
        <v>6919</v>
      </c>
      <c r="G1584" s="4"/>
      <c r="H1584" s="4"/>
      <c r="I1584" s="4" t="s">
        <v>6920</v>
      </c>
      <c r="J1584" s="6" t="s">
        <v>6921</v>
      </c>
      <c r="K1584" s="7">
        <v>44943</v>
      </c>
      <c r="L1584" s="4" t="s">
        <v>6123</v>
      </c>
      <c r="M1584" s="4" t="s">
        <v>1033</v>
      </c>
      <c r="N1584" s="4"/>
      <c r="O1584" s="5">
        <v>1</v>
      </c>
      <c r="P1584" s="4" t="str">
        <f t="shared" si="91"/>
        <v>YES</v>
      </c>
    </row>
    <row r="1585" spans="1:16" ht="13" x14ac:dyDescent="0.15">
      <c r="A1585" s="4"/>
      <c r="B1585" s="3" t="str">
        <f t="shared" si="89"/>
        <v>Yes</v>
      </c>
      <c r="C1585" s="3">
        <f t="shared" si="90"/>
        <v>446</v>
      </c>
      <c r="D1585" s="5">
        <v>11512219559</v>
      </c>
      <c r="E1585" s="4" t="s">
        <v>6922</v>
      </c>
      <c r="F1585" s="4" t="s">
        <v>6923</v>
      </c>
      <c r="G1585" s="4"/>
      <c r="H1585" s="4" t="s">
        <v>34</v>
      </c>
      <c r="I1585" s="4" t="s">
        <v>6924</v>
      </c>
      <c r="J1585" s="6" t="s">
        <v>6925</v>
      </c>
      <c r="K1585" s="4"/>
      <c r="L1585" s="4" t="s">
        <v>3408</v>
      </c>
      <c r="M1585" s="4" t="s">
        <v>38</v>
      </c>
      <c r="N1585" s="4"/>
      <c r="O1585" s="4"/>
      <c r="P1585" s="4" t="str">
        <f t="shared" si="91"/>
        <v>YES</v>
      </c>
    </row>
    <row r="1586" spans="1:16" ht="13" x14ac:dyDescent="0.15">
      <c r="A1586" s="4"/>
      <c r="B1586" s="3" t="str">
        <f t="shared" si="89"/>
        <v>Yes</v>
      </c>
      <c r="C1586" s="3">
        <f t="shared" si="90"/>
        <v>446</v>
      </c>
      <c r="D1586" s="5">
        <v>11511464058</v>
      </c>
      <c r="E1586" s="4" t="s">
        <v>6926</v>
      </c>
      <c r="F1586" s="4" t="s">
        <v>6927</v>
      </c>
      <c r="G1586" s="4"/>
      <c r="H1586" s="4" t="s">
        <v>34</v>
      </c>
      <c r="I1586" s="4" t="s">
        <v>6928</v>
      </c>
      <c r="J1586" s="6" t="s">
        <v>6929</v>
      </c>
      <c r="K1586" s="4"/>
      <c r="L1586" s="4" t="s">
        <v>6930</v>
      </c>
      <c r="M1586" s="4" t="s">
        <v>38</v>
      </c>
      <c r="N1586" s="4"/>
      <c r="O1586" s="4"/>
      <c r="P1586" s="4" t="str">
        <f t="shared" si="91"/>
        <v>YES</v>
      </c>
    </row>
    <row r="1587" spans="1:16" ht="13" x14ac:dyDescent="0.15">
      <c r="A1587" s="4"/>
      <c r="B1587" s="3" t="str">
        <f t="shared" si="89"/>
        <v>Yes</v>
      </c>
      <c r="C1587" s="3">
        <f t="shared" si="90"/>
        <v>446</v>
      </c>
      <c r="D1587" s="5">
        <v>11512248112</v>
      </c>
      <c r="E1587" s="4" t="s">
        <v>162</v>
      </c>
      <c r="F1587" s="4" t="s">
        <v>6931</v>
      </c>
      <c r="G1587" s="4"/>
      <c r="H1587" s="4" t="s">
        <v>34</v>
      </c>
      <c r="I1587" s="4" t="s">
        <v>6932</v>
      </c>
      <c r="J1587" s="6" t="s">
        <v>3583</v>
      </c>
      <c r="K1587" s="4"/>
      <c r="L1587" s="4" t="s">
        <v>6933</v>
      </c>
      <c r="M1587" s="4" t="s">
        <v>38</v>
      </c>
      <c r="N1587" s="4"/>
      <c r="O1587" s="4"/>
      <c r="P1587" s="4" t="str">
        <f t="shared" si="91"/>
        <v>YES</v>
      </c>
    </row>
  </sheetData>
  <hyperlinks>
    <hyperlink ref="J3" r:id="rId1" xr:uid="{00000000-0004-0000-0000-000000000000}"/>
    <hyperlink ref="J4" r:id="rId2" xr:uid="{00000000-0004-0000-0000-000001000000}"/>
    <hyperlink ref="J6" r:id="rId3" xr:uid="{00000000-0004-0000-0000-000002000000}"/>
    <hyperlink ref="J8" r:id="rId4" xr:uid="{00000000-0004-0000-0000-000003000000}"/>
    <hyperlink ref="J104" r:id="rId5" xr:uid="{00000000-0004-0000-0000-000004000000}"/>
    <hyperlink ref="J105" r:id="rId6" xr:uid="{00000000-0004-0000-0000-000005000000}"/>
    <hyperlink ref="J106" r:id="rId7" xr:uid="{00000000-0004-0000-0000-000006000000}"/>
    <hyperlink ref="J141" r:id="rId8" xr:uid="{00000000-0004-0000-0000-000007000000}"/>
    <hyperlink ref="J142" r:id="rId9" xr:uid="{00000000-0004-0000-0000-000008000000}"/>
    <hyperlink ref="J144" r:id="rId10" xr:uid="{00000000-0004-0000-0000-000009000000}"/>
    <hyperlink ref="J145" r:id="rId11" xr:uid="{00000000-0004-0000-0000-00000A000000}"/>
    <hyperlink ref="J146" r:id="rId12" xr:uid="{00000000-0004-0000-0000-00000B000000}"/>
    <hyperlink ref="J147" r:id="rId13" xr:uid="{00000000-0004-0000-0000-00000C000000}"/>
    <hyperlink ref="J148" r:id="rId14" xr:uid="{00000000-0004-0000-0000-00000D000000}"/>
    <hyperlink ref="J149" r:id="rId15" xr:uid="{00000000-0004-0000-0000-00000E000000}"/>
    <hyperlink ref="J150" r:id="rId16" xr:uid="{00000000-0004-0000-0000-00000F000000}"/>
    <hyperlink ref="J151" r:id="rId17" xr:uid="{00000000-0004-0000-0000-000010000000}"/>
    <hyperlink ref="J152" r:id="rId18" xr:uid="{00000000-0004-0000-0000-000011000000}"/>
    <hyperlink ref="J153" r:id="rId19" xr:uid="{00000000-0004-0000-0000-000012000000}"/>
    <hyperlink ref="J154" r:id="rId20" xr:uid="{00000000-0004-0000-0000-000013000000}"/>
    <hyperlink ref="J155" r:id="rId21" xr:uid="{00000000-0004-0000-0000-000014000000}"/>
    <hyperlink ref="J158" r:id="rId22" xr:uid="{00000000-0004-0000-0000-000015000000}"/>
    <hyperlink ref="J159" r:id="rId23" xr:uid="{00000000-0004-0000-0000-000016000000}"/>
    <hyperlink ref="J160" r:id="rId24" xr:uid="{00000000-0004-0000-0000-000017000000}"/>
    <hyperlink ref="J165" r:id="rId25" xr:uid="{00000000-0004-0000-0000-000018000000}"/>
    <hyperlink ref="A171" r:id="rId26" xr:uid="{00000000-0004-0000-0000-000019000000}"/>
    <hyperlink ref="J171" r:id="rId27" xr:uid="{00000000-0004-0000-0000-00001A000000}"/>
    <hyperlink ref="J172" r:id="rId28" xr:uid="{00000000-0004-0000-0000-00001B000000}"/>
    <hyperlink ref="J173" r:id="rId29" xr:uid="{00000000-0004-0000-0000-00001C000000}"/>
    <hyperlink ref="J174" r:id="rId30" xr:uid="{00000000-0004-0000-0000-00001D000000}"/>
    <hyperlink ref="J175" r:id="rId31" xr:uid="{00000000-0004-0000-0000-00001E000000}"/>
    <hyperlink ref="J176" r:id="rId32" xr:uid="{00000000-0004-0000-0000-00001F000000}"/>
    <hyperlink ref="J177" r:id="rId33" xr:uid="{00000000-0004-0000-0000-000020000000}"/>
    <hyperlink ref="J179" r:id="rId34" xr:uid="{00000000-0004-0000-0000-000021000000}"/>
    <hyperlink ref="J180" r:id="rId35" xr:uid="{00000000-0004-0000-0000-000022000000}"/>
    <hyperlink ref="J181" r:id="rId36" xr:uid="{00000000-0004-0000-0000-000023000000}"/>
    <hyperlink ref="J182" r:id="rId37" xr:uid="{00000000-0004-0000-0000-000024000000}"/>
    <hyperlink ref="J188" r:id="rId38" xr:uid="{00000000-0004-0000-0000-000025000000}"/>
    <hyperlink ref="J189" r:id="rId39" xr:uid="{00000000-0004-0000-0000-000026000000}"/>
    <hyperlink ref="J190" r:id="rId40" xr:uid="{00000000-0004-0000-0000-000027000000}"/>
    <hyperlink ref="J191" r:id="rId41" xr:uid="{00000000-0004-0000-0000-000028000000}"/>
    <hyperlink ref="J192" r:id="rId42" xr:uid="{00000000-0004-0000-0000-000029000000}"/>
    <hyperlink ref="J193" r:id="rId43" xr:uid="{00000000-0004-0000-0000-00002A000000}"/>
    <hyperlink ref="J194" r:id="rId44" xr:uid="{00000000-0004-0000-0000-00002B000000}"/>
    <hyperlink ref="J195" r:id="rId45" xr:uid="{00000000-0004-0000-0000-00002C000000}"/>
    <hyperlink ref="J196" r:id="rId46" xr:uid="{00000000-0004-0000-0000-00002D000000}"/>
    <hyperlink ref="J197" r:id="rId47" xr:uid="{00000000-0004-0000-0000-00002E000000}"/>
    <hyperlink ref="J198" r:id="rId48" xr:uid="{00000000-0004-0000-0000-00002F000000}"/>
    <hyperlink ref="A199" r:id="rId49" xr:uid="{00000000-0004-0000-0000-000030000000}"/>
    <hyperlink ref="J199" r:id="rId50" xr:uid="{00000000-0004-0000-0000-000031000000}"/>
    <hyperlink ref="J201" r:id="rId51" xr:uid="{00000000-0004-0000-0000-000032000000}"/>
    <hyperlink ref="J202" r:id="rId52" xr:uid="{00000000-0004-0000-0000-000033000000}"/>
    <hyperlink ref="J203" r:id="rId53" xr:uid="{00000000-0004-0000-0000-000034000000}"/>
    <hyperlink ref="J204" r:id="rId54" xr:uid="{00000000-0004-0000-0000-000035000000}"/>
    <hyperlink ref="J206" r:id="rId55" xr:uid="{00000000-0004-0000-0000-000036000000}"/>
    <hyperlink ref="J207" r:id="rId56" xr:uid="{00000000-0004-0000-0000-000037000000}"/>
    <hyperlink ref="J208" r:id="rId57" xr:uid="{00000000-0004-0000-0000-000038000000}"/>
    <hyperlink ref="J209" r:id="rId58" xr:uid="{00000000-0004-0000-0000-000039000000}"/>
    <hyperlink ref="J210" r:id="rId59" xr:uid="{00000000-0004-0000-0000-00003A000000}"/>
    <hyperlink ref="J211" r:id="rId60" xr:uid="{00000000-0004-0000-0000-00003B000000}"/>
    <hyperlink ref="J237" r:id="rId61" xr:uid="{00000000-0004-0000-0000-00003C000000}"/>
    <hyperlink ref="J238" r:id="rId62" xr:uid="{00000000-0004-0000-0000-00003D000000}"/>
    <hyperlink ref="J239" r:id="rId63" xr:uid="{00000000-0004-0000-0000-00003E000000}"/>
    <hyperlink ref="J240" r:id="rId64" xr:uid="{00000000-0004-0000-0000-00003F000000}"/>
    <hyperlink ref="J241" r:id="rId65" xr:uid="{00000000-0004-0000-0000-000040000000}"/>
    <hyperlink ref="J242" r:id="rId66" xr:uid="{00000000-0004-0000-0000-000041000000}"/>
    <hyperlink ref="J243" r:id="rId67" xr:uid="{00000000-0004-0000-0000-000042000000}"/>
    <hyperlink ref="J244" r:id="rId68" xr:uid="{00000000-0004-0000-0000-000043000000}"/>
    <hyperlink ref="J245" r:id="rId69" xr:uid="{00000000-0004-0000-0000-000044000000}"/>
    <hyperlink ref="J246" r:id="rId70" xr:uid="{00000000-0004-0000-0000-000045000000}"/>
    <hyperlink ref="J247" r:id="rId71" xr:uid="{00000000-0004-0000-0000-000046000000}"/>
    <hyperlink ref="J248" r:id="rId72" xr:uid="{00000000-0004-0000-0000-000047000000}"/>
    <hyperlink ref="J249" r:id="rId73" xr:uid="{00000000-0004-0000-0000-000048000000}"/>
    <hyperlink ref="J250" r:id="rId74" xr:uid="{00000000-0004-0000-0000-000049000000}"/>
    <hyperlink ref="J251" r:id="rId75" xr:uid="{00000000-0004-0000-0000-00004A000000}"/>
    <hyperlink ref="J252" r:id="rId76" xr:uid="{00000000-0004-0000-0000-00004B000000}"/>
    <hyperlink ref="J253" r:id="rId77" xr:uid="{00000000-0004-0000-0000-00004C000000}"/>
    <hyperlink ref="J254" r:id="rId78" xr:uid="{00000000-0004-0000-0000-00004D000000}"/>
    <hyperlink ref="J255" r:id="rId79" xr:uid="{00000000-0004-0000-0000-00004E000000}"/>
    <hyperlink ref="J273" r:id="rId80" xr:uid="{00000000-0004-0000-0000-00004F000000}"/>
    <hyperlink ref="J274" r:id="rId81" xr:uid="{00000000-0004-0000-0000-000050000000}"/>
    <hyperlink ref="J275" r:id="rId82" xr:uid="{00000000-0004-0000-0000-000051000000}"/>
    <hyperlink ref="J276" r:id="rId83" xr:uid="{00000000-0004-0000-0000-000052000000}"/>
    <hyperlink ref="J277" r:id="rId84" xr:uid="{00000000-0004-0000-0000-000053000000}"/>
    <hyperlink ref="J279" r:id="rId85" xr:uid="{00000000-0004-0000-0000-000054000000}"/>
    <hyperlink ref="J280" r:id="rId86" xr:uid="{00000000-0004-0000-0000-000055000000}"/>
    <hyperlink ref="J286" r:id="rId87" xr:uid="{00000000-0004-0000-0000-000056000000}"/>
    <hyperlink ref="J287" r:id="rId88" xr:uid="{00000000-0004-0000-0000-000057000000}"/>
    <hyperlink ref="J288" r:id="rId89" xr:uid="{00000000-0004-0000-0000-000058000000}"/>
    <hyperlink ref="J289" r:id="rId90" xr:uid="{00000000-0004-0000-0000-000059000000}"/>
    <hyperlink ref="J290" r:id="rId91" xr:uid="{00000000-0004-0000-0000-00005A000000}"/>
    <hyperlink ref="J291" r:id="rId92" xr:uid="{00000000-0004-0000-0000-00005B000000}"/>
    <hyperlink ref="J293" r:id="rId93" xr:uid="{00000000-0004-0000-0000-00005C000000}"/>
    <hyperlink ref="J294" r:id="rId94" xr:uid="{00000000-0004-0000-0000-00005D000000}"/>
    <hyperlink ref="J295" r:id="rId95" xr:uid="{00000000-0004-0000-0000-00005E000000}"/>
    <hyperlink ref="J296" r:id="rId96" xr:uid="{00000000-0004-0000-0000-00005F000000}"/>
    <hyperlink ref="J297" r:id="rId97" xr:uid="{00000000-0004-0000-0000-000060000000}"/>
    <hyperlink ref="J299" r:id="rId98" xr:uid="{00000000-0004-0000-0000-000061000000}"/>
    <hyperlink ref="J300" r:id="rId99" xr:uid="{00000000-0004-0000-0000-000062000000}"/>
    <hyperlink ref="J301" r:id="rId100" xr:uid="{00000000-0004-0000-0000-000063000000}"/>
    <hyperlink ref="J302" r:id="rId101" xr:uid="{00000000-0004-0000-0000-000064000000}"/>
    <hyperlink ref="J303" r:id="rId102" xr:uid="{00000000-0004-0000-0000-000065000000}"/>
    <hyperlink ref="J318" r:id="rId103" xr:uid="{00000000-0004-0000-0000-000066000000}"/>
    <hyperlink ref="J319" r:id="rId104" xr:uid="{00000000-0004-0000-0000-000067000000}"/>
    <hyperlink ref="J320" r:id="rId105" xr:uid="{00000000-0004-0000-0000-000068000000}"/>
    <hyperlink ref="J322" r:id="rId106" xr:uid="{00000000-0004-0000-0000-000069000000}"/>
    <hyperlink ref="J323" r:id="rId107" xr:uid="{00000000-0004-0000-0000-00006A000000}"/>
    <hyperlink ref="J324" r:id="rId108" xr:uid="{00000000-0004-0000-0000-00006B000000}"/>
    <hyperlink ref="J325" r:id="rId109" xr:uid="{00000000-0004-0000-0000-00006C000000}"/>
    <hyperlink ref="J326" r:id="rId110" xr:uid="{00000000-0004-0000-0000-00006D000000}"/>
    <hyperlink ref="J327" r:id="rId111" xr:uid="{00000000-0004-0000-0000-00006E000000}"/>
    <hyperlink ref="J328" r:id="rId112" xr:uid="{00000000-0004-0000-0000-00006F000000}"/>
    <hyperlink ref="J331" r:id="rId113" xr:uid="{00000000-0004-0000-0000-000070000000}"/>
    <hyperlink ref="J332" r:id="rId114" xr:uid="{00000000-0004-0000-0000-000071000000}"/>
    <hyperlink ref="J333" r:id="rId115" xr:uid="{00000000-0004-0000-0000-000072000000}"/>
    <hyperlink ref="J334" r:id="rId116" xr:uid="{00000000-0004-0000-0000-000073000000}"/>
    <hyperlink ref="J335" r:id="rId117" xr:uid="{00000000-0004-0000-0000-000074000000}"/>
    <hyperlink ref="J336" r:id="rId118" xr:uid="{00000000-0004-0000-0000-000075000000}"/>
    <hyperlink ref="J337" r:id="rId119" xr:uid="{00000000-0004-0000-0000-000076000000}"/>
    <hyperlink ref="J338" r:id="rId120" xr:uid="{00000000-0004-0000-0000-000077000000}"/>
    <hyperlink ref="J339" r:id="rId121" xr:uid="{00000000-0004-0000-0000-000078000000}"/>
    <hyperlink ref="J340" r:id="rId122" xr:uid="{00000000-0004-0000-0000-000079000000}"/>
    <hyperlink ref="J341" r:id="rId123" xr:uid="{00000000-0004-0000-0000-00007A000000}"/>
    <hyperlink ref="J343" r:id="rId124" xr:uid="{00000000-0004-0000-0000-00007B000000}"/>
    <hyperlink ref="J344" r:id="rId125" xr:uid="{00000000-0004-0000-0000-00007C000000}"/>
    <hyperlink ref="A345" r:id="rId126" xr:uid="{00000000-0004-0000-0000-00007D000000}"/>
    <hyperlink ref="J345" r:id="rId127" xr:uid="{00000000-0004-0000-0000-00007E000000}"/>
    <hyperlink ref="J346" r:id="rId128" xr:uid="{00000000-0004-0000-0000-00007F000000}"/>
    <hyperlink ref="J440" r:id="rId129" xr:uid="{00000000-0004-0000-0000-000080000000}"/>
    <hyperlink ref="J441" r:id="rId130" xr:uid="{00000000-0004-0000-0000-000081000000}"/>
    <hyperlink ref="J442" r:id="rId131" xr:uid="{00000000-0004-0000-0000-000082000000}"/>
    <hyperlink ref="J443" r:id="rId132" xr:uid="{00000000-0004-0000-0000-000083000000}"/>
    <hyperlink ref="J444" r:id="rId133" xr:uid="{00000000-0004-0000-0000-000084000000}"/>
    <hyperlink ref="J445" r:id="rId134" xr:uid="{00000000-0004-0000-0000-000085000000}"/>
    <hyperlink ref="J446" r:id="rId135" xr:uid="{00000000-0004-0000-0000-000086000000}"/>
    <hyperlink ref="J447" r:id="rId136" xr:uid="{00000000-0004-0000-0000-000087000000}"/>
    <hyperlink ref="J448" r:id="rId137" xr:uid="{00000000-0004-0000-0000-000088000000}"/>
    <hyperlink ref="J449" r:id="rId138" xr:uid="{00000000-0004-0000-0000-000089000000}"/>
    <hyperlink ref="J452" r:id="rId139" xr:uid="{00000000-0004-0000-0000-00008A000000}"/>
    <hyperlink ref="A454" r:id="rId140" xr:uid="{00000000-0004-0000-0000-00008B000000}"/>
    <hyperlink ref="J454" r:id="rId141" xr:uid="{00000000-0004-0000-0000-00008C000000}"/>
    <hyperlink ref="J455" r:id="rId142" xr:uid="{00000000-0004-0000-0000-00008D000000}"/>
    <hyperlink ref="J456" r:id="rId143" xr:uid="{00000000-0004-0000-0000-00008E000000}"/>
    <hyperlink ref="J458" r:id="rId144" xr:uid="{00000000-0004-0000-0000-00008F000000}"/>
    <hyperlink ref="J459" r:id="rId145" xr:uid="{00000000-0004-0000-0000-000090000000}"/>
    <hyperlink ref="J510" r:id="rId146" xr:uid="{00000000-0004-0000-0000-000091000000}"/>
    <hyperlink ref="J511" r:id="rId147" xr:uid="{00000000-0004-0000-0000-000092000000}"/>
    <hyperlink ref="J512" r:id="rId148" xr:uid="{00000000-0004-0000-0000-000093000000}"/>
    <hyperlink ref="J513" r:id="rId149" xr:uid="{00000000-0004-0000-0000-000094000000}"/>
    <hyperlink ref="J528" r:id="rId150" xr:uid="{00000000-0004-0000-0000-000095000000}"/>
    <hyperlink ref="J529" r:id="rId151" xr:uid="{00000000-0004-0000-0000-000096000000}"/>
    <hyperlink ref="J530" r:id="rId152" xr:uid="{00000000-0004-0000-0000-000097000000}"/>
    <hyperlink ref="J531" r:id="rId153" xr:uid="{00000000-0004-0000-0000-000098000000}"/>
    <hyperlink ref="J532" r:id="rId154" xr:uid="{00000000-0004-0000-0000-000099000000}"/>
    <hyperlink ref="J533" r:id="rId155" xr:uid="{00000000-0004-0000-0000-00009A000000}"/>
    <hyperlink ref="J535" r:id="rId156" xr:uid="{00000000-0004-0000-0000-00009B000000}"/>
    <hyperlink ref="J538" r:id="rId157" xr:uid="{00000000-0004-0000-0000-00009C000000}"/>
    <hyperlink ref="J539" r:id="rId158" xr:uid="{00000000-0004-0000-0000-00009D000000}"/>
    <hyperlink ref="J540" r:id="rId159" xr:uid="{00000000-0004-0000-0000-00009E000000}"/>
    <hyperlink ref="J541" r:id="rId160" xr:uid="{00000000-0004-0000-0000-00009F000000}"/>
    <hyperlink ref="J542" r:id="rId161" xr:uid="{00000000-0004-0000-0000-0000A0000000}"/>
    <hyperlink ref="J543" r:id="rId162" xr:uid="{00000000-0004-0000-0000-0000A1000000}"/>
    <hyperlink ref="J544" r:id="rId163" xr:uid="{00000000-0004-0000-0000-0000A2000000}"/>
    <hyperlink ref="J545" r:id="rId164" xr:uid="{00000000-0004-0000-0000-0000A3000000}"/>
    <hyperlink ref="J546" r:id="rId165" xr:uid="{00000000-0004-0000-0000-0000A4000000}"/>
    <hyperlink ref="J547" r:id="rId166" xr:uid="{00000000-0004-0000-0000-0000A5000000}"/>
    <hyperlink ref="J548" r:id="rId167" xr:uid="{00000000-0004-0000-0000-0000A6000000}"/>
    <hyperlink ref="J550" r:id="rId168" xr:uid="{00000000-0004-0000-0000-0000A7000000}"/>
    <hyperlink ref="J552" r:id="rId169" xr:uid="{00000000-0004-0000-0000-0000A8000000}"/>
    <hyperlink ref="J553" r:id="rId170" xr:uid="{00000000-0004-0000-0000-0000A9000000}"/>
    <hyperlink ref="A555" r:id="rId171" xr:uid="{00000000-0004-0000-0000-0000AA000000}"/>
    <hyperlink ref="J555" r:id="rId172" xr:uid="{00000000-0004-0000-0000-0000AB000000}"/>
    <hyperlink ref="J556" r:id="rId173" xr:uid="{00000000-0004-0000-0000-0000AC000000}"/>
    <hyperlink ref="J557" r:id="rId174" xr:uid="{00000000-0004-0000-0000-0000AD000000}"/>
    <hyperlink ref="J567" r:id="rId175" xr:uid="{00000000-0004-0000-0000-0000AE000000}"/>
    <hyperlink ref="J568" r:id="rId176" xr:uid="{00000000-0004-0000-0000-0000AF000000}"/>
    <hyperlink ref="J569" r:id="rId177" xr:uid="{00000000-0004-0000-0000-0000B0000000}"/>
    <hyperlink ref="J570" r:id="rId178" xr:uid="{00000000-0004-0000-0000-0000B1000000}"/>
    <hyperlink ref="J571" r:id="rId179" xr:uid="{00000000-0004-0000-0000-0000B2000000}"/>
    <hyperlink ref="J572" r:id="rId180" xr:uid="{00000000-0004-0000-0000-0000B3000000}"/>
    <hyperlink ref="J573" r:id="rId181" xr:uid="{00000000-0004-0000-0000-0000B4000000}"/>
    <hyperlink ref="J574" r:id="rId182" xr:uid="{00000000-0004-0000-0000-0000B5000000}"/>
    <hyperlink ref="J575" r:id="rId183" xr:uid="{00000000-0004-0000-0000-0000B6000000}"/>
    <hyperlink ref="J576" r:id="rId184" xr:uid="{00000000-0004-0000-0000-0000B7000000}"/>
    <hyperlink ref="J577" r:id="rId185" xr:uid="{00000000-0004-0000-0000-0000B8000000}"/>
    <hyperlink ref="J578" r:id="rId186" xr:uid="{00000000-0004-0000-0000-0000B9000000}"/>
    <hyperlink ref="J579" r:id="rId187" xr:uid="{00000000-0004-0000-0000-0000BA000000}"/>
    <hyperlink ref="J580" r:id="rId188" xr:uid="{00000000-0004-0000-0000-0000BB000000}"/>
    <hyperlink ref="J581" r:id="rId189" xr:uid="{00000000-0004-0000-0000-0000BC000000}"/>
    <hyperlink ref="J582" r:id="rId190" xr:uid="{00000000-0004-0000-0000-0000BD000000}"/>
    <hyperlink ref="J583" r:id="rId191" xr:uid="{00000000-0004-0000-0000-0000BE000000}"/>
    <hyperlink ref="J584" r:id="rId192" xr:uid="{00000000-0004-0000-0000-0000BF000000}"/>
    <hyperlink ref="J585" r:id="rId193" xr:uid="{00000000-0004-0000-0000-0000C0000000}"/>
    <hyperlink ref="J586" r:id="rId194" xr:uid="{00000000-0004-0000-0000-0000C1000000}"/>
    <hyperlink ref="J587" r:id="rId195" xr:uid="{00000000-0004-0000-0000-0000C2000000}"/>
    <hyperlink ref="J588" r:id="rId196" xr:uid="{00000000-0004-0000-0000-0000C3000000}"/>
    <hyperlink ref="J589" r:id="rId197" xr:uid="{00000000-0004-0000-0000-0000C4000000}"/>
    <hyperlink ref="J590" r:id="rId198" xr:uid="{00000000-0004-0000-0000-0000C5000000}"/>
    <hyperlink ref="J591" r:id="rId199" xr:uid="{00000000-0004-0000-0000-0000C6000000}"/>
    <hyperlink ref="J592" r:id="rId200" xr:uid="{00000000-0004-0000-0000-0000C7000000}"/>
    <hyperlink ref="J593" r:id="rId201" xr:uid="{00000000-0004-0000-0000-0000C8000000}"/>
    <hyperlink ref="J594" r:id="rId202" xr:uid="{00000000-0004-0000-0000-0000C9000000}"/>
    <hyperlink ref="J595" r:id="rId203" xr:uid="{00000000-0004-0000-0000-0000CA000000}"/>
    <hyperlink ref="J596" r:id="rId204" xr:uid="{00000000-0004-0000-0000-0000CB000000}"/>
    <hyperlink ref="J598" r:id="rId205" xr:uid="{00000000-0004-0000-0000-0000CC000000}"/>
    <hyperlink ref="J599" r:id="rId206" xr:uid="{00000000-0004-0000-0000-0000CD000000}"/>
    <hyperlink ref="J600" r:id="rId207" xr:uid="{00000000-0004-0000-0000-0000CE000000}"/>
    <hyperlink ref="J601" r:id="rId208" xr:uid="{00000000-0004-0000-0000-0000CF000000}"/>
    <hyperlink ref="J627" r:id="rId209" xr:uid="{00000000-0004-0000-0000-0000D0000000}"/>
    <hyperlink ref="J628" r:id="rId210" xr:uid="{00000000-0004-0000-0000-0000D1000000}"/>
    <hyperlink ref="J629" r:id="rId211" xr:uid="{00000000-0004-0000-0000-0000D2000000}"/>
    <hyperlink ref="J630" r:id="rId212" xr:uid="{00000000-0004-0000-0000-0000D3000000}"/>
    <hyperlink ref="J667" r:id="rId213" xr:uid="{00000000-0004-0000-0000-0000D4000000}"/>
    <hyperlink ref="J669" r:id="rId214" xr:uid="{00000000-0004-0000-0000-0000D5000000}"/>
    <hyperlink ref="J670" r:id="rId215" xr:uid="{00000000-0004-0000-0000-0000D6000000}"/>
    <hyperlink ref="J671" r:id="rId216" xr:uid="{00000000-0004-0000-0000-0000D7000000}"/>
    <hyperlink ref="J672" r:id="rId217" xr:uid="{00000000-0004-0000-0000-0000D8000000}"/>
    <hyperlink ref="J673" r:id="rId218" xr:uid="{00000000-0004-0000-0000-0000D9000000}"/>
    <hyperlink ref="A674" r:id="rId219" xr:uid="{00000000-0004-0000-0000-0000DA000000}"/>
    <hyperlink ref="J674" r:id="rId220" xr:uid="{00000000-0004-0000-0000-0000DB000000}"/>
    <hyperlink ref="J675" r:id="rId221" xr:uid="{00000000-0004-0000-0000-0000DC000000}"/>
    <hyperlink ref="J680" r:id="rId222" xr:uid="{00000000-0004-0000-0000-0000DD000000}"/>
    <hyperlink ref="J681" r:id="rId223" xr:uid="{00000000-0004-0000-0000-0000DE000000}"/>
    <hyperlink ref="J682" r:id="rId224" xr:uid="{00000000-0004-0000-0000-0000DF000000}"/>
    <hyperlink ref="J683" r:id="rId225" xr:uid="{00000000-0004-0000-0000-0000E0000000}"/>
    <hyperlink ref="J684" r:id="rId226" xr:uid="{00000000-0004-0000-0000-0000E1000000}"/>
    <hyperlink ref="J685" r:id="rId227" xr:uid="{00000000-0004-0000-0000-0000E2000000}"/>
    <hyperlink ref="J686" r:id="rId228" xr:uid="{00000000-0004-0000-0000-0000E3000000}"/>
    <hyperlink ref="J710" r:id="rId229" xr:uid="{00000000-0004-0000-0000-0000E4000000}"/>
    <hyperlink ref="J711" r:id="rId230" xr:uid="{00000000-0004-0000-0000-0000E5000000}"/>
    <hyperlink ref="J712" r:id="rId231" xr:uid="{00000000-0004-0000-0000-0000E6000000}"/>
    <hyperlink ref="J713" r:id="rId232" xr:uid="{00000000-0004-0000-0000-0000E7000000}"/>
    <hyperlink ref="J714" r:id="rId233" xr:uid="{00000000-0004-0000-0000-0000E8000000}"/>
    <hyperlink ref="J716" r:id="rId234" xr:uid="{00000000-0004-0000-0000-0000E9000000}"/>
    <hyperlink ref="J717" r:id="rId235" xr:uid="{00000000-0004-0000-0000-0000EA000000}"/>
    <hyperlink ref="J718" r:id="rId236" xr:uid="{00000000-0004-0000-0000-0000EB000000}"/>
    <hyperlink ref="J719" r:id="rId237" xr:uid="{00000000-0004-0000-0000-0000EC000000}"/>
    <hyperlink ref="A720" r:id="rId238" xr:uid="{00000000-0004-0000-0000-0000ED000000}"/>
    <hyperlink ref="J720" r:id="rId239" xr:uid="{00000000-0004-0000-0000-0000EE000000}"/>
    <hyperlink ref="J721" r:id="rId240" xr:uid="{00000000-0004-0000-0000-0000EF000000}"/>
    <hyperlink ref="J722" r:id="rId241" xr:uid="{00000000-0004-0000-0000-0000F0000000}"/>
    <hyperlink ref="J723" r:id="rId242" xr:uid="{00000000-0004-0000-0000-0000F1000000}"/>
    <hyperlink ref="J724" r:id="rId243" xr:uid="{00000000-0004-0000-0000-0000F2000000}"/>
    <hyperlink ref="J725" r:id="rId244" xr:uid="{00000000-0004-0000-0000-0000F3000000}"/>
    <hyperlink ref="J726" r:id="rId245" xr:uid="{00000000-0004-0000-0000-0000F4000000}"/>
    <hyperlink ref="J727" r:id="rId246" xr:uid="{00000000-0004-0000-0000-0000F5000000}"/>
    <hyperlink ref="J728" r:id="rId247" xr:uid="{00000000-0004-0000-0000-0000F6000000}"/>
    <hyperlink ref="J729" r:id="rId248" xr:uid="{00000000-0004-0000-0000-0000F7000000}"/>
    <hyperlink ref="J730" r:id="rId249" xr:uid="{00000000-0004-0000-0000-0000F8000000}"/>
    <hyperlink ref="J731" r:id="rId250" xr:uid="{00000000-0004-0000-0000-0000F9000000}"/>
    <hyperlink ref="J732" r:id="rId251" xr:uid="{00000000-0004-0000-0000-0000FA000000}"/>
    <hyperlink ref="J733" r:id="rId252" xr:uid="{00000000-0004-0000-0000-0000FB000000}"/>
    <hyperlink ref="J734" r:id="rId253" xr:uid="{00000000-0004-0000-0000-0000FC000000}"/>
    <hyperlink ref="J740" r:id="rId254" xr:uid="{00000000-0004-0000-0000-0000FD000000}"/>
    <hyperlink ref="J741" r:id="rId255" xr:uid="{00000000-0004-0000-0000-0000FE000000}"/>
    <hyperlink ref="J742" r:id="rId256" xr:uid="{00000000-0004-0000-0000-0000FF000000}"/>
    <hyperlink ref="J743" r:id="rId257" xr:uid="{00000000-0004-0000-0000-000000010000}"/>
    <hyperlink ref="J745" r:id="rId258" xr:uid="{00000000-0004-0000-0000-000001010000}"/>
    <hyperlink ref="J747" r:id="rId259" xr:uid="{00000000-0004-0000-0000-000002010000}"/>
    <hyperlink ref="J748" r:id="rId260" xr:uid="{00000000-0004-0000-0000-000003010000}"/>
    <hyperlink ref="J749" r:id="rId261" xr:uid="{00000000-0004-0000-0000-000004010000}"/>
    <hyperlink ref="J750" r:id="rId262" xr:uid="{00000000-0004-0000-0000-000005010000}"/>
    <hyperlink ref="J751" r:id="rId263" xr:uid="{00000000-0004-0000-0000-000006010000}"/>
    <hyperlink ref="A754" r:id="rId264" xr:uid="{00000000-0004-0000-0000-000007010000}"/>
    <hyperlink ref="J754" r:id="rId265" xr:uid="{00000000-0004-0000-0000-000008010000}"/>
    <hyperlink ref="J755" r:id="rId266" xr:uid="{00000000-0004-0000-0000-000009010000}"/>
    <hyperlink ref="J756" r:id="rId267" xr:uid="{00000000-0004-0000-0000-00000A010000}"/>
    <hyperlink ref="J757" r:id="rId268" xr:uid="{00000000-0004-0000-0000-00000B010000}"/>
    <hyperlink ref="J773" r:id="rId269" xr:uid="{00000000-0004-0000-0000-00000C010000}"/>
    <hyperlink ref="J774" r:id="rId270" xr:uid="{00000000-0004-0000-0000-00000D010000}"/>
    <hyperlink ref="J775" r:id="rId271" xr:uid="{00000000-0004-0000-0000-00000E010000}"/>
    <hyperlink ref="J776" r:id="rId272" xr:uid="{00000000-0004-0000-0000-00000F010000}"/>
    <hyperlink ref="J777" r:id="rId273" xr:uid="{00000000-0004-0000-0000-000010010000}"/>
    <hyperlink ref="J778" r:id="rId274" xr:uid="{00000000-0004-0000-0000-000011010000}"/>
    <hyperlink ref="J781" r:id="rId275" xr:uid="{00000000-0004-0000-0000-000012010000}"/>
    <hyperlink ref="J783" r:id="rId276" xr:uid="{00000000-0004-0000-0000-000013010000}"/>
    <hyperlink ref="J784" r:id="rId277" xr:uid="{00000000-0004-0000-0000-000014010000}"/>
    <hyperlink ref="J785" r:id="rId278" xr:uid="{00000000-0004-0000-0000-000015010000}"/>
    <hyperlink ref="A788" r:id="rId279" xr:uid="{00000000-0004-0000-0000-000016010000}"/>
    <hyperlink ref="J788" r:id="rId280" xr:uid="{00000000-0004-0000-0000-000017010000}"/>
    <hyperlink ref="J789" r:id="rId281" xr:uid="{00000000-0004-0000-0000-000018010000}"/>
    <hyperlink ref="J790" r:id="rId282" xr:uid="{00000000-0004-0000-0000-000019010000}"/>
    <hyperlink ref="J791" r:id="rId283" xr:uid="{00000000-0004-0000-0000-00001A010000}"/>
    <hyperlink ref="J863" r:id="rId284" xr:uid="{00000000-0004-0000-0000-00001B010000}"/>
    <hyperlink ref="J864" r:id="rId285" xr:uid="{00000000-0004-0000-0000-00001C010000}"/>
    <hyperlink ref="J865" r:id="rId286" xr:uid="{00000000-0004-0000-0000-00001D010000}"/>
    <hyperlink ref="J866" r:id="rId287" xr:uid="{00000000-0004-0000-0000-00001E010000}"/>
    <hyperlink ref="J867" r:id="rId288" xr:uid="{00000000-0004-0000-0000-00001F010000}"/>
    <hyperlink ref="J868" r:id="rId289" xr:uid="{00000000-0004-0000-0000-000020010000}"/>
    <hyperlink ref="J869" r:id="rId290" xr:uid="{00000000-0004-0000-0000-000021010000}"/>
    <hyperlink ref="J870" r:id="rId291" xr:uid="{00000000-0004-0000-0000-000022010000}"/>
    <hyperlink ref="J871" r:id="rId292" xr:uid="{00000000-0004-0000-0000-000023010000}"/>
    <hyperlink ref="J872" r:id="rId293" xr:uid="{00000000-0004-0000-0000-000024010000}"/>
    <hyperlink ref="J873" r:id="rId294" xr:uid="{00000000-0004-0000-0000-000025010000}"/>
    <hyperlink ref="J875" r:id="rId295" xr:uid="{00000000-0004-0000-0000-000026010000}"/>
    <hyperlink ref="J876" r:id="rId296" xr:uid="{00000000-0004-0000-0000-000027010000}"/>
    <hyperlink ref="J879" r:id="rId297" xr:uid="{00000000-0004-0000-0000-000028010000}"/>
    <hyperlink ref="J880" r:id="rId298" xr:uid="{00000000-0004-0000-0000-000029010000}"/>
    <hyperlink ref="J881" r:id="rId299" xr:uid="{00000000-0004-0000-0000-00002A010000}"/>
    <hyperlink ref="J882" r:id="rId300" xr:uid="{00000000-0004-0000-0000-00002B010000}"/>
    <hyperlink ref="J883" r:id="rId301" xr:uid="{00000000-0004-0000-0000-00002C010000}"/>
    <hyperlink ref="J884" r:id="rId302" xr:uid="{00000000-0004-0000-0000-00002D010000}"/>
    <hyperlink ref="J885" r:id="rId303" xr:uid="{00000000-0004-0000-0000-00002E010000}"/>
    <hyperlink ref="J886" r:id="rId304" xr:uid="{00000000-0004-0000-0000-00002F010000}"/>
    <hyperlink ref="J887" r:id="rId305" xr:uid="{00000000-0004-0000-0000-000030010000}"/>
    <hyperlink ref="J889" r:id="rId306" xr:uid="{00000000-0004-0000-0000-000031010000}"/>
    <hyperlink ref="J890" r:id="rId307" xr:uid="{00000000-0004-0000-0000-000032010000}"/>
    <hyperlink ref="J891" r:id="rId308" xr:uid="{00000000-0004-0000-0000-000033010000}"/>
    <hyperlink ref="J892" r:id="rId309" xr:uid="{00000000-0004-0000-0000-000034010000}"/>
    <hyperlink ref="J894" r:id="rId310" xr:uid="{00000000-0004-0000-0000-000035010000}"/>
    <hyperlink ref="J895" r:id="rId311" xr:uid="{00000000-0004-0000-0000-000036010000}"/>
    <hyperlink ref="J896" r:id="rId312" xr:uid="{00000000-0004-0000-0000-000037010000}"/>
    <hyperlink ref="J897" r:id="rId313" xr:uid="{00000000-0004-0000-0000-000038010000}"/>
    <hyperlink ref="J898" r:id="rId314" xr:uid="{00000000-0004-0000-0000-000039010000}"/>
    <hyperlink ref="J899" r:id="rId315" xr:uid="{00000000-0004-0000-0000-00003A010000}"/>
    <hyperlink ref="J900" r:id="rId316" xr:uid="{00000000-0004-0000-0000-00003B010000}"/>
    <hyperlink ref="J901" r:id="rId317" xr:uid="{00000000-0004-0000-0000-00003C010000}"/>
    <hyperlink ref="J902" r:id="rId318" xr:uid="{00000000-0004-0000-0000-00003D010000}"/>
    <hyperlink ref="J905" r:id="rId319" xr:uid="{00000000-0004-0000-0000-00003E010000}"/>
    <hyperlink ref="J907" r:id="rId320" xr:uid="{00000000-0004-0000-0000-00003F010000}"/>
    <hyperlink ref="J908" r:id="rId321" xr:uid="{00000000-0004-0000-0000-000040010000}"/>
    <hyperlink ref="J909" r:id="rId322" xr:uid="{00000000-0004-0000-0000-000041010000}"/>
    <hyperlink ref="J910" r:id="rId323" xr:uid="{00000000-0004-0000-0000-000042010000}"/>
    <hyperlink ref="J911" r:id="rId324" xr:uid="{00000000-0004-0000-0000-000043010000}"/>
    <hyperlink ref="J912" r:id="rId325" xr:uid="{00000000-0004-0000-0000-000044010000}"/>
    <hyperlink ref="J913" r:id="rId326" xr:uid="{00000000-0004-0000-0000-000045010000}"/>
    <hyperlink ref="J915" r:id="rId327" xr:uid="{00000000-0004-0000-0000-000046010000}"/>
    <hyperlink ref="J916" r:id="rId328" xr:uid="{00000000-0004-0000-0000-000047010000}"/>
    <hyperlink ref="J917" r:id="rId329" xr:uid="{00000000-0004-0000-0000-000048010000}"/>
    <hyperlink ref="J919" r:id="rId330" xr:uid="{00000000-0004-0000-0000-000049010000}"/>
    <hyperlink ref="J920" r:id="rId331" xr:uid="{00000000-0004-0000-0000-00004A010000}"/>
    <hyperlink ref="J921" r:id="rId332" xr:uid="{00000000-0004-0000-0000-00004B010000}"/>
    <hyperlink ref="J922" r:id="rId333" xr:uid="{00000000-0004-0000-0000-00004C010000}"/>
    <hyperlink ref="J923" r:id="rId334" xr:uid="{00000000-0004-0000-0000-00004D010000}"/>
    <hyperlink ref="J924" r:id="rId335" xr:uid="{00000000-0004-0000-0000-00004E010000}"/>
    <hyperlink ref="J925" r:id="rId336" xr:uid="{00000000-0004-0000-0000-00004F010000}"/>
    <hyperlink ref="J926" r:id="rId337" xr:uid="{00000000-0004-0000-0000-000050010000}"/>
    <hyperlink ref="J927" r:id="rId338" xr:uid="{00000000-0004-0000-0000-000051010000}"/>
    <hyperlink ref="J928" r:id="rId339" xr:uid="{00000000-0004-0000-0000-000052010000}"/>
    <hyperlink ref="J929" r:id="rId340" xr:uid="{00000000-0004-0000-0000-000053010000}"/>
    <hyperlink ref="J930" r:id="rId341" xr:uid="{00000000-0004-0000-0000-000054010000}"/>
    <hyperlink ref="J931" r:id="rId342" xr:uid="{00000000-0004-0000-0000-000055010000}"/>
    <hyperlink ref="J932" r:id="rId343" xr:uid="{00000000-0004-0000-0000-000056010000}"/>
    <hyperlink ref="J933" r:id="rId344" xr:uid="{00000000-0004-0000-0000-000057010000}"/>
    <hyperlink ref="J934" r:id="rId345" xr:uid="{00000000-0004-0000-0000-000058010000}"/>
    <hyperlink ref="J935" r:id="rId346" xr:uid="{00000000-0004-0000-0000-000059010000}"/>
    <hyperlink ref="J1043" r:id="rId347" xr:uid="{00000000-0004-0000-0000-00005A010000}"/>
    <hyperlink ref="J1044" r:id="rId348" xr:uid="{00000000-0004-0000-0000-00005B010000}"/>
    <hyperlink ref="J1045" r:id="rId349" xr:uid="{00000000-0004-0000-0000-00005C010000}"/>
    <hyperlink ref="J1046" r:id="rId350" xr:uid="{00000000-0004-0000-0000-00005D010000}"/>
    <hyperlink ref="J1047" r:id="rId351" xr:uid="{00000000-0004-0000-0000-00005E010000}"/>
    <hyperlink ref="J1048" r:id="rId352" xr:uid="{00000000-0004-0000-0000-00005F010000}"/>
    <hyperlink ref="J1049" r:id="rId353" xr:uid="{00000000-0004-0000-0000-000060010000}"/>
    <hyperlink ref="J1050" r:id="rId354" xr:uid="{00000000-0004-0000-0000-000061010000}"/>
    <hyperlink ref="J1051" r:id="rId355" xr:uid="{00000000-0004-0000-0000-000062010000}"/>
    <hyperlink ref="J1052" r:id="rId356" xr:uid="{00000000-0004-0000-0000-000063010000}"/>
    <hyperlink ref="J1053" r:id="rId357" xr:uid="{00000000-0004-0000-0000-000064010000}"/>
    <hyperlink ref="J1054" r:id="rId358" xr:uid="{00000000-0004-0000-0000-000065010000}"/>
    <hyperlink ref="J1055" r:id="rId359" xr:uid="{00000000-0004-0000-0000-000066010000}"/>
    <hyperlink ref="J1056" r:id="rId360" xr:uid="{00000000-0004-0000-0000-000067010000}"/>
    <hyperlink ref="J1057" r:id="rId361" xr:uid="{00000000-0004-0000-0000-000068010000}"/>
    <hyperlink ref="J1058" r:id="rId362" xr:uid="{00000000-0004-0000-0000-000069010000}"/>
    <hyperlink ref="J1059" r:id="rId363" xr:uid="{00000000-0004-0000-0000-00006A010000}"/>
    <hyperlink ref="J1060" r:id="rId364" xr:uid="{00000000-0004-0000-0000-00006B010000}"/>
    <hyperlink ref="J1061" r:id="rId365" xr:uid="{00000000-0004-0000-0000-00006C010000}"/>
    <hyperlink ref="J1062" r:id="rId366" xr:uid="{00000000-0004-0000-0000-00006D010000}"/>
    <hyperlink ref="J1063" r:id="rId367" xr:uid="{00000000-0004-0000-0000-00006E010000}"/>
    <hyperlink ref="J1064" r:id="rId368" xr:uid="{00000000-0004-0000-0000-00006F010000}"/>
    <hyperlink ref="J1065" r:id="rId369" xr:uid="{00000000-0004-0000-0000-000070010000}"/>
    <hyperlink ref="J1066" r:id="rId370" xr:uid="{00000000-0004-0000-0000-000071010000}"/>
    <hyperlink ref="J1067" r:id="rId371" xr:uid="{00000000-0004-0000-0000-000072010000}"/>
    <hyperlink ref="J1089" r:id="rId372" xr:uid="{00000000-0004-0000-0000-000073010000}"/>
    <hyperlink ref="J1090" r:id="rId373" xr:uid="{00000000-0004-0000-0000-000074010000}"/>
    <hyperlink ref="J1091" r:id="rId374" xr:uid="{00000000-0004-0000-0000-000075010000}"/>
    <hyperlink ref="J1092" r:id="rId375" xr:uid="{00000000-0004-0000-0000-000076010000}"/>
    <hyperlink ref="J1093" r:id="rId376" xr:uid="{00000000-0004-0000-0000-000077010000}"/>
    <hyperlink ref="J1094" r:id="rId377" xr:uid="{00000000-0004-0000-0000-000078010000}"/>
    <hyperlink ref="J1098" r:id="rId378" xr:uid="{00000000-0004-0000-0000-000079010000}"/>
    <hyperlink ref="J1099" r:id="rId379" xr:uid="{00000000-0004-0000-0000-00007A010000}"/>
    <hyperlink ref="J1100" r:id="rId380" xr:uid="{00000000-0004-0000-0000-00007B010000}"/>
    <hyperlink ref="J1101" r:id="rId381" xr:uid="{00000000-0004-0000-0000-00007C010000}"/>
    <hyperlink ref="J1102" r:id="rId382" xr:uid="{00000000-0004-0000-0000-00007D010000}"/>
    <hyperlink ref="J1103" r:id="rId383" xr:uid="{00000000-0004-0000-0000-00007E010000}"/>
    <hyperlink ref="J1104" r:id="rId384" xr:uid="{00000000-0004-0000-0000-00007F010000}"/>
    <hyperlink ref="A1105" r:id="rId385" xr:uid="{00000000-0004-0000-0000-000080010000}"/>
    <hyperlink ref="J1105" r:id="rId386" xr:uid="{00000000-0004-0000-0000-000081010000}"/>
    <hyperlink ref="J1106" r:id="rId387" xr:uid="{00000000-0004-0000-0000-000082010000}"/>
    <hyperlink ref="J1107" r:id="rId388" xr:uid="{00000000-0004-0000-0000-000083010000}"/>
    <hyperlink ref="J1109" r:id="rId389" xr:uid="{00000000-0004-0000-0000-000084010000}"/>
    <hyperlink ref="J1110" r:id="rId390" xr:uid="{00000000-0004-0000-0000-000085010000}"/>
    <hyperlink ref="J1111" r:id="rId391" xr:uid="{00000000-0004-0000-0000-000086010000}"/>
    <hyperlink ref="J1112" r:id="rId392" xr:uid="{00000000-0004-0000-0000-000087010000}"/>
    <hyperlink ref="J1113" r:id="rId393" xr:uid="{00000000-0004-0000-0000-000088010000}"/>
    <hyperlink ref="J1114" r:id="rId394" xr:uid="{00000000-0004-0000-0000-000089010000}"/>
    <hyperlink ref="J1115" r:id="rId395" xr:uid="{00000000-0004-0000-0000-00008A010000}"/>
    <hyperlink ref="J1116" r:id="rId396" xr:uid="{00000000-0004-0000-0000-00008B010000}"/>
    <hyperlink ref="J1117" r:id="rId397" xr:uid="{00000000-0004-0000-0000-00008C010000}"/>
    <hyperlink ref="J1118" r:id="rId398" xr:uid="{00000000-0004-0000-0000-00008D010000}"/>
    <hyperlink ref="J1119" r:id="rId399" xr:uid="{00000000-0004-0000-0000-00008E010000}"/>
    <hyperlink ref="J1120" r:id="rId400" xr:uid="{00000000-0004-0000-0000-00008F010000}"/>
    <hyperlink ref="J1121" r:id="rId401" xr:uid="{00000000-0004-0000-0000-000090010000}"/>
    <hyperlink ref="J1124" r:id="rId402" xr:uid="{00000000-0004-0000-0000-000091010000}"/>
    <hyperlink ref="J1131" r:id="rId403" xr:uid="{00000000-0004-0000-0000-000092010000}"/>
    <hyperlink ref="J1132" r:id="rId404" xr:uid="{00000000-0004-0000-0000-000093010000}"/>
    <hyperlink ref="J1133" r:id="rId405" xr:uid="{00000000-0004-0000-0000-000094010000}"/>
    <hyperlink ref="J1134" r:id="rId406" xr:uid="{00000000-0004-0000-0000-000095010000}"/>
    <hyperlink ref="J1135" r:id="rId407" xr:uid="{00000000-0004-0000-0000-000096010000}"/>
    <hyperlink ref="J1136" r:id="rId408" xr:uid="{00000000-0004-0000-0000-000097010000}"/>
    <hyperlink ref="J1137" r:id="rId409" xr:uid="{00000000-0004-0000-0000-000098010000}"/>
    <hyperlink ref="J1138" r:id="rId410" xr:uid="{00000000-0004-0000-0000-000099010000}"/>
    <hyperlink ref="J1141" r:id="rId411" xr:uid="{00000000-0004-0000-0000-00009A010000}"/>
    <hyperlink ref="J1142" r:id="rId412" xr:uid="{00000000-0004-0000-0000-00009B010000}"/>
    <hyperlink ref="J1144" r:id="rId413" xr:uid="{00000000-0004-0000-0000-00009C010000}"/>
    <hyperlink ref="J1145" r:id="rId414" xr:uid="{00000000-0004-0000-0000-00009D010000}"/>
    <hyperlink ref="J1149" r:id="rId415" xr:uid="{00000000-0004-0000-0000-00009E010000}"/>
    <hyperlink ref="J1150" r:id="rId416" xr:uid="{00000000-0004-0000-0000-00009F010000}"/>
    <hyperlink ref="J1151" r:id="rId417" xr:uid="{00000000-0004-0000-0000-0000A0010000}"/>
    <hyperlink ref="J1152" r:id="rId418" xr:uid="{00000000-0004-0000-0000-0000A1010000}"/>
    <hyperlink ref="J1153" r:id="rId419" xr:uid="{00000000-0004-0000-0000-0000A2010000}"/>
    <hyperlink ref="J1154" r:id="rId420" xr:uid="{00000000-0004-0000-0000-0000A3010000}"/>
    <hyperlink ref="J1155" r:id="rId421" xr:uid="{00000000-0004-0000-0000-0000A4010000}"/>
    <hyperlink ref="J1156" r:id="rId422" xr:uid="{00000000-0004-0000-0000-0000A5010000}"/>
    <hyperlink ref="J1157" r:id="rId423" xr:uid="{00000000-0004-0000-0000-0000A6010000}"/>
    <hyperlink ref="J1161" r:id="rId424" xr:uid="{00000000-0004-0000-0000-0000A7010000}"/>
    <hyperlink ref="J1162" r:id="rId425" xr:uid="{00000000-0004-0000-0000-0000A8010000}"/>
    <hyperlink ref="J1163" r:id="rId426" xr:uid="{00000000-0004-0000-0000-0000A9010000}"/>
    <hyperlink ref="J1164" r:id="rId427" xr:uid="{00000000-0004-0000-0000-0000AA010000}"/>
    <hyperlink ref="J1165" r:id="rId428" xr:uid="{00000000-0004-0000-0000-0000AB010000}"/>
    <hyperlink ref="J1168" r:id="rId429" xr:uid="{00000000-0004-0000-0000-0000AC010000}"/>
    <hyperlink ref="J1169" r:id="rId430" xr:uid="{00000000-0004-0000-0000-0000AD010000}"/>
    <hyperlink ref="J1170" r:id="rId431" xr:uid="{00000000-0004-0000-0000-0000AE010000}"/>
    <hyperlink ref="J1171" r:id="rId432" xr:uid="{00000000-0004-0000-0000-0000AF010000}"/>
    <hyperlink ref="J1172" r:id="rId433" xr:uid="{00000000-0004-0000-0000-0000B0010000}"/>
    <hyperlink ref="J1173" r:id="rId434" xr:uid="{00000000-0004-0000-0000-0000B1010000}"/>
    <hyperlink ref="J1174" r:id="rId435" xr:uid="{00000000-0004-0000-0000-0000B2010000}"/>
    <hyperlink ref="J1175" r:id="rId436" xr:uid="{00000000-0004-0000-0000-0000B3010000}"/>
    <hyperlink ref="J1195" r:id="rId437" xr:uid="{00000000-0004-0000-0000-0000B4010000}"/>
    <hyperlink ref="J1199" r:id="rId438" xr:uid="{00000000-0004-0000-0000-0000B5010000}"/>
    <hyperlink ref="J1200" r:id="rId439" xr:uid="{00000000-0004-0000-0000-0000B6010000}"/>
    <hyperlink ref="J1201" r:id="rId440" xr:uid="{00000000-0004-0000-0000-0000B7010000}"/>
    <hyperlink ref="J1202" r:id="rId441" xr:uid="{00000000-0004-0000-0000-0000B8010000}"/>
    <hyperlink ref="J1207" r:id="rId442" xr:uid="{00000000-0004-0000-0000-0000B9010000}"/>
    <hyperlink ref="J1208" r:id="rId443" xr:uid="{00000000-0004-0000-0000-0000BA010000}"/>
    <hyperlink ref="J1209" r:id="rId444" xr:uid="{00000000-0004-0000-0000-0000BB010000}"/>
    <hyperlink ref="J1210" r:id="rId445" xr:uid="{00000000-0004-0000-0000-0000BC010000}"/>
    <hyperlink ref="J1211" r:id="rId446" xr:uid="{00000000-0004-0000-0000-0000BD010000}"/>
    <hyperlink ref="J1212" r:id="rId447" xr:uid="{00000000-0004-0000-0000-0000BE010000}"/>
    <hyperlink ref="A1214" r:id="rId448" xr:uid="{00000000-0004-0000-0000-0000BF010000}"/>
    <hyperlink ref="J1214" r:id="rId449" xr:uid="{00000000-0004-0000-0000-0000C0010000}"/>
    <hyperlink ref="J1215" r:id="rId450" xr:uid="{00000000-0004-0000-0000-0000C1010000}"/>
    <hyperlink ref="J1216" r:id="rId451" xr:uid="{00000000-0004-0000-0000-0000C2010000}"/>
    <hyperlink ref="J1217" r:id="rId452" xr:uid="{00000000-0004-0000-0000-0000C3010000}"/>
    <hyperlink ref="J1218" r:id="rId453" xr:uid="{00000000-0004-0000-0000-0000C4010000}"/>
    <hyperlink ref="J1219" r:id="rId454" xr:uid="{00000000-0004-0000-0000-0000C5010000}"/>
    <hyperlink ref="J1220" r:id="rId455" xr:uid="{00000000-0004-0000-0000-0000C6010000}"/>
    <hyperlink ref="J1221" r:id="rId456" xr:uid="{00000000-0004-0000-0000-0000C7010000}"/>
    <hyperlink ref="J1222" r:id="rId457" xr:uid="{00000000-0004-0000-0000-0000C8010000}"/>
    <hyperlink ref="J1223" r:id="rId458" xr:uid="{00000000-0004-0000-0000-0000C9010000}"/>
    <hyperlink ref="J1224" r:id="rId459" xr:uid="{00000000-0004-0000-0000-0000CA010000}"/>
    <hyperlink ref="J1225" r:id="rId460" xr:uid="{00000000-0004-0000-0000-0000CB010000}"/>
    <hyperlink ref="J1226" r:id="rId461" xr:uid="{00000000-0004-0000-0000-0000CC010000}"/>
    <hyperlink ref="J1227" r:id="rId462" xr:uid="{00000000-0004-0000-0000-0000CD010000}"/>
    <hyperlink ref="J1229" r:id="rId463" xr:uid="{00000000-0004-0000-0000-0000CE010000}"/>
    <hyperlink ref="J1236" r:id="rId464" xr:uid="{00000000-0004-0000-0000-0000CF010000}"/>
    <hyperlink ref="J1237" r:id="rId465" xr:uid="{00000000-0004-0000-0000-0000D0010000}"/>
    <hyperlink ref="J1238" r:id="rId466" xr:uid="{00000000-0004-0000-0000-0000D1010000}"/>
    <hyperlink ref="A1239" r:id="rId467" xr:uid="{00000000-0004-0000-0000-0000D2010000}"/>
    <hyperlink ref="J1239" r:id="rId468" xr:uid="{00000000-0004-0000-0000-0000D3010000}"/>
    <hyperlink ref="J1240" r:id="rId469" xr:uid="{00000000-0004-0000-0000-0000D4010000}"/>
    <hyperlink ref="J1241" r:id="rId470" xr:uid="{00000000-0004-0000-0000-0000D5010000}"/>
    <hyperlink ref="J1242" r:id="rId471" xr:uid="{00000000-0004-0000-0000-0000D6010000}"/>
    <hyperlink ref="J1244" r:id="rId472" xr:uid="{00000000-0004-0000-0000-0000D7010000}"/>
    <hyperlink ref="J1245" r:id="rId473" xr:uid="{00000000-0004-0000-0000-0000D8010000}"/>
    <hyperlink ref="J1246" r:id="rId474" xr:uid="{00000000-0004-0000-0000-0000D9010000}"/>
    <hyperlink ref="J1247" r:id="rId475" xr:uid="{00000000-0004-0000-0000-0000DA010000}"/>
    <hyperlink ref="J1254" r:id="rId476" xr:uid="{00000000-0004-0000-0000-0000DB010000}"/>
    <hyperlink ref="J1255" r:id="rId477" xr:uid="{00000000-0004-0000-0000-0000DC010000}"/>
    <hyperlink ref="J1256" r:id="rId478" xr:uid="{00000000-0004-0000-0000-0000DD010000}"/>
    <hyperlink ref="J1257" r:id="rId479" xr:uid="{00000000-0004-0000-0000-0000DE010000}"/>
    <hyperlink ref="J1258" r:id="rId480" xr:uid="{00000000-0004-0000-0000-0000DF010000}"/>
    <hyperlink ref="J1259" r:id="rId481" xr:uid="{00000000-0004-0000-0000-0000E0010000}"/>
    <hyperlink ref="J1260" r:id="rId482" xr:uid="{00000000-0004-0000-0000-0000E1010000}"/>
    <hyperlink ref="J1321" r:id="rId483" xr:uid="{00000000-0004-0000-0000-0000E2010000}"/>
    <hyperlink ref="J1322" r:id="rId484" xr:uid="{00000000-0004-0000-0000-0000E3010000}"/>
    <hyperlink ref="J1323" r:id="rId485" xr:uid="{00000000-0004-0000-0000-0000E4010000}"/>
    <hyperlink ref="J1324" r:id="rId486" xr:uid="{00000000-0004-0000-0000-0000E5010000}"/>
    <hyperlink ref="J1326" r:id="rId487" xr:uid="{00000000-0004-0000-0000-0000E6010000}"/>
    <hyperlink ref="J1331" r:id="rId488" xr:uid="{00000000-0004-0000-0000-0000E7010000}"/>
    <hyperlink ref="J1332" r:id="rId489" xr:uid="{00000000-0004-0000-0000-0000E8010000}"/>
    <hyperlink ref="J1333" r:id="rId490" xr:uid="{00000000-0004-0000-0000-0000E9010000}"/>
    <hyperlink ref="J1334" r:id="rId491" xr:uid="{00000000-0004-0000-0000-0000EA010000}"/>
    <hyperlink ref="J1335" r:id="rId492" xr:uid="{00000000-0004-0000-0000-0000EB010000}"/>
    <hyperlink ref="J1336" r:id="rId493" xr:uid="{00000000-0004-0000-0000-0000EC010000}"/>
    <hyperlink ref="J1337" r:id="rId494" xr:uid="{00000000-0004-0000-0000-0000ED010000}"/>
    <hyperlink ref="J1338" r:id="rId495" xr:uid="{00000000-0004-0000-0000-0000EE010000}"/>
    <hyperlink ref="J1339" r:id="rId496" xr:uid="{00000000-0004-0000-0000-0000EF010000}"/>
    <hyperlink ref="J1353" r:id="rId497" xr:uid="{00000000-0004-0000-0000-0000F0010000}"/>
    <hyperlink ref="J1354" r:id="rId498" xr:uid="{00000000-0004-0000-0000-0000F1010000}"/>
    <hyperlink ref="J1355" r:id="rId499" xr:uid="{00000000-0004-0000-0000-0000F2010000}"/>
    <hyperlink ref="J1356" r:id="rId500" xr:uid="{00000000-0004-0000-0000-0000F3010000}"/>
    <hyperlink ref="J1357" r:id="rId501" xr:uid="{00000000-0004-0000-0000-0000F4010000}"/>
    <hyperlink ref="J1358" r:id="rId502" xr:uid="{00000000-0004-0000-0000-0000F5010000}"/>
    <hyperlink ref="J1359" r:id="rId503" xr:uid="{00000000-0004-0000-0000-0000F6010000}"/>
    <hyperlink ref="J1362" r:id="rId504" xr:uid="{00000000-0004-0000-0000-0000F7010000}"/>
    <hyperlink ref="J1363" r:id="rId505" xr:uid="{00000000-0004-0000-0000-0000F8010000}"/>
    <hyperlink ref="J1364" r:id="rId506" xr:uid="{00000000-0004-0000-0000-0000F9010000}"/>
    <hyperlink ref="J1365" r:id="rId507" xr:uid="{00000000-0004-0000-0000-0000FA010000}"/>
    <hyperlink ref="J1366" r:id="rId508" xr:uid="{00000000-0004-0000-0000-0000FB010000}"/>
    <hyperlink ref="J1376" r:id="rId509" xr:uid="{00000000-0004-0000-0000-0000FC010000}"/>
    <hyperlink ref="J1377" r:id="rId510" xr:uid="{00000000-0004-0000-0000-0000FD010000}"/>
    <hyperlink ref="J1378" r:id="rId511" xr:uid="{00000000-0004-0000-0000-0000FE010000}"/>
    <hyperlink ref="J1379" r:id="rId512" xr:uid="{00000000-0004-0000-0000-0000FF010000}"/>
    <hyperlink ref="A1380" r:id="rId513" xr:uid="{00000000-0004-0000-0000-000000020000}"/>
    <hyperlink ref="J1380" r:id="rId514" xr:uid="{00000000-0004-0000-0000-000001020000}"/>
    <hyperlink ref="J1381" r:id="rId515" xr:uid="{00000000-0004-0000-0000-000002020000}"/>
    <hyperlink ref="J1382" r:id="rId516" xr:uid="{00000000-0004-0000-0000-000003020000}"/>
    <hyperlink ref="J1383" r:id="rId517" xr:uid="{00000000-0004-0000-0000-000004020000}"/>
    <hyperlink ref="J1384" r:id="rId518" xr:uid="{00000000-0004-0000-0000-000005020000}"/>
    <hyperlink ref="J1411" r:id="rId519" xr:uid="{00000000-0004-0000-0000-000006020000}"/>
    <hyperlink ref="J1413" r:id="rId520" xr:uid="{00000000-0004-0000-0000-000007020000}"/>
    <hyperlink ref="J1414" r:id="rId521" xr:uid="{00000000-0004-0000-0000-000008020000}"/>
    <hyperlink ref="J1415" r:id="rId522" xr:uid="{00000000-0004-0000-0000-000009020000}"/>
    <hyperlink ref="J1416" r:id="rId523" xr:uid="{00000000-0004-0000-0000-00000A020000}"/>
    <hyperlink ref="J1417" r:id="rId524" xr:uid="{00000000-0004-0000-0000-00000B020000}"/>
    <hyperlink ref="J1418" r:id="rId525" xr:uid="{00000000-0004-0000-0000-00000C020000}"/>
    <hyperlink ref="J1420" r:id="rId526" xr:uid="{00000000-0004-0000-0000-00000D020000}"/>
    <hyperlink ref="J1421" r:id="rId527" xr:uid="{00000000-0004-0000-0000-00000E020000}"/>
    <hyperlink ref="J1422" r:id="rId528" xr:uid="{00000000-0004-0000-0000-00000F020000}"/>
    <hyperlink ref="J1423" r:id="rId529" xr:uid="{00000000-0004-0000-0000-000010020000}"/>
    <hyperlink ref="J1424" r:id="rId530" xr:uid="{00000000-0004-0000-0000-000011020000}"/>
    <hyperlink ref="J1425" r:id="rId531" xr:uid="{00000000-0004-0000-0000-000012020000}"/>
    <hyperlink ref="J1426" r:id="rId532" xr:uid="{00000000-0004-0000-0000-000013020000}"/>
    <hyperlink ref="J1427" r:id="rId533" xr:uid="{00000000-0004-0000-0000-000014020000}"/>
    <hyperlink ref="J1428" r:id="rId534" xr:uid="{00000000-0004-0000-0000-000015020000}"/>
    <hyperlink ref="J1429" r:id="rId535" xr:uid="{00000000-0004-0000-0000-000016020000}"/>
    <hyperlink ref="J1430" r:id="rId536" xr:uid="{00000000-0004-0000-0000-000017020000}"/>
    <hyperlink ref="J1431" r:id="rId537" xr:uid="{00000000-0004-0000-0000-000018020000}"/>
    <hyperlink ref="J1432" r:id="rId538" xr:uid="{00000000-0004-0000-0000-000019020000}"/>
    <hyperlink ref="A1433" r:id="rId539" xr:uid="{00000000-0004-0000-0000-00001A020000}"/>
    <hyperlink ref="J1433" r:id="rId540" xr:uid="{00000000-0004-0000-0000-00001B020000}"/>
    <hyperlink ref="J1434" r:id="rId541" xr:uid="{00000000-0004-0000-0000-00001C020000}"/>
    <hyperlink ref="J1435" r:id="rId542" xr:uid="{00000000-0004-0000-0000-00001D020000}"/>
    <hyperlink ref="J1436" r:id="rId543" xr:uid="{00000000-0004-0000-0000-00001E020000}"/>
    <hyperlink ref="J1437" r:id="rId544" xr:uid="{00000000-0004-0000-0000-00001F020000}"/>
    <hyperlink ref="J1438" r:id="rId545" xr:uid="{00000000-0004-0000-0000-000020020000}"/>
    <hyperlink ref="J1439" r:id="rId546" xr:uid="{00000000-0004-0000-0000-000021020000}"/>
    <hyperlink ref="J1441" r:id="rId547" xr:uid="{00000000-0004-0000-0000-000022020000}"/>
    <hyperlink ref="J1442" r:id="rId548" xr:uid="{00000000-0004-0000-0000-000023020000}"/>
    <hyperlink ref="J1443" r:id="rId549" xr:uid="{00000000-0004-0000-0000-000024020000}"/>
    <hyperlink ref="J1444" r:id="rId550" xr:uid="{00000000-0004-0000-0000-000025020000}"/>
    <hyperlink ref="J1445" r:id="rId551" xr:uid="{00000000-0004-0000-0000-000026020000}"/>
    <hyperlink ref="J1446" r:id="rId552" xr:uid="{00000000-0004-0000-0000-000027020000}"/>
    <hyperlink ref="J1447" r:id="rId553" xr:uid="{00000000-0004-0000-0000-000028020000}"/>
    <hyperlink ref="J1448" r:id="rId554" xr:uid="{00000000-0004-0000-0000-000029020000}"/>
    <hyperlink ref="J1449" r:id="rId555" xr:uid="{00000000-0004-0000-0000-00002A020000}"/>
    <hyperlink ref="J1450" r:id="rId556" xr:uid="{00000000-0004-0000-0000-00002B020000}"/>
    <hyperlink ref="J1451" r:id="rId557" xr:uid="{00000000-0004-0000-0000-00002C020000}"/>
    <hyperlink ref="J1452" r:id="rId558" xr:uid="{00000000-0004-0000-0000-00002D020000}"/>
    <hyperlink ref="J1453" r:id="rId559" xr:uid="{00000000-0004-0000-0000-00002E020000}"/>
    <hyperlink ref="J1454" r:id="rId560" xr:uid="{00000000-0004-0000-0000-00002F020000}"/>
    <hyperlink ref="J1455" r:id="rId561" xr:uid="{00000000-0004-0000-0000-000030020000}"/>
    <hyperlink ref="J1456" r:id="rId562" xr:uid="{00000000-0004-0000-0000-000031020000}"/>
    <hyperlink ref="J1458" r:id="rId563" xr:uid="{00000000-0004-0000-0000-000032020000}"/>
    <hyperlink ref="J1459" r:id="rId564" xr:uid="{00000000-0004-0000-0000-000033020000}"/>
    <hyperlink ref="J1460" r:id="rId565" xr:uid="{00000000-0004-0000-0000-000034020000}"/>
    <hyperlink ref="J1461" r:id="rId566" xr:uid="{00000000-0004-0000-0000-000035020000}"/>
    <hyperlink ref="J1462" r:id="rId567" xr:uid="{00000000-0004-0000-0000-000036020000}"/>
    <hyperlink ref="J1463" r:id="rId568" xr:uid="{00000000-0004-0000-0000-000037020000}"/>
    <hyperlink ref="J1464" r:id="rId569" xr:uid="{00000000-0004-0000-0000-000038020000}"/>
    <hyperlink ref="J1465" r:id="rId570" xr:uid="{00000000-0004-0000-0000-000039020000}"/>
    <hyperlink ref="J1466" r:id="rId571" xr:uid="{00000000-0004-0000-0000-00003A020000}"/>
    <hyperlink ref="J1467" r:id="rId572" xr:uid="{00000000-0004-0000-0000-00003B020000}"/>
    <hyperlink ref="J1468" r:id="rId573" xr:uid="{00000000-0004-0000-0000-00003C020000}"/>
    <hyperlink ref="J1469" r:id="rId574" xr:uid="{00000000-0004-0000-0000-00003D020000}"/>
    <hyperlink ref="J1470" r:id="rId575" xr:uid="{00000000-0004-0000-0000-00003E020000}"/>
    <hyperlink ref="J1471" r:id="rId576" xr:uid="{00000000-0004-0000-0000-00003F020000}"/>
    <hyperlink ref="J1472" r:id="rId577" xr:uid="{00000000-0004-0000-0000-000040020000}"/>
    <hyperlink ref="J1473" r:id="rId578" xr:uid="{00000000-0004-0000-0000-000041020000}"/>
    <hyperlink ref="J1474" r:id="rId579" xr:uid="{00000000-0004-0000-0000-000042020000}"/>
    <hyperlink ref="J1476" r:id="rId580" xr:uid="{00000000-0004-0000-0000-000043020000}"/>
    <hyperlink ref="J1477" r:id="rId581" xr:uid="{00000000-0004-0000-0000-000044020000}"/>
    <hyperlink ref="J1478" r:id="rId582" xr:uid="{00000000-0004-0000-0000-000045020000}"/>
    <hyperlink ref="J1479" r:id="rId583" xr:uid="{00000000-0004-0000-0000-000046020000}"/>
    <hyperlink ref="J1480" r:id="rId584" xr:uid="{00000000-0004-0000-0000-000047020000}"/>
    <hyperlink ref="J1484" r:id="rId585" xr:uid="{00000000-0004-0000-0000-000048020000}"/>
    <hyperlink ref="J1485" r:id="rId586" xr:uid="{00000000-0004-0000-0000-000049020000}"/>
    <hyperlink ref="J1486" r:id="rId587" xr:uid="{00000000-0004-0000-0000-00004A020000}"/>
    <hyperlink ref="J1487" r:id="rId588" xr:uid="{00000000-0004-0000-0000-00004B020000}"/>
    <hyperlink ref="J1489" r:id="rId589" xr:uid="{00000000-0004-0000-0000-00004C020000}"/>
    <hyperlink ref="J1490" r:id="rId590" xr:uid="{00000000-0004-0000-0000-00004D020000}"/>
    <hyperlink ref="J1491" r:id="rId591" xr:uid="{00000000-0004-0000-0000-00004E020000}"/>
    <hyperlink ref="J1492" r:id="rId592" xr:uid="{00000000-0004-0000-0000-00004F020000}"/>
    <hyperlink ref="J1495" r:id="rId593" xr:uid="{00000000-0004-0000-0000-000050020000}"/>
    <hyperlink ref="J1496" r:id="rId594" xr:uid="{00000000-0004-0000-0000-000051020000}"/>
    <hyperlink ref="J1497" r:id="rId595" xr:uid="{00000000-0004-0000-0000-000052020000}"/>
    <hyperlink ref="J1498" r:id="rId596" xr:uid="{00000000-0004-0000-0000-000053020000}"/>
    <hyperlink ref="J1500" r:id="rId597" xr:uid="{00000000-0004-0000-0000-000054020000}"/>
    <hyperlink ref="J1501" r:id="rId598" xr:uid="{00000000-0004-0000-0000-000055020000}"/>
    <hyperlink ref="J1502" r:id="rId599" xr:uid="{00000000-0004-0000-0000-000056020000}"/>
    <hyperlink ref="J1503" r:id="rId600" xr:uid="{00000000-0004-0000-0000-000057020000}"/>
    <hyperlink ref="J1504" r:id="rId601" xr:uid="{00000000-0004-0000-0000-000058020000}"/>
    <hyperlink ref="J1505" r:id="rId602" xr:uid="{00000000-0004-0000-0000-000059020000}"/>
    <hyperlink ref="J1506" r:id="rId603" xr:uid="{00000000-0004-0000-0000-00005A020000}"/>
    <hyperlink ref="J1507" r:id="rId604" xr:uid="{00000000-0004-0000-0000-00005B020000}"/>
    <hyperlink ref="J1508" r:id="rId605" xr:uid="{00000000-0004-0000-0000-00005C020000}"/>
    <hyperlink ref="J1509" r:id="rId606" xr:uid="{00000000-0004-0000-0000-00005D020000}"/>
    <hyperlink ref="J1510" r:id="rId607" xr:uid="{00000000-0004-0000-0000-00005E020000}"/>
    <hyperlink ref="J1511" r:id="rId608" xr:uid="{00000000-0004-0000-0000-00005F020000}"/>
    <hyperlink ref="J1512" r:id="rId609" xr:uid="{00000000-0004-0000-0000-000060020000}"/>
    <hyperlink ref="J1513" r:id="rId610" xr:uid="{00000000-0004-0000-0000-000061020000}"/>
    <hyperlink ref="J1514" r:id="rId611" xr:uid="{00000000-0004-0000-0000-000062020000}"/>
    <hyperlink ref="J1515" r:id="rId612" xr:uid="{00000000-0004-0000-0000-000063020000}"/>
    <hyperlink ref="J1516" r:id="rId613" xr:uid="{00000000-0004-0000-0000-000064020000}"/>
    <hyperlink ref="J1517" r:id="rId614" xr:uid="{00000000-0004-0000-0000-000065020000}"/>
    <hyperlink ref="J1518" r:id="rId615" xr:uid="{00000000-0004-0000-0000-000066020000}"/>
    <hyperlink ref="J1519" r:id="rId616" xr:uid="{00000000-0004-0000-0000-000067020000}"/>
    <hyperlink ref="J1520" r:id="rId617" xr:uid="{00000000-0004-0000-0000-000068020000}"/>
    <hyperlink ref="J1521" r:id="rId618" xr:uid="{00000000-0004-0000-0000-000069020000}"/>
    <hyperlink ref="J1522" r:id="rId619" xr:uid="{00000000-0004-0000-0000-00006A020000}"/>
    <hyperlink ref="J1523" r:id="rId620" xr:uid="{00000000-0004-0000-0000-00006B020000}"/>
    <hyperlink ref="J1524" r:id="rId621" xr:uid="{00000000-0004-0000-0000-00006C020000}"/>
    <hyperlink ref="J1525" r:id="rId622" xr:uid="{00000000-0004-0000-0000-00006D020000}"/>
    <hyperlink ref="J1526" r:id="rId623" xr:uid="{00000000-0004-0000-0000-00006E020000}"/>
    <hyperlink ref="J1527" r:id="rId624" xr:uid="{00000000-0004-0000-0000-00006F020000}"/>
    <hyperlink ref="J1528" r:id="rId625" xr:uid="{00000000-0004-0000-0000-000070020000}"/>
    <hyperlink ref="J1529" r:id="rId626" xr:uid="{00000000-0004-0000-0000-000071020000}"/>
    <hyperlink ref="J1530" r:id="rId627" xr:uid="{00000000-0004-0000-0000-000072020000}"/>
    <hyperlink ref="J1531" r:id="rId628" xr:uid="{00000000-0004-0000-0000-000073020000}"/>
    <hyperlink ref="J1532" r:id="rId629" xr:uid="{00000000-0004-0000-0000-000074020000}"/>
    <hyperlink ref="J1533" r:id="rId630" xr:uid="{00000000-0004-0000-0000-000075020000}"/>
    <hyperlink ref="J1534" r:id="rId631" xr:uid="{00000000-0004-0000-0000-000076020000}"/>
    <hyperlink ref="J1536" r:id="rId632" xr:uid="{00000000-0004-0000-0000-000077020000}"/>
    <hyperlink ref="J1537" r:id="rId633" xr:uid="{00000000-0004-0000-0000-000078020000}"/>
    <hyperlink ref="J1538" r:id="rId634" xr:uid="{00000000-0004-0000-0000-000079020000}"/>
    <hyperlink ref="J1539" r:id="rId635" xr:uid="{00000000-0004-0000-0000-00007A020000}"/>
    <hyperlink ref="J1540" r:id="rId636" xr:uid="{00000000-0004-0000-0000-00007B020000}"/>
    <hyperlink ref="J1542" r:id="rId637" xr:uid="{00000000-0004-0000-0000-00007C020000}"/>
    <hyperlink ref="J1543" r:id="rId638" xr:uid="{00000000-0004-0000-0000-00007D020000}"/>
    <hyperlink ref="J1545" r:id="rId639" xr:uid="{00000000-0004-0000-0000-00007E020000}"/>
    <hyperlink ref="J1546" r:id="rId640" xr:uid="{00000000-0004-0000-0000-00007F020000}"/>
    <hyperlink ref="J1547" r:id="rId641" xr:uid="{00000000-0004-0000-0000-000080020000}"/>
    <hyperlink ref="J1548" r:id="rId642" xr:uid="{00000000-0004-0000-0000-000081020000}"/>
    <hyperlink ref="J1549" r:id="rId643" xr:uid="{00000000-0004-0000-0000-000082020000}"/>
    <hyperlink ref="J1550" r:id="rId644" xr:uid="{00000000-0004-0000-0000-000083020000}"/>
    <hyperlink ref="J1551" r:id="rId645" xr:uid="{00000000-0004-0000-0000-000084020000}"/>
    <hyperlink ref="J1552" r:id="rId646" xr:uid="{00000000-0004-0000-0000-000085020000}"/>
    <hyperlink ref="J1553" r:id="rId647" xr:uid="{00000000-0004-0000-0000-000086020000}"/>
    <hyperlink ref="J1554" r:id="rId648" xr:uid="{00000000-0004-0000-0000-000087020000}"/>
    <hyperlink ref="J1555" r:id="rId649" xr:uid="{00000000-0004-0000-0000-000088020000}"/>
    <hyperlink ref="J1556" r:id="rId650" xr:uid="{00000000-0004-0000-0000-000089020000}"/>
    <hyperlink ref="J1557" r:id="rId651" xr:uid="{00000000-0004-0000-0000-00008A020000}"/>
    <hyperlink ref="J1558" r:id="rId652" xr:uid="{00000000-0004-0000-0000-00008B020000}"/>
    <hyperlink ref="J1559" r:id="rId653" xr:uid="{00000000-0004-0000-0000-00008C020000}"/>
    <hyperlink ref="J1560" r:id="rId654" xr:uid="{00000000-0004-0000-0000-00008D020000}"/>
    <hyperlink ref="J1561" r:id="rId655" xr:uid="{00000000-0004-0000-0000-00008E020000}"/>
    <hyperlink ref="J1562" r:id="rId656" xr:uid="{00000000-0004-0000-0000-00008F020000}"/>
    <hyperlink ref="J1563" r:id="rId657" xr:uid="{00000000-0004-0000-0000-000090020000}"/>
    <hyperlink ref="J1564" r:id="rId658" xr:uid="{00000000-0004-0000-0000-000091020000}"/>
    <hyperlink ref="J1565" r:id="rId659" xr:uid="{00000000-0004-0000-0000-000092020000}"/>
    <hyperlink ref="J1566" r:id="rId660" xr:uid="{00000000-0004-0000-0000-000093020000}"/>
    <hyperlink ref="J1567" r:id="rId661" xr:uid="{00000000-0004-0000-0000-000094020000}"/>
    <hyperlink ref="J1568" r:id="rId662" xr:uid="{00000000-0004-0000-0000-000095020000}"/>
    <hyperlink ref="J1569" r:id="rId663" xr:uid="{00000000-0004-0000-0000-000096020000}"/>
    <hyperlink ref="J1570" r:id="rId664" xr:uid="{00000000-0004-0000-0000-000097020000}"/>
    <hyperlink ref="J1571" r:id="rId665" xr:uid="{00000000-0004-0000-0000-000098020000}"/>
    <hyperlink ref="J1572" r:id="rId666" xr:uid="{00000000-0004-0000-0000-000099020000}"/>
    <hyperlink ref="J1573" r:id="rId667" xr:uid="{00000000-0004-0000-0000-00009A020000}"/>
    <hyperlink ref="J1574" r:id="rId668" xr:uid="{00000000-0004-0000-0000-00009B020000}"/>
    <hyperlink ref="J1575" r:id="rId669" xr:uid="{00000000-0004-0000-0000-00009C020000}"/>
    <hyperlink ref="J1576" r:id="rId670" xr:uid="{00000000-0004-0000-0000-00009D020000}"/>
    <hyperlink ref="J1577" r:id="rId671" xr:uid="{00000000-0004-0000-0000-00009E020000}"/>
    <hyperlink ref="J1578" r:id="rId672" xr:uid="{00000000-0004-0000-0000-00009F020000}"/>
    <hyperlink ref="J1579" r:id="rId673" xr:uid="{00000000-0004-0000-0000-0000A0020000}"/>
    <hyperlink ref="J1580" r:id="rId674" xr:uid="{00000000-0004-0000-0000-0000A1020000}"/>
    <hyperlink ref="J1581" r:id="rId675" xr:uid="{00000000-0004-0000-0000-0000A2020000}"/>
    <hyperlink ref="J1582" r:id="rId676" xr:uid="{00000000-0004-0000-0000-0000A3020000}"/>
    <hyperlink ref="J1583" r:id="rId677" xr:uid="{00000000-0004-0000-0000-0000A4020000}"/>
    <hyperlink ref="J1584" r:id="rId678" xr:uid="{00000000-0004-0000-0000-0000A5020000}"/>
    <hyperlink ref="J1585" r:id="rId679" xr:uid="{00000000-0004-0000-0000-0000A6020000}"/>
    <hyperlink ref="J1586" r:id="rId680" xr:uid="{00000000-0004-0000-0000-0000A7020000}"/>
    <hyperlink ref="J1587" r:id="rId681" xr:uid="{00000000-0004-0000-0000-0000A802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03CB875478104095B43D29B51DB9A8" ma:contentTypeVersion="16" ma:contentTypeDescription="Create a new document." ma:contentTypeScope="" ma:versionID="399d2ec30937f8dd5fcaa1e135138c76">
  <xsd:schema xmlns:xsd="http://www.w3.org/2001/XMLSchema" xmlns:xs="http://www.w3.org/2001/XMLSchema" xmlns:p="http://schemas.microsoft.com/office/2006/metadata/properties" xmlns:ns2="56f8aca8-897a-4785-9985-8038fe724b0a" xmlns:ns3="38854951-7bca-4b93-b53b-325dccf2ad6b" targetNamespace="http://schemas.microsoft.com/office/2006/metadata/properties" ma:root="true" ma:fieldsID="cb93c61f3c56b5d46ab686e11fdf618e" ns2:_="" ns3:_="">
    <xsd:import namespace="56f8aca8-897a-4785-9985-8038fe724b0a"/>
    <xsd:import namespace="38854951-7bca-4b93-b53b-325dccf2ad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8aca8-897a-4785-9985-8038fe724b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e51a649-2181-4364-9a57-d0e4599c4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54951-7bca-4b93-b53b-325dccf2ad6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3599714-5c75-4c58-be37-8c90bc338b21}" ma:internalName="TaxCatchAll" ma:showField="CatchAllData" ma:web="38854951-7bca-4b93-b53b-325dccf2ad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f8aca8-897a-4785-9985-8038fe724b0a">
      <Terms xmlns="http://schemas.microsoft.com/office/infopath/2007/PartnerControls"/>
    </lcf76f155ced4ddcb4097134ff3c332f>
    <TaxCatchAll xmlns="38854951-7bca-4b93-b53b-325dccf2ad6b" xsi:nil="true"/>
  </documentManagement>
</p:properties>
</file>

<file path=customXml/itemProps1.xml><?xml version="1.0" encoding="utf-8"?>
<ds:datastoreItem xmlns:ds="http://schemas.openxmlformats.org/officeDocument/2006/customXml" ds:itemID="{EDC15A3C-B3FC-4C51-9969-0835E33F17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f8aca8-897a-4785-9985-8038fe724b0a"/>
    <ds:schemaRef ds:uri="38854951-7bca-4b93-b53b-325dccf2ad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A55DE8-436F-4BB2-B353-CDD7171665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B8AACF-ED8A-462F-8ACE-DE3E9B564839}">
  <ds:schemaRefs>
    <ds:schemaRef ds:uri="http://schemas.microsoft.com/office/2006/metadata/properties"/>
    <ds:schemaRef ds:uri="http://schemas.microsoft.com/office/infopath/2007/PartnerControls"/>
    <ds:schemaRef ds:uri="56f8aca8-897a-4785-9985-8038fe724b0a"/>
    <ds:schemaRef ds:uri="38854951-7bca-4b93-b53b-325dccf2ad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this Tab - Merged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 Auld</cp:lastModifiedBy>
  <cp:revision/>
  <dcterms:created xsi:type="dcterms:W3CDTF">2025-10-13T21:34:22Z</dcterms:created>
  <dcterms:modified xsi:type="dcterms:W3CDTF">2026-01-03T16:57:15Z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0x0101007E03CB875478104095B43D29B51DB9A8</vt:lpwstr>
  </property>
</Properties>
</file>