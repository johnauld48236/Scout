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securityc2a.sharepoint.com/sites/BDSales/Shared Documents/Sales/Projections/2026/"/>
    </mc:Choice>
  </mc:AlternateContent>
  <xr:revisionPtr revIDLastSave="0" documentId="8_{65EEB0A3-61D0-4480-8BAD-C3284CFBCACE}" xr6:coauthVersionLast="47" xr6:coauthVersionMax="47" xr10:uidLastSave="{00000000-0000-0000-0000-000000000000}"/>
  <bookViews>
    <workbookView xWindow="0" yWindow="620" windowWidth="28800" windowHeight="15920" firstSheet="3" activeTab="3" xr2:uid="{00000000-000D-0000-FFFF-FFFF00000000}"/>
  </bookViews>
  <sheets>
    <sheet name="Pipeline" sheetId="2" r:id="rId1"/>
    <sheet name="Assumptions for Projections" sheetId="5" r:id="rId2"/>
    <sheet name="Prospects" sheetId="7" r:id="rId3"/>
    <sheet name="Account Assignments" sheetId="8" r:id="rId4"/>
  </sheets>
  <definedNames>
    <definedName name="_xlnm._FilterDatabase" localSheetId="2" hidden="1">Prospects!$A$1:$R$5495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2" l="1"/>
  <c r="K81" i="2"/>
  <c r="P81" i="2" s="1"/>
  <c r="I108" i="2"/>
  <c r="K108" i="2"/>
  <c r="P108" i="2" s="1"/>
  <c r="K42" i="2"/>
  <c r="P42" i="2" s="1"/>
  <c r="I42" i="2"/>
  <c r="K41" i="2"/>
  <c r="P41" i="2" s="1"/>
  <c r="I41" i="2"/>
  <c r="K40" i="2"/>
  <c r="P40" i="2" s="1"/>
  <c r="I40" i="2"/>
  <c r="I37" i="2"/>
  <c r="I74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19" i="2"/>
  <c r="K118" i="2"/>
  <c r="K117" i="2"/>
  <c r="K120" i="2"/>
  <c r="K141" i="2"/>
  <c r="K116" i="2"/>
  <c r="K115" i="2"/>
  <c r="P115" i="2" s="1"/>
  <c r="K114" i="2"/>
  <c r="P114" i="2" s="1"/>
  <c r="K113" i="2"/>
  <c r="K112" i="2"/>
  <c r="P112" i="2" s="1"/>
  <c r="K111" i="2"/>
  <c r="K110" i="2"/>
  <c r="K109" i="2"/>
  <c r="K107" i="2"/>
  <c r="K106" i="2"/>
  <c r="K104" i="2"/>
  <c r="K103" i="2"/>
  <c r="K142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7" i="2"/>
  <c r="K86" i="2"/>
  <c r="K85" i="2"/>
  <c r="K84" i="2"/>
  <c r="K83" i="2"/>
  <c r="K82" i="2"/>
  <c r="K80" i="2"/>
  <c r="K79" i="2"/>
  <c r="K78" i="2"/>
  <c r="K77" i="2"/>
  <c r="K76" i="2"/>
  <c r="K75" i="2"/>
  <c r="K73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88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9" i="2"/>
  <c r="K38" i="2"/>
  <c r="K36" i="2"/>
  <c r="K72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P10" i="2" s="1"/>
  <c r="K9" i="2"/>
  <c r="K8" i="2"/>
  <c r="K7" i="2"/>
  <c r="K6" i="2"/>
  <c r="K5" i="2"/>
  <c r="K4" i="2"/>
  <c r="I116" i="2"/>
  <c r="P116" i="2"/>
  <c r="I115" i="2"/>
  <c r="I114" i="2"/>
  <c r="I113" i="2"/>
  <c r="P113" i="2"/>
  <c r="I112" i="2"/>
  <c r="I10" i="2"/>
  <c r="I17" i="2"/>
  <c r="P17" i="2"/>
  <c r="I23" i="2" l="1"/>
  <c r="P23" i="2"/>
  <c r="I22" i="2"/>
  <c r="P22" i="2"/>
  <c r="I142" i="2"/>
  <c r="J142" i="2" s="1"/>
  <c r="I72" i="2"/>
  <c r="J72" i="2" s="1"/>
  <c r="I50" i="2"/>
  <c r="J50" i="2" s="1"/>
  <c r="I9" i="2"/>
  <c r="P9" i="2"/>
  <c r="I8" i="2"/>
  <c r="P8" i="2"/>
  <c r="I7" i="2"/>
  <c r="P7" i="2"/>
  <c r="I2" i="2"/>
  <c r="I3" i="2"/>
  <c r="I6" i="2"/>
  <c r="I4" i="2"/>
  <c r="I5" i="2"/>
  <c r="I13" i="2"/>
  <c r="I15" i="2"/>
  <c r="I11" i="2"/>
  <c r="I12" i="2"/>
  <c r="I14" i="2"/>
  <c r="I18" i="2"/>
  <c r="I19" i="2"/>
  <c r="I16" i="2"/>
  <c r="I20" i="2"/>
  <c r="I24" i="2"/>
  <c r="I25" i="2"/>
  <c r="I26" i="2"/>
  <c r="I27" i="2"/>
  <c r="I28" i="2"/>
  <c r="I29" i="2"/>
  <c r="I30" i="2"/>
  <c r="I32" i="2"/>
  <c r="I31" i="2"/>
  <c r="I21" i="2"/>
  <c r="I33" i="2"/>
  <c r="I34" i="2"/>
  <c r="I35" i="2"/>
  <c r="I36" i="2"/>
  <c r="I38" i="2"/>
  <c r="I45" i="2"/>
  <c r="I39" i="2"/>
  <c r="I46" i="2"/>
  <c r="I51" i="2"/>
  <c r="I52" i="2"/>
  <c r="I53" i="2"/>
  <c r="I47" i="2"/>
  <c r="I48" i="2"/>
  <c r="I60" i="2"/>
  <c r="I54" i="2"/>
  <c r="I44" i="2"/>
  <c r="I61" i="2"/>
  <c r="I55" i="2"/>
  <c r="I71" i="2"/>
  <c r="I73" i="2"/>
  <c r="I59" i="2"/>
  <c r="I62" i="2"/>
  <c r="I63" i="2"/>
  <c r="I64" i="2"/>
  <c r="I65" i="2"/>
  <c r="I88" i="2"/>
  <c r="I49" i="2"/>
  <c r="I43" i="2"/>
  <c r="I56" i="2"/>
  <c r="I66" i="2"/>
  <c r="I67" i="2"/>
  <c r="I57" i="2"/>
  <c r="I68" i="2"/>
  <c r="I58" i="2"/>
  <c r="I69" i="2"/>
  <c r="I70" i="2"/>
  <c r="I86" i="2"/>
  <c r="I102" i="2"/>
  <c r="I100" i="2"/>
  <c r="I78" i="2"/>
  <c r="I85" i="2"/>
  <c r="I101" i="2"/>
  <c r="I80" i="2"/>
  <c r="I87" i="2"/>
  <c r="I79" i="2"/>
  <c r="I104" i="2"/>
  <c r="I83" i="2"/>
  <c r="I75" i="2"/>
  <c r="I76" i="2"/>
  <c r="I77" i="2"/>
  <c r="I103" i="2"/>
  <c r="I84" i="2"/>
  <c r="I92" i="2"/>
  <c r="I82" i="2"/>
  <c r="I89" i="2"/>
  <c r="I90" i="2"/>
  <c r="I91" i="2"/>
  <c r="I95" i="2"/>
  <c r="I96" i="2"/>
  <c r="I97" i="2"/>
  <c r="I93" i="2"/>
  <c r="I94" i="2"/>
  <c r="I98" i="2"/>
  <c r="I99" i="2"/>
  <c r="I105" i="2"/>
  <c r="I107" i="2"/>
  <c r="I109" i="2"/>
  <c r="I110" i="2"/>
  <c r="I106" i="2"/>
  <c r="I119" i="2"/>
  <c r="I117" i="2"/>
  <c r="I122" i="2"/>
  <c r="I123" i="2"/>
  <c r="I124" i="2"/>
  <c r="I125" i="2"/>
  <c r="I126" i="2"/>
  <c r="I120" i="2"/>
  <c r="I127" i="2"/>
  <c r="I128" i="2"/>
  <c r="I111" i="2"/>
  <c r="I118" i="2"/>
  <c r="I141" i="2"/>
  <c r="I129" i="2"/>
  <c r="I130" i="2"/>
  <c r="I121" i="2"/>
  <c r="I131" i="2"/>
  <c r="I132" i="2"/>
  <c r="I133" i="2"/>
  <c r="I136" i="2"/>
  <c r="I137" i="2"/>
  <c r="I138" i="2"/>
  <c r="I134" i="2"/>
  <c r="I135" i="2"/>
  <c r="I139" i="2"/>
  <c r="I140" i="2"/>
  <c r="P119" i="2"/>
  <c r="P51" i="2"/>
  <c r="P125" i="2"/>
  <c r="P124" i="2"/>
  <c r="P123" i="2"/>
  <c r="P65" i="2"/>
  <c r="P62" i="2"/>
  <c r="P63" i="2"/>
  <c r="P133" i="2"/>
  <c r="P132" i="2"/>
  <c r="P131" i="2"/>
  <c r="P140" i="2"/>
  <c r="P139" i="2"/>
  <c r="P135" i="2"/>
  <c r="P134" i="2"/>
  <c r="L145" i="2"/>
  <c r="M145" i="2"/>
  <c r="P99" i="2"/>
  <c r="P98" i="2"/>
  <c r="P138" i="2"/>
  <c r="P137" i="2"/>
  <c r="P136" i="2"/>
  <c r="P95" i="2"/>
  <c r="P89" i="2"/>
  <c r="P94" i="2"/>
  <c r="P93" i="2"/>
  <c r="P97" i="2"/>
  <c r="P96" i="2"/>
  <c r="P82" i="2"/>
  <c r="P57" i="2"/>
  <c r="P27" i="2"/>
  <c r="P68" i="2"/>
  <c r="P91" i="2"/>
  <c r="P90" i="2"/>
  <c r="P67" i="2"/>
  <c r="P66" i="2"/>
  <c r="P129" i="2"/>
  <c r="P49" i="2"/>
  <c r="P84" i="2"/>
  <c r="P69" i="2"/>
  <c r="P70" i="2"/>
  <c r="P130" i="2"/>
  <c r="P61" i="2"/>
  <c r="P30" i="2"/>
  <c r="P80" i="2"/>
  <c r="P24" i="2"/>
  <c r="P45" i="2"/>
  <c r="P77" i="2"/>
  <c r="P20" i="2"/>
  <c r="P128" i="2"/>
  <c r="P4" i="2"/>
  <c r="P92" i="2"/>
  <c r="P102" i="2"/>
  <c r="P46" i="2"/>
  <c r="P39" i="2"/>
  <c r="P38" i="2"/>
  <c r="P78" i="2"/>
  <c r="P100" i="2"/>
  <c r="P5" i="2"/>
  <c r="P73" i="2"/>
  <c r="P104" i="2"/>
  <c r="P79" i="2"/>
  <c r="P21" i="2"/>
  <c r="P60" i="2"/>
  <c r="P71" i="2"/>
  <c r="P35" i="2"/>
  <c r="P83" i="2"/>
  <c r="P48" i="2"/>
  <c r="P47" i="2"/>
  <c r="P12" i="2"/>
  <c r="P11" i="2"/>
  <c r="P36" i="2"/>
  <c r="P13" i="2"/>
  <c r="K2" i="2"/>
  <c r="P33" i="2"/>
  <c r="K3" i="2"/>
  <c r="P103" i="2"/>
  <c r="P142" i="2" l="1"/>
  <c r="P72" i="2"/>
  <c r="P50" i="2"/>
  <c r="K145" i="2"/>
  <c r="P15" i="2"/>
  <c r="P29" i="2"/>
  <c r="P3" i="2"/>
  <c r="P25" i="2"/>
  <c r="P26" i="2"/>
  <c r="P28" i="2"/>
  <c r="P16" i="2"/>
  <c r="P6" i="2"/>
  <c r="P52" i="2"/>
  <c r="P34" i="2"/>
  <c r="P19" i="2"/>
  <c r="P18" i="2"/>
  <c r="P54" i="2" l="1"/>
  <c r="P53" i="2"/>
  <c r="P59" i="2"/>
  <c r="P64" i="2"/>
  <c r="P88" i="2"/>
  <c r="P120" i="2"/>
  <c r="P58" i="2"/>
  <c r="P43" i="2"/>
  <c r="P56" i="2"/>
  <c r="P121" i="2"/>
  <c r="P75" i="2"/>
  <c r="P111" i="2"/>
  <c r="P109" i="2"/>
  <c r="P107" i="2"/>
  <c r="P106" i="2"/>
  <c r="P141" i="2"/>
  <c r="P118" i="2"/>
  <c r="P122" i="2"/>
  <c r="P55" i="2"/>
  <c r="P85" i="2"/>
  <c r="P32" i="2"/>
  <c r="P101" i="2"/>
  <c r="P31" i="2" l="1"/>
  <c r="P76" i="2" l="1"/>
  <c r="P126" i="2"/>
  <c r="P14" i="2"/>
  <c r="P87" i="2" l="1"/>
  <c r="P86" i="2" l="1"/>
  <c r="P127" i="2"/>
  <c r="P110" i="2"/>
  <c r="P117" i="2"/>
  <c r="P44" i="2"/>
  <c r="P145" i="2" l="1"/>
</calcChain>
</file>

<file path=xl/sharedStrings.xml><?xml version="1.0" encoding="utf-8"?>
<sst xmlns="http://schemas.openxmlformats.org/spreadsheetml/2006/main" count="6893" uniqueCount="5608">
  <si>
    <t>Quarter to Close</t>
  </si>
  <si>
    <t>Deal Name</t>
  </si>
  <si>
    <t>Deal Owner</t>
  </si>
  <si>
    <t>Deal Type</t>
  </si>
  <si>
    <t>Deal Stage</t>
  </si>
  <si>
    <t>First Modules to be purchased (EVSec BASE is Mandatory)</t>
  </si>
  <si>
    <t>Vertical</t>
  </si>
  <si>
    <t>Region</t>
  </si>
  <si>
    <t>Auto Probability (by deal stage)</t>
  </si>
  <si>
    <t>Conservative Probability</t>
  </si>
  <si>
    <t>Total Amount</t>
  </si>
  <si>
    <t>Recurring Amount</t>
  </si>
  <si>
    <t>Non Recurring Amount</t>
  </si>
  <si>
    <t>Recurring Deal</t>
  </si>
  <si>
    <t>#</t>
  </si>
  <si>
    <t xml:space="preserve">Weighted Amount Conservative </t>
  </si>
  <si>
    <t>Expected Booking 2026</t>
  </si>
  <si>
    <t>Expected Booking 2028</t>
  </si>
  <si>
    <t>Expected Booking 2029</t>
  </si>
  <si>
    <t>Expected Booking 2030</t>
  </si>
  <si>
    <t>Expected Booking 2031</t>
  </si>
  <si>
    <t>Note</t>
  </si>
  <si>
    <t>Q1'26</t>
  </si>
  <si>
    <t>Elekta: BOM &amp; Vulnerability Management Recurring 2026</t>
  </si>
  <si>
    <t>John</t>
  </si>
  <si>
    <t>Recurring</t>
  </si>
  <si>
    <t>win</t>
  </si>
  <si>
    <t>Medical</t>
  </si>
  <si>
    <t>North America</t>
  </si>
  <si>
    <t>CNH: Renewal</t>
  </si>
  <si>
    <t>Renewal</t>
  </si>
  <si>
    <t>purchasing engaged</t>
  </si>
  <si>
    <t>EVSec Base, EVSec Analysis, EVSec Workflow Automation</t>
  </si>
  <si>
    <t>Other verticals</t>
  </si>
  <si>
    <t>IVECO: Fixed price renewal 2026</t>
  </si>
  <si>
    <t>Stephane</t>
  </si>
  <si>
    <t>EVSec Base, EVSec Analysis, EVSec BOM &amp; Vulnerability Management Management, EVSec Workflow Automation, EVSec BI, EVSec Threat Intelligence</t>
  </si>
  <si>
    <t>Automotive</t>
  </si>
  <si>
    <t>EMEA</t>
  </si>
  <si>
    <t>CNH: Upsell</t>
  </si>
  <si>
    <t>Upsell</t>
  </si>
  <si>
    <t>Compunetix: Renewal</t>
  </si>
  <si>
    <t>Nova BioMedical: Renewal</t>
  </si>
  <si>
    <t>Active Protective: Renewal</t>
  </si>
  <si>
    <t>Bayer: Renewal</t>
  </si>
  <si>
    <t>Daimler Truck: Upsell 1</t>
  </si>
  <si>
    <t>EVSec BOM &amp; Vulnerability Management Management</t>
  </si>
  <si>
    <t>Daimler Truck: Upsell 2</t>
  </si>
  <si>
    <t>EVSec Workflow Automation</t>
  </si>
  <si>
    <t>Triumph: Commercial</t>
  </si>
  <si>
    <t>New Business</t>
  </si>
  <si>
    <t>EVSec Base, EVSec Analysis</t>
  </si>
  <si>
    <t>Nissan US: Commercial</t>
  </si>
  <si>
    <t>Roy</t>
  </si>
  <si>
    <t>Polaris: PoC</t>
  </si>
  <si>
    <t>PoC</t>
  </si>
  <si>
    <t>EVSec Base, EVSec BOM &amp; Vulnerability Management</t>
  </si>
  <si>
    <t>Elekta: Upsell + Scale Support</t>
  </si>
  <si>
    <t>interested</t>
  </si>
  <si>
    <t>EVSec Binary Analysis, Reccuring Scale-up support</t>
  </si>
  <si>
    <t>Steris: PoC</t>
  </si>
  <si>
    <t>Danaher: PoC</t>
  </si>
  <si>
    <t>Cummins: Orchestration PoC (6-sigma Project)</t>
  </si>
  <si>
    <t>Elekta: Renewal</t>
  </si>
  <si>
    <t>no indication (high)</t>
  </si>
  <si>
    <t>Forvia: Accelerated CR Support Upsell</t>
  </si>
  <si>
    <t>Fuso: Pilot</t>
  </si>
  <si>
    <t>Pilot</t>
  </si>
  <si>
    <t>EVSec Base, EVSec Analysis, EVSec BOM &amp; Vulnerability Management,EVSec Workflow Automation, EVSec BI, EVSec Threat Intelligence</t>
  </si>
  <si>
    <t>APAC</t>
  </si>
  <si>
    <t>Tata:RFQ Pilot</t>
  </si>
  <si>
    <t>JLR: PoC</t>
  </si>
  <si>
    <t>EVSec Base, EVSec Analysis, EVSec BOM &amp; Vulnerability Management</t>
  </si>
  <si>
    <t>2025 Prospects Cleanup: PoC (May Mobility, Servomex, etc.)</t>
  </si>
  <si>
    <t>no indication (low)</t>
  </si>
  <si>
    <t>Medical MDM related: PoC 1 (Bracco, Hologic, Werfen, Accuray, etc.)</t>
  </si>
  <si>
    <t>Medical HDO related: PoC 1 (Mayo Clinic, etc.)</t>
  </si>
  <si>
    <t>CRA related: PoC 1 (TPLink, Aveva, SEL, Hubbell, etc.)</t>
  </si>
  <si>
    <t>LivaNova: PoC</t>
  </si>
  <si>
    <t>Marquardt: PoC</t>
  </si>
  <si>
    <t>Traton: RFI PoC</t>
  </si>
  <si>
    <t>Renault: PoC</t>
  </si>
  <si>
    <t>Maruti Suzuki: PoC</t>
  </si>
  <si>
    <t>Smith+Nephew: RFP PoC</t>
  </si>
  <si>
    <t>Volvo Group VGCS: PoC</t>
  </si>
  <si>
    <t>VW Passenger Cars: Commercial 1</t>
  </si>
  <si>
    <t>EVSec Base, EVSec BOM &amp; Vulnerability Management Management</t>
  </si>
  <si>
    <t>Q2'26</t>
  </si>
  <si>
    <t>Vinfast: Renewal</t>
  </si>
  <si>
    <t>Ferrari: Renewal</t>
  </si>
  <si>
    <t>AdaptiveEndo: Renewal</t>
  </si>
  <si>
    <t>DaTrend: Renewal</t>
  </si>
  <si>
    <t>Micropos: Renewal</t>
  </si>
  <si>
    <t>Medtronic: PoC</t>
  </si>
  <si>
    <t>Aptiv: Upsell</t>
  </si>
  <si>
    <t>Vinfast: Upsell</t>
  </si>
  <si>
    <t>Ferrari: Upsell</t>
  </si>
  <si>
    <t>Ford Otosan: BOM and Vulnerability Management Upsell</t>
  </si>
  <si>
    <t>Forvia: Upsell</t>
  </si>
  <si>
    <t>Vigilant Ops: Upsell 1</t>
  </si>
  <si>
    <t>Ree: Commercial</t>
  </si>
  <si>
    <t>Harman: Commercial</t>
  </si>
  <si>
    <t>Valeo RFQ: Commercial</t>
  </si>
  <si>
    <t>Suzuki: Commercial</t>
  </si>
  <si>
    <t>Hitachi: Resale 1</t>
  </si>
  <si>
    <t>BMW: TARA Commercial</t>
  </si>
  <si>
    <t>Medical MDM related: Commercial 1 (Bracco, Hologic, Werfen, Accuray, etc.)</t>
  </si>
  <si>
    <t>Medical HDO related: Commercial 1 (Mayo Clinic, etc.)</t>
  </si>
  <si>
    <t>CRA: Commercial 1 (TPLink, Aveva, SEL, Hubbell, etc.)</t>
  </si>
  <si>
    <t>CRA</t>
  </si>
  <si>
    <t>Volvo Cars: Pilot</t>
  </si>
  <si>
    <t>ZF Group: PoC</t>
  </si>
  <si>
    <t>Mahle: PoC</t>
  </si>
  <si>
    <t>General Motors: PoC</t>
  </si>
  <si>
    <t>Ford: PoC</t>
  </si>
  <si>
    <t>Magna: PoC</t>
  </si>
  <si>
    <t>Stellantis: PoC</t>
  </si>
  <si>
    <t>Medical MDM related: PoC 2 (Bracco, Hologic, Werfen, Accuray, etc.)</t>
  </si>
  <si>
    <t>Medical MDM related: PoC 3 (Bracco, Hologic, Werfen, Accuray, etc.)</t>
  </si>
  <si>
    <t>Medical HDO related: PoC 2 (Mayo Clinic, etc.)</t>
  </si>
  <si>
    <t>CRA related: PoC 2 (TPLink, Aveva, SEL, Hubbell, etc.)</t>
  </si>
  <si>
    <t>CRA related: PoC 3 (TPLink, Aveva, SEL, Hubbell, etc.)</t>
  </si>
  <si>
    <t>VW Passenger Cars: Commercial 2</t>
  </si>
  <si>
    <t>Volvo Group VGTT or Coretura: PoC</t>
  </si>
  <si>
    <t>Accenture: Renewal</t>
  </si>
  <si>
    <t>Q3'26</t>
  </si>
  <si>
    <t>Cummins (Accelera): Recurring 2026</t>
  </si>
  <si>
    <t>Cummins (EBU): Recurring 2026</t>
  </si>
  <si>
    <t>EVSec Base, EV</t>
  </si>
  <si>
    <t>Cummins (PCRA): Recurring 2026</t>
  </si>
  <si>
    <t>Daimler Truck: BI Module Renewal</t>
  </si>
  <si>
    <t>EVSec BI</t>
  </si>
  <si>
    <t>Ford otosan (TARA): Renewal</t>
  </si>
  <si>
    <t>JLR: TARA Commercial</t>
  </si>
  <si>
    <t>Woodward: Upsell</t>
  </si>
  <si>
    <t>Vigilant Ops: Upsell 2</t>
  </si>
  <si>
    <t>Fuso: Commercial</t>
  </si>
  <si>
    <t>Volvo Group VGCS: Commercial</t>
  </si>
  <si>
    <t>Reseller (Reply, Dassault etc.): Commercial</t>
  </si>
  <si>
    <t>Renault: Commercial</t>
  </si>
  <si>
    <t>Tata: Commercial</t>
  </si>
  <si>
    <t>Polaris: Commercial</t>
  </si>
  <si>
    <t>Medical HDO related: Commercial 2 (Mayo Clinic, etc.)</t>
  </si>
  <si>
    <t>Medical MDM related: Commercial 2 (Bracco, Hologic, Werfen, Accuray, etc.)</t>
  </si>
  <si>
    <t>Medical MDM related: Commercial 3 (Bracco, Hologic, Werfen, Accuray, etc.)</t>
  </si>
  <si>
    <t>Danaher: Commercial</t>
  </si>
  <si>
    <t>CRA related: Commercial 2 (TPLink, Aveva, SEL, Hubbell, etc.)</t>
  </si>
  <si>
    <t>CRA related: Commercial 3 (TPLink, Aveva, SEL, Hubbell, etc.)</t>
  </si>
  <si>
    <t>Medical HDO related: PoC 3 (Mayo Clinic, etc.)</t>
  </si>
  <si>
    <t>Medical MDM related: PoC 4 (Bracco, Hologic, Werfen, Accuray, etc.)</t>
  </si>
  <si>
    <t>Medical MDM related: PoC 5 (Bracco, Hologic, Werfen, Accuray, etc.)</t>
  </si>
  <si>
    <t>CRA related: PoC 4 (TPLink, Aveva, SEL, Hubbell, etc.)</t>
  </si>
  <si>
    <t>CRA related: PoC 5 (TPLink, Aveva, SEL, Hubbell, etc.)</t>
  </si>
  <si>
    <t>IVECO: Commercial</t>
  </si>
  <si>
    <t>Traton: Commercial</t>
  </si>
  <si>
    <t>Siemens Healthineers: Commercial</t>
  </si>
  <si>
    <t>Maruti Suzuki: Commercial</t>
  </si>
  <si>
    <t>Ford otosan: Upsell</t>
  </si>
  <si>
    <t>Q4'26</t>
  </si>
  <si>
    <t>Rivian VW: Recurring 2026</t>
  </si>
  <si>
    <t>Daimler Truck: Recurring 2026</t>
  </si>
  <si>
    <t>Woodward: Recurring 2026</t>
  </si>
  <si>
    <t>Aptiv TARA: Recurring 2026</t>
  </si>
  <si>
    <t>Forvia: BOM &amp; Vulnerability Management Recurring 2026</t>
  </si>
  <si>
    <t>Zynex Medical: Renewal</t>
  </si>
  <si>
    <t>Elucent: Renewal</t>
  </si>
  <si>
    <t>Helen of Troy: Renewal</t>
  </si>
  <si>
    <t>Ascensia: Renewal</t>
  </si>
  <si>
    <t>Epredia: Renewal</t>
  </si>
  <si>
    <t>Meadowgate Technologies (NIAP): Renewal</t>
  </si>
  <si>
    <t xml:space="preserve">Daimler Truck: Accelerated CR support Upsell </t>
  </si>
  <si>
    <t>Cummins: Global TARA and Additional Module Upsell</t>
  </si>
  <si>
    <t>Industrial</t>
  </si>
  <si>
    <t xml:space="preserve">Daimler Truck: Risk for IT Upsell </t>
  </si>
  <si>
    <t>Smith+Nephew: RFP Commercial</t>
  </si>
  <si>
    <t>Vigilant Ops: Upsell 3</t>
  </si>
  <si>
    <t>General Motors: Commercial</t>
  </si>
  <si>
    <t>Ford: Commercial</t>
  </si>
  <si>
    <t>Magna: Commercial</t>
  </si>
  <si>
    <t>Stellantis: Commercial</t>
  </si>
  <si>
    <t>ZF Group: Commercial</t>
  </si>
  <si>
    <t>Steris: Commercial</t>
  </si>
  <si>
    <t>Medtronic: Commercial</t>
  </si>
  <si>
    <t>Hitachi: Resale 2</t>
  </si>
  <si>
    <t>Mahle: Commercial</t>
  </si>
  <si>
    <t>NA</t>
  </si>
  <si>
    <t>Medical HDO related: Commercial 3 (Mayo Clinic, etc.)</t>
  </si>
  <si>
    <t>Medical MDM related: Commercial 4 (Bracco, Hologic, Werfen, Accuray, etc.)</t>
  </si>
  <si>
    <t>Medical MDM related: Commercial 5 (Bracco, Hologic, Werfen, Accuray, etc.)</t>
  </si>
  <si>
    <t>CRA related: Commercial 4 (TPLink, Aveva, SEL, Hubbell, etc.)</t>
  </si>
  <si>
    <t>CRA related: Commercial 5 (TPLink, Aveva, SEL, Hubbell, etc.)</t>
  </si>
  <si>
    <t>Medical HDO related: PoC 4 (Mayo Clinic, etc.)</t>
  </si>
  <si>
    <t>Medical MDM related: PoC 6 (Bracco, Hologic, Werfen, Accuray, etc.)</t>
  </si>
  <si>
    <t>Medical MDM related: PoC 7 (Bracco, Hologic, Werfen, Accuray, etc.)</t>
  </si>
  <si>
    <t>CRA related: PoC 6 (TPLink, Aveva, SEL, Hubbell, etc.)</t>
  </si>
  <si>
    <t>CRA related: PoC 7 (TPLink, Aveva, SEL, Hubbell, etc.)</t>
  </si>
  <si>
    <t>Cummins: BOM &amp; Vulnerability Management Upsell</t>
  </si>
  <si>
    <t>Volvo Group VGTT or Coretura: Commercial</t>
  </si>
  <si>
    <t>Objective/Subjective</t>
  </si>
  <si>
    <t xml:space="preserve">Meaning of percentage </t>
  </si>
  <si>
    <t>&lt;35%</t>
  </si>
  <si>
    <t>Subjective</t>
  </si>
  <si>
    <t>Depends on the progression of the deal with the prospect or customer</t>
  </si>
  <si>
    <t>Objective</t>
  </si>
  <si>
    <t>Clear indication the prospect or customer wants to move to the next step (PoC, Commerical, Upsell, etc.)</t>
  </si>
  <si>
    <t>There is a running legal agreement between C2A Security and the prospect or customer</t>
  </si>
  <si>
    <t>&gt;50%</t>
  </si>
  <si>
    <t>For 2025</t>
  </si>
  <si>
    <t>2x PoCs from other verticals per quarter</t>
  </si>
  <si>
    <t xml:space="preserve">4x PoCs from automotive per quarter </t>
  </si>
  <si>
    <t xml:space="preserve">Company name </t>
  </si>
  <si>
    <t>Revenues ($)</t>
  </si>
  <si>
    <t>Number of employees</t>
  </si>
  <si>
    <t>C2A Security target for 2025</t>
  </si>
  <si>
    <t>Cybellum customer</t>
  </si>
  <si>
    <t>Itemis customer</t>
  </si>
  <si>
    <t>Finite State customer</t>
  </si>
  <si>
    <t>Schaeffler Group</t>
  </si>
  <si>
    <t>Y</t>
  </si>
  <si>
    <t>Marelli</t>
  </si>
  <si>
    <t>Hyundai</t>
  </si>
  <si>
    <t>John Deere</t>
  </si>
  <si>
    <t>Nvidia</t>
  </si>
  <si>
    <t>JLR</t>
  </si>
  <si>
    <t>Bentley</t>
  </si>
  <si>
    <t>Lear</t>
  </si>
  <si>
    <t>Visteon</t>
  </si>
  <si>
    <t>Polaris</t>
  </si>
  <si>
    <t>Kawasaki</t>
  </si>
  <si>
    <t>Harley Davidson</t>
  </si>
  <si>
    <t>Yamaha</t>
  </si>
  <si>
    <t>Can-Am</t>
  </si>
  <si>
    <t>Lime</t>
  </si>
  <si>
    <t>Veoneer</t>
  </si>
  <si>
    <t>BYD</t>
  </si>
  <si>
    <t>Xiaomi</t>
  </si>
  <si>
    <t>Cherry</t>
  </si>
  <si>
    <t>Baidu</t>
  </si>
  <si>
    <t>Nio</t>
  </si>
  <si>
    <t>Changan</t>
  </si>
  <si>
    <t>SAIC</t>
  </si>
  <si>
    <t>Great Wall Motors</t>
  </si>
  <si>
    <t>GAC</t>
  </si>
  <si>
    <t>Dana</t>
  </si>
  <si>
    <t>Ford</t>
  </si>
  <si>
    <t>DAF</t>
  </si>
  <si>
    <t>Mobileye</t>
  </si>
  <si>
    <t>Caterpillar</t>
  </si>
  <si>
    <t>Honda</t>
  </si>
  <si>
    <t>Traton</t>
  </si>
  <si>
    <t>Mercedes</t>
  </si>
  <si>
    <t>Volvo Group VGCS</t>
  </si>
  <si>
    <t>Volvo Group VGTT</t>
  </si>
  <si>
    <t>McLaren</t>
  </si>
  <si>
    <t>Borg Warner</t>
  </si>
  <si>
    <t>Porsche</t>
  </si>
  <si>
    <t>Mando</t>
  </si>
  <si>
    <t>Magna</t>
  </si>
  <si>
    <t>GM</t>
  </si>
  <si>
    <t>Visteco</t>
  </si>
  <si>
    <t>Toyota</t>
  </si>
  <si>
    <t>Harman</t>
  </si>
  <si>
    <t>Denso</t>
  </si>
  <si>
    <t>Bendix</t>
  </si>
  <si>
    <t>Kostal</t>
  </si>
  <si>
    <t>Knorr-Bremse</t>
  </si>
  <si>
    <t>Daimler Truck</t>
  </si>
  <si>
    <t>Aptiv</t>
  </si>
  <si>
    <t>Triumph Motorcycles</t>
  </si>
  <si>
    <t>Ferrari</t>
  </si>
  <si>
    <t>Iveco</t>
  </si>
  <si>
    <t>Nissan</t>
  </si>
  <si>
    <t>Ree</t>
  </si>
  <si>
    <t>Vinfast</t>
  </si>
  <si>
    <t>CNH</t>
  </si>
  <si>
    <t>VW</t>
  </si>
  <si>
    <t>Suzuki</t>
  </si>
  <si>
    <t>Qualcomm</t>
  </si>
  <si>
    <t>ZF Group</t>
  </si>
  <si>
    <t>Tata</t>
  </si>
  <si>
    <t>Renault</t>
  </si>
  <si>
    <t>Allison Transmission</t>
  </si>
  <si>
    <t>Maruti Suzuki</t>
  </si>
  <si>
    <t>Mazda</t>
  </si>
  <si>
    <t>Forvia</t>
  </si>
  <si>
    <t>Volvo Cars</t>
  </si>
  <si>
    <t>Zeekr</t>
  </si>
  <si>
    <t>Ford Otosan</t>
  </si>
  <si>
    <t>BMW</t>
  </si>
  <si>
    <t>Valeo</t>
  </si>
  <si>
    <t>Mitsubishi</t>
  </si>
  <si>
    <t>Stellantis</t>
  </si>
  <si>
    <t>Continental</t>
  </si>
  <si>
    <t>Stadler</t>
  </si>
  <si>
    <t>Rail</t>
  </si>
  <si>
    <t>CRCC</t>
  </si>
  <si>
    <t>Hitachi</t>
  </si>
  <si>
    <t>Multi-vertical</t>
  </si>
  <si>
    <t>LG</t>
  </si>
  <si>
    <t>Servomex</t>
  </si>
  <si>
    <t>Rockwell Automation</t>
  </si>
  <si>
    <t>Emerson Electric</t>
  </si>
  <si>
    <t>Honeywell International</t>
  </si>
  <si>
    <t>Schneider Electric</t>
  </si>
  <si>
    <t>Siemens AG</t>
  </si>
  <si>
    <t>ABB Ltd.</t>
  </si>
  <si>
    <t>GE Automation &amp; Control</t>
  </si>
  <si>
    <t>Yokogawa Electric Corporation</t>
  </si>
  <si>
    <t>Omron Corporation</t>
  </si>
  <si>
    <t>Mitsubishi Electric Corporation</t>
  </si>
  <si>
    <t>Toshiba Corporation</t>
  </si>
  <si>
    <t>Keyence Corporation</t>
  </si>
  <si>
    <t>Phoenix Contact</t>
  </si>
  <si>
    <t>Weidmüller Group</t>
  </si>
  <si>
    <t>National Instruments</t>
  </si>
  <si>
    <t>Parker Hannifin Corporation</t>
  </si>
  <si>
    <t>Eaton Corporation</t>
  </si>
  <si>
    <t>Festo AG &amp; Co. KG</t>
  </si>
  <si>
    <t>Bosch Rexroth AG</t>
  </si>
  <si>
    <t>SMC Corporation</t>
  </si>
  <si>
    <t>Woodward</t>
  </si>
  <si>
    <t>Cummins</t>
  </si>
  <si>
    <t>Medtronic</t>
  </si>
  <si>
    <t>Johnson &amp; Johnson MedTech</t>
  </si>
  <si>
    <t>not available</t>
  </si>
  <si>
    <t>Siemens Healthineers</t>
  </si>
  <si>
    <t>Medline Industries</t>
  </si>
  <si>
    <t>Royal Philips</t>
  </si>
  <si>
    <t>Stryker</t>
  </si>
  <si>
    <t>GE HealthCare</t>
  </si>
  <si>
    <t>Cardinal Health (medical segment)</t>
  </si>
  <si>
    <t>Baxter</t>
  </si>
  <si>
    <t>Abbott (medical device segment)</t>
  </si>
  <si>
    <t>BD (medical and interventional segments)</t>
  </si>
  <si>
    <t>Boston Scientific</t>
  </si>
  <si>
    <t>Henry Schein</t>
  </si>
  <si>
    <t>Owens &amp; Minor</t>
  </si>
  <si>
    <t>B. Braun Melsungen</t>
  </si>
  <si>
    <t>Alcon</t>
  </si>
  <si>
    <t>3M Co. (healthcare segment)</t>
  </si>
  <si>
    <t>Fujifilm Holdings (healthcare only)</t>
  </si>
  <si>
    <t>Zimmer Biomet</t>
  </si>
  <si>
    <t>Olympus (medical business)</t>
  </si>
  <si>
    <t>Terumo</t>
  </si>
  <si>
    <t>Intuitive Surgical</t>
  </si>
  <si>
    <t>Edwards Lifesciences</t>
  </si>
  <si>
    <t>Smith+Nephew</t>
  </si>
  <si>
    <t>Steris</t>
  </si>
  <si>
    <t>Hologic</t>
  </si>
  <si>
    <t>Mindray</t>
  </si>
  <si>
    <t>Fresenius Medical Care (healthcare products)</t>
  </si>
  <si>
    <t>Dentsply Sirona</t>
  </si>
  <si>
    <t>Sonova</t>
  </si>
  <si>
    <t>Canon Medical</t>
  </si>
  <si>
    <t>Align Technology</t>
  </si>
  <si>
    <t>Hoya (life care segment)</t>
  </si>
  <si>
    <t>ResMed</t>
  </si>
  <si>
    <t>Cooper Cos.</t>
  </si>
  <si>
    <t>Nipro (medical segment)</t>
  </si>
  <si>
    <t>Coloplast</t>
  </si>
  <si>
    <t>Dexcom</t>
  </si>
  <si>
    <t>Bio-Rad</t>
  </si>
  <si>
    <t>Getinge</t>
  </si>
  <si>
    <t>Teleflex</t>
  </si>
  <si>
    <t>Demant (hearing healthcare segment)</t>
  </si>
  <si>
    <t>Envista</t>
  </si>
  <si>
    <t>Bruker</t>
  </si>
  <si>
    <t>WS Audiology</t>
  </si>
  <si>
    <t>Paul Hartmann</t>
  </si>
  <si>
    <t>ICU Medical</t>
  </si>
  <si>
    <t>Amplifon</t>
  </si>
  <si>
    <t>Straumann</t>
  </si>
  <si>
    <t>Cook Medical</t>
  </si>
  <si>
    <t>Convatec</t>
  </si>
  <si>
    <t>Masimo</t>
  </si>
  <si>
    <t>Carl Zeiss Meditec</t>
  </si>
  <si>
    <t>HU Group</t>
  </si>
  <si>
    <t>Dräger (medical division)</t>
  </si>
  <si>
    <t>FORMER!</t>
  </si>
  <si>
    <t>Elekta</t>
  </si>
  <si>
    <t>Nihon Kohden</t>
  </si>
  <si>
    <t>Enovis</t>
  </si>
  <si>
    <t>Integra Lifesciences</t>
  </si>
  <si>
    <t>Integer</t>
  </si>
  <si>
    <t>Insulet</t>
  </si>
  <si>
    <t>NuVasive</t>
  </si>
  <si>
    <t>Haemonetics</t>
  </si>
  <si>
    <t>Merit Medical Systems</t>
  </si>
  <si>
    <t>Cochlear</t>
  </si>
  <si>
    <t>Embecta</t>
  </si>
  <si>
    <t>Omron Healthcare</t>
  </si>
  <si>
    <t>Konica Minolta (healthcare segment)</t>
  </si>
  <si>
    <t>Conmed</t>
  </si>
  <si>
    <t>Fukuda Denshi</t>
  </si>
  <si>
    <t>Globus Medical</t>
  </si>
  <si>
    <t>LivaNova</t>
  </si>
  <si>
    <t>Fisher &amp; Paykel Healthcare</t>
  </si>
  <si>
    <t>Bayer</t>
  </si>
  <si>
    <t>Becton Dickinson</t>
  </si>
  <si>
    <t>ThermoFisher</t>
  </si>
  <si>
    <t>Ampliphon</t>
  </si>
  <si>
    <t>Insultet</t>
  </si>
  <si>
    <t>Varian</t>
  </si>
  <si>
    <t>Solventum</t>
  </si>
  <si>
    <t>Company name</t>
  </si>
  <si>
    <t>ICON plc</t>
  </si>
  <si>
    <t>eurofinseu.com</t>
  </si>
  <si>
    <t>SA Tallinna Lastehaigla</t>
  </si>
  <si>
    <t>Maastricht UMC+</t>
  </si>
  <si>
    <t>SNS24</t>
  </si>
  <si>
    <t>VAMED</t>
  </si>
  <si>
    <t>Z-CERT</t>
  </si>
  <si>
    <t>Regionaalhaigla</t>
  </si>
  <si>
    <t>Regeneron Pharmaceuticals</t>
  </si>
  <si>
    <t>Dragos</t>
  </si>
  <si>
    <t>Censys</t>
  </si>
  <si>
    <t>sundhedsdata.dk</t>
  </si>
  <si>
    <t>Astellas Pharma</t>
  </si>
  <si>
    <t>Genmab</t>
  </si>
  <si>
    <t>Organon</t>
  </si>
  <si>
    <t>B. Braun Group</t>
  </si>
  <si>
    <t>Deutsche Telekom</t>
  </si>
  <si>
    <t>Maasu</t>
  </si>
  <si>
    <t>emproof</t>
  </si>
  <si>
    <t>diconium</t>
  </si>
  <si>
    <t>Bureau Veritas</t>
  </si>
  <si>
    <t>Etteplan</t>
  </si>
  <si>
    <t>Hamburg University of Technology</t>
  </si>
  <si>
    <t>International Burch University</t>
  </si>
  <si>
    <t>FEV Group</t>
  </si>
  <si>
    <t>English</t>
  </si>
  <si>
    <t>Alter Solutions</t>
  </si>
  <si>
    <t>Universität Ulm</t>
  </si>
  <si>
    <t>Hochschule Karlsruhe</t>
  </si>
  <si>
    <t>IAS-LAB</t>
  </si>
  <si>
    <t>TÜV NORD</t>
  </si>
  <si>
    <t>Orhun Suezer</t>
  </si>
  <si>
    <t>ONEKEY</t>
  </si>
  <si>
    <t>PQShield</t>
  </si>
  <si>
    <t>KIT Karlsruhe</t>
  </si>
  <si>
    <t>mpi-sp.org</t>
  </si>
  <si>
    <t>Vector Informatik</t>
  </si>
  <si>
    <t>Lehrstuhl für Produktionssysteme</t>
  </si>
  <si>
    <t>Bochum Wirtschaftsentwicklung</t>
  </si>
  <si>
    <t>Bavelle Technologies</t>
  </si>
  <si>
    <t>Tuxera</t>
  </si>
  <si>
    <t>VinFast Auto</t>
  </si>
  <si>
    <t>Telenor Connexion</t>
  </si>
  <si>
    <t>darwish.es</t>
  </si>
  <si>
    <t>LX Semicon</t>
  </si>
  <si>
    <t>SMART Engineering and Development</t>
  </si>
  <si>
    <t>Melexis</t>
  </si>
  <si>
    <t>Cubic Telecom</t>
  </si>
  <si>
    <t>chubarov.pt</t>
  </si>
  <si>
    <t>Lotus Cars</t>
  </si>
  <si>
    <t>cognizant-mobility.com</t>
  </si>
  <si>
    <t>Nord CS</t>
  </si>
  <si>
    <t>GSMA</t>
  </si>
  <si>
    <t>Cyber4People</t>
  </si>
  <si>
    <t>Deloitte UK</t>
  </si>
  <si>
    <t>FPT</t>
  </si>
  <si>
    <t>Hyundai AutoEver Europe</t>
  </si>
  <si>
    <t>George Mason University</t>
  </si>
  <si>
    <t>Critical Software</t>
  </si>
  <si>
    <t>eJad</t>
  </si>
  <si>
    <t>Charter Communications</t>
  </si>
  <si>
    <t>AVCC</t>
  </si>
  <si>
    <t>CYKEN</t>
  </si>
  <si>
    <t>Vantage Power</t>
  </si>
  <si>
    <t>Appsfactory</t>
  </si>
  <si>
    <t>Astus</t>
  </si>
  <si>
    <t>cyberlifehacks.dev</t>
  </si>
  <si>
    <t>SecurityWeek</t>
  </si>
  <si>
    <t>Cerence</t>
  </si>
  <si>
    <t>Veeva Systems</t>
  </si>
  <si>
    <t>SpendMend</t>
  </si>
  <si>
    <t>Tempus</t>
  </si>
  <si>
    <t>Solera Health</t>
  </si>
  <si>
    <t>Surescripts</t>
  </si>
  <si>
    <t>Zafran Security</t>
  </si>
  <si>
    <t>Zelis</t>
  </si>
  <si>
    <t>Vigilant Ops</t>
  </si>
  <si>
    <t>Vapotherm</t>
  </si>
  <si>
    <t>Reveal Risk</t>
  </si>
  <si>
    <t>HM Health Solutions</t>
  </si>
  <si>
    <t>Inspire Sleep Apnea Innovation</t>
  </si>
  <si>
    <t>ssatpa.net</t>
  </si>
  <si>
    <t>SpecterOps</t>
  </si>
  <si>
    <t>Sternum</t>
  </si>
  <si>
    <t>QuidelOrtho</t>
  </si>
  <si>
    <t>ThreatModeler</t>
  </si>
  <si>
    <t xml:space="preserve"> @guidepointsec</t>
  </si>
  <si>
    <t>ZS</t>
  </si>
  <si>
    <t>Tidal Cyber</t>
  </si>
  <si>
    <t>Proofpoint</t>
  </si>
  <si>
    <t>University of North Carolinaat Chapel Hill</t>
  </si>
  <si>
    <t>Novo Nordisk</t>
  </si>
  <si>
    <t>Leica Biosystems</t>
  </si>
  <si>
    <t>Novartis</t>
  </si>
  <si>
    <t>Mastercard</t>
  </si>
  <si>
    <t>North Kansas City Hospital</t>
  </si>
  <si>
    <t>Redsift</t>
  </si>
  <si>
    <t>Leidos</t>
  </si>
  <si>
    <t>Security Risk Advisors</t>
  </si>
  <si>
    <t>HHS.gov</t>
  </si>
  <si>
    <t>Castle Biosciences</t>
  </si>
  <si>
    <t>MedSec</t>
  </si>
  <si>
    <t>MedCrypt</t>
  </si>
  <si>
    <t>Island</t>
  </si>
  <si>
    <t>Inogen</t>
  </si>
  <si>
    <t>Jefferson Healthcare</t>
  </si>
  <si>
    <t>Exact Sciences</t>
  </si>
  <si>
    <t>Amicus Therapeutics</t>
  </si>
  <si>
    <t>Adventist Health</t>
  </si>
  <si>
    <t>Elisity</t>
  </si>
  <si>
    <t>DigiCert,</t>
  </si>
  <si>
    <t>Eli Lilly and</t>
  </si>
  <si>
    <t>Celerium</t>
  </si>
  <si>
    <t>Fulgent Genetics</t>
  </si>
  <si>
    <t>Cranium</t>
  </si>
  <si>
    <t>Cottage Residential Ctr</t>
  </si>
  <si>
    <t>Chesapeake Regional Information System for our Patients</t>
  </si>
  <si>
    <t>athenahealth</t>
  </si>
  <si>
    <t>cetu.io</t>
  </si>
  <si>
    <t>Children's of Alabama</t>
  </si>
  <si>
    <t>City of Austin</t>
  </si>
  <si>
    <t/>
  </si>
  <si>
    <t>abstract.security</t>
  </si>
  <si>
    <t>Abnormal</t>
  </si>
  <si>
    <t>NextSilicon</t>
  </si>
  <si>
    <t>Northeastern University</t>
  </si>
  <si>
    <t>MorganFranklin Consulting</t>
  </si>
  <si>
    <t>Bracco</t>
  </si>
  <si>
    <t>Pfizer</t>
  </si>
  <si>
    <t>Merck</t>
  </si>
  <si>
    <t>Amgen</t>
  </si>
  <si>
    <t>Tribastion</t>
  </si>
  <si>
    <t>KuppingerCole</t>
  </si>
  <si>
    <t>Combient</t>
  </si>
  <si>
    <t>VOXX AUTOMOTIVE</t>
  </si>
  <si>
    <t>Lectronix</t>
  </si>
  <si>
    <t>Nachi Robotics</t>
  </si>
  <si>
    <t>Kawasaki Robotics</t>
  </si>
  <si>
    <t>FANUC</t>
  </si>
  <si>
    <t>Delphinus Medical Technologies</t>
  </si>
  <si>
    <t>Progressive Control Solutions</t>
  </si>
  <si>
    <t>Coritech Services</t>
  </si>
  <si>
    <t>NewWay Automation</t>
  </si>
  <si>
    <t>Mfg Control Systems</t>
  </si>
  <si>
    <t>ICS Integration</t>
  </si>
  <si>
    <t>Rapid Control Service</t>
  </si>
  <si>
    <t>Reasonable Security</t>
  </si>
  <si>
    <t>IBM</t>
  </si>
  <si>
    <t>dddd.com</t>
  </si>
  <si>
    <t>Perseus Group</t>
  </si>
  <si>
    <t>Thomas Jefferson University</t>
  </si>
  <si>
    <t>מחשבה טובה</t>
  </si>
  <si>
    <t>GSK</t>
  </si>
  <si>
    <t>HealthEdge</t>
  </si>
  <si>
    <t>Volkswagen Group IT Solutions</t>
  </si>
  <si>
    <t>confluenthealth.com</t>
  </si>
  <si>
    <t>St. Joseph's/Candler</t>
  </si>
  <si>
    <t>American Vision Partners</t>
  </si>
  <si>
    <t>HealthPoint</t>
  </si>
  <si>
    <t>Medcurity</t>
  </si>
  <si>
    <t>Freeman Health System</t>
  </si>
  <si>
    <t>hisc.net</t>
  </si>
  <si>
    <t>St. Jude Medical</t>
  </si>
  <si>
    <t>Hebrew SeniorLife</t>
  </si>
  <si>
    <t>Medxcel</t>
  </si>
  <si>
    <t>Fort HealthCare</t>
  </si>
  <si>
    <t>Monadnock Community Hospital</t>
  </si>
  <si>
    <t>Nuvaira</t>
  </si>
  <si>
    <t>Klamath Hospice</t>
  </si>
  <si>
    <t>Kindred Healthcare</t>
  </si>
  <si>
    <t>Dartmouth Health</t>
  </si>
  <si>
    <t>Christian Living Communities</t>
  </si>
  <si>
    <t>stlukelutherancommunity.org</t>
  </si>
  <si>
    <t>Consumer Direct Care Network</t>
  </si>
  <si>
    <t>Conviva Care Center</t>
  </si>
  <si>
    <t>ARBDA</t>
  </si>
  <si>
    <t>pinemedical.com</t>
  </si>
  <si>
    <t>Rula</t>
  </si>
  <si>
    <t>ppde.org</t>
  </si>
  <si>
    <t>Sonic Healthcare</t>
  </si>
  <si>
    <t>Prestonwood Rehab</t>
  </si>
  <si>
    <t>BetterHelp</t>
  </si>
  <si>
    <t>CarepathRx</t>
  </si>
  <si>
    <t>FYidoctors</t>
  </si>
  <si>
    <t>Ciena Healthcare</t>
  </si>
  <si>
    <t>American Counseling Association</t>
  </si>
  <si>
    <t>Quality HealthCare Medical Services Limited</t>
  </si>
  <si>
    <t>Mississippi County Hospital System</t>
  </si>
  <si>
    <t>West Tennessee Healthcare</t>
  </si>
  <si>
    <t>Altus Biologics</t>
  </si>
  <si>
    <t>CarolinaEast</t>
  </si>
  <si>
    <t>Deaconess Health System</t>
  </si>
  <si>
    <t>Lincare Holdings</t>
  </si>
  <si>
    <t>OptumRx</t>
  </si>
  <si>
    <t>Eisenhower Health</t>
  </si>
  <si>
    <t>BioHorizons</t>
  </si>
  <si>
    <t>Mind Springs Health &amp; West Springs Hospital</t>
  </si>
  <si>
    <t>VITAS Healthcare</t>
  </si>
  <si>
    <t>Shirley Ryan AbilityLab</t>
  </si>
  <si>
    <t>St. John's Community Health</t>
  </si>
  <si>
    <t>LCS</t>
  </si>
  <si>
    <t>Healthcare Leaders Group</t>
  </si>
  <si>
    <t>Brightli</t>
  </si>
  <si>
    <t>AMMC Foundation</t>
  </si>
  <si>
    <t>Summit Pacific Medical Center</t>
  </si>
  <si>
    <t>Jewish Hospital &amp; St. Mary's HealthCare</t>
  </si>
  <si>
    <t>MyEyeDr.</t>
  </si>
  <si>
    <t>Princeton Radiology</t>
  </si>
  <si>
    <t>RefleXion</t>
  </si>
  <si>
    <t>Scottish Rite for Children</t>
  </si>
  <si>
    <t>Altenheim</t>
  </si>
  <si>
    <t>Anderson Regional Health System</t>
  </si>
  <si>
    <t>Arthrex</t>
  </si>
  <si>
    <t>Catholic Health</t>
  </si>
  <si>
    <t>Vi Senior Living</t>
  </si>
  <si>
    <t>Empire Healthcare</t>
  </si>
  <si>
    <t>Care Resource Community Health Centers</t>
  </si>
  <si>
    <t>Hunt Regional Healthcare</t>
  </si>
  <si>
    <t>OODA Health</t>
  </si>
  <si>
    <t>Onvida Health</t>
  </si>
  <si>
    <t>NewBridgeMedicalCtr</t>
  </si>
  <si>
    <t>Olympus America</t>
  </si>
  <si>
    <t>FormDox</t>
  </si>
  <si>
    <t>Shriners Children's</t>
  </si>
  <si>
    <t>Children's Hospital Colorado</t>
  </si>
  <si>
    <t>Alive Hospice</t>
  </si>
  <si>
    <t>Jefferson's Ferry Life Plan Community</t>
  </si>
  <si>
    <t>Ridgeview Medical</t>
  </si>
  <si>
    <t>The Joint Commission</t>
  </si>
  <si>
    <t>Athens-Limestone Hospital</t>
  </si>
  <si>
    <t>Children's Minnesota</t>
  </si>
  <si>
    <t>The Corvallis Clinic</t>
  </si>
  <si>
    <t>Included Health</t>
  </si>
  <si>
    <t>Crouse Health</t>
  </si>
  <si>
    <t>Mohawk Valley Health System</t>
  </si>
  <si>
    <t>WellPower</t>
  </si>
  <si>
    <t>Children's Hospital of The King's Daughters</t>
  </si>
  <si>
    <t>Warwick Consulting</t>
  </si>
  <si>
    <t>OPTIM Health System</t>
  </si>
  <si>
    <t>UnityPoint Health</t>
  </si>
  <si>
    <t>Borland Groover</t>
  </si>
  <si>
    <t>Huntington Health</t>
  </si>
  <si>
    <t>Pediatrix Medical Group</t>
  </si>
  <si>
    <t>Capsule</t>
  </si>
  <si>
    <t>Main Street Health</t>
  </si>
  <si>
    <t>Maury Regional Health</t>
  </si>
  <si>
    <t>Mission Health</t>
  </si>
  <si>
    <t>Evernorth Health,</t>
  </si>
  <si>
    <t>HealthPartners,</t>
  </si>
  <si>
    <t>M2 Information Systems</t>
  </si>
  <si>
    <t>Moses Weitzman Health System</t>
  </si>
  <si>
    <t>Bellin Health</t>
  </si>
  <si>
    <t>NMS Labs</t>
  </si>
  <si>
    <t>Careforth</t>
  </si>
  <si>
    <t>BAYSIDE COMMUNITY HOSPITAL</t>
  </si>
  <si>
    <t>Opelousas General Health System</t>
  </si>
  <si>
    <t>Essentia Health</t>
  </si>
  <si>
    <t>Compass Cancer Center</t>
  </si>
  <si>
    <t>Ayden Healthcare</t>
  </si>
  <si>
    <t>CooperSurgical</t>
  </si>
  <si>
    <t>New Directions</t>
  </si>
  <si>
    <t>BAYADA Home Health Care</t>
  </si>
  <si>
    <t>Alma</t>
  </si>
  <si>
    <t>Incyte</t>
  </si>
  <si>
    <t>WINFertility</t>
  </si>
  <si>
    <t>Holland Hospital</t>
  </si>
  <si>
    <t>Atlas Healthcare Partners</t>
  </si>
  <si>
    <t>Kaleida Health</t>
  </si>
  <si>
    <t>Lawrence General Hospital</t>
  </si>
  <si>
    <t>Confluence Health</t>
  </si>
  <si>
    <t>Hospice &amp; Palliative Care Buffalo</t>
  </si>
  <si>
    <t>MLK Community Healthcare</t>
  </si>
  <si>
    <t>Ob Hospitalist Group</t>
  </si>
  <si>
    <t>Leidos QTC</t>
  </si>
  <si>
    <t>Regional One Health</t>
  </si>
  <si>
    <t>Sante Health System</t>
  </si>
  <si>
    <t>Kingman Regional Medical Center</t>
  </si>
  <si>
    <t>myLaurel</t>
  </si>
  <si>
    <t>Hardin Memorial Health</t>
  </si>
  <si>
    <t>Gifford Medical Center</t>
  </si>
  <si>
    <t>Paragon Healthcare</t>
  </si>
  <si>
    <t>Orleans Community Health</t>
  </si>
  <si>
    <t>Shimadzu Medical Systems USA</t>
  </si>
  <si>
    <t>United Physicians</t>
  </si>
  <si>
    <t>Glidewell</t>
  </si>
  <si>
    <t>Door County Medical Center</t>
  </si>
  <si>
    <t>Clarest</t>
  </si>
  <si>
    <t>Ann &amp; Robert H. Lurie Children's Hospital of Chicago</t>
  </si>
  <si>
    <t>Velosity</t>
  </si>
  <si>
    <t>The Queen's Health System</t>
  </si>
  <si>
    <t>Pagosa Springs Medical Center</t>
  </si>
  <si>
    <t>Beckman Coulter</t>
  </si>
  <si>
    <t>Northwell Health</t>
  </si>
  <si>
    <t>Mary Lanning Healthcare</t>
  </si>
  <si>
    <t>ECMC</t>
  </si>
  <si>
    <t>CAN Community Health</t>
  </si>
  <si>
    <t>AAPC</t>
  </si>
  <si>
    <t>Varex Imaging</t>
  </si>
  <si>
    <t>Preventive Measures</t>
  </si>
  <si>
    <t>VCU Health</t>
  </si>
  <si>
    <t>Fresenius</t>
  </si>
  <si>
    <t>Fresenius Medical Care</t>
  </si>
  <si>
    <t>IBA</t>
  </si>
  <si>
    <t>New England Baptist Hospital</t>
  </si>
  <si>
    <t>Community Health Center,</t>
  </si>
  <si>
    <t>MedRisk</t>
  </si>
  <si>
    <t>EyeCare Partners</t>
  </si>
  <si>
    <t>mdscollects.com</t>
  </si>
  <si>
    <t>Tallahassee Memorial HealthCare</t>
  </si>
  <si>
    <t>Beth Israel Lahey Health</t>
  </si>
  <si>
    <t>Cedars-Sinai</t>
  </si>
  <si>
    <t>Gila River Health Care</t>
  </si>
  <si>
    <t>Engenious Design</t>
  </si>
  <si>
    <t>Tecomet</t>
  </si>
  <si>
    <t>Gentiva</t>
  </si>
  <si>
    <t>Revele</t>
  </si>
  <si>
    <t>Duke Health</t>
  </si>
  <si>
    <t>University Hospitals</t>
  </si>
  <si>
    <t>Grady Health</t>
  </si>
  <si>
    <t>LCMC Health</t>
  </si>
  <si>
    <t>University of Maryland Medical System</t>
  </si>
  <si>
    <t>Ro</t>
  </si>
  <si>
    <t>SafetyCall International</t>
  </si>
  <si>
    <t>Peer Outreach for Prevention</t>
  </si>
  <si>
    <t>Sift Healthcare</t>
  </si>
  <si>
    <t>Wellpath</t>
  </si>
  <si>
    <t>Skagit Regional Health</t>
  </si>
  <si>
    <t>Element Care</t>
  </si>
  <si>
    <t>St. John's Riverside Hospital</t>
  </si>
  <si>
    <t>Premier Health</t>
  </si>
  <si>
    <t>LHC Group</t>
  </si>
  <si>
    <t>UCare</t>
  </si>
  <si>
    <t>Brightline</t>
  </si>
  <si>
    <t>VirtualHealth</t>
  </si>
  <si>
    <t>BioReference Laboratories</t>
  </si>
  <si>
    <t>AppliedVR</t>
  </si>
  <si>
    <t>Beth Israel Deaconess Medical Center</t>
  </si>
  <si>
    <t>Henry Meds</t>
  </si>
  <si>
    <t>decaturmemorialhospital.net</t>
  </si>
  <si>
    <t>Direction Home Aging and Disabilities</t>
  </si>
  <si>
    <t>Kootenai Health</t>
  </si>
  <si>
    <t>Asian Pacific Health Care Venture</t>
  </si>
  <si>
    <t>Lehigh Valley Health Network</t>
  </si>
  <si>
    <t>Connecticut Children's</t>
  </si>
  <si>
    <t>siParadigm Diagnostic Informatics</t>
  </si>
  <si>
    <t>Roswell Park Comprehensive Cancer Center</t>
  </si>
  <si>
    <t>The Kendal</t>
  </si>
  <si>
    <t>Mon Health</t>
  </si>
  <si>
    <t>US Anesthesia Partners</t>
  </si>
  <si>
    <t>Parkland Health</t>
  </si>
  <si>
    <t>AdventHealth</t>
  </si>
  <si>
    <t>Ceribell</t>
  </si>
  <si>
    <t>Health Care Logistics</t>
  </si>
  <si>
    <t>Transcarent</t>
  </si>
  <si>
    <t>Health &amp; Hospital Corporation of Marion County</t>
  </si>
  <si>
    <t>Marketlab</t>
  </si>
  <si>
    <t>Woman's Hospital</t>
  </si>
  <si>
    <t>Capital Rx</t>
  </si>
  <si>
    <t>Integrated Home Care Services</t>
  </si>
  <si>
    <t>Regency Integrated Health Services</t>
  </si>
  <si>
    <t>Craig Hospital</t>
  </si>
  <si>
    <t>Valley Health</t>
  </si>
  <si>
    <t>Terumo Medical</t>
  </si>
  <si>
    <t>Epiphany Dermatology</t>
  </si>
  <si>
    <t>Curative</t>
  </si>
  <si>
    <t>Mass General Brigham</t>
  </si>
  <si>
    <t>Franciscan Alliance</t>
  </si>
  <si>
    <t>Community Healthcare System</t>
  </si>
  <si>
    <t>Burrell Behavioral Health</t>
  </si>
  <si>
    <t>Springfield Clinic</t>
  </si>
  <si>
    <t>Franciscan Missionaries of Our Lady Health System</t>
  </si>
  <si>
    <t>Group Health Cooperative of South Central Wisconsin</t>
  </si>
  <si>
    <t>Watertown Regional Medical Center</t>
  </si>
  <si>
    <t>Aphora HealthTM</t>
  </si>
  <si>
    <t>Baystate Health</t>
  </si>
  <si>
    <t>TeamHealth</t>
  </si>
  <si>
    <t>ARUP Laboratories</t>
  </si>
  <si>
    <t>Bakersfield Family Medical Center</t>
  </si>
  <si>
    <t>BrightSpring Health Services</t>
  </si>
  <si>
    <t>TruBridge</t>
  </si>
  <si>
    <t>TriWest Healthcare Alliance</t>
  </si>
  <si>
    <t>Mental Health &amp; Addiction Association of Oregon</t>
  </si>
  <si>
    <t>Gibson Area Hospital &amp; Health Services</t>
  </si>
  <si>
    <t>City of Hope</t>
  </si>
  <si>
    <t>Centura Health</t>
  </si>
  <si>
    <t>The Polyclinic</t>
  </si>
  <si>
    <t>Penn State Health</t>
  </si>
  <si>
    <t>Mend</t>
  </si>
  <si>
    <t>Gritman Medical Center</t>
  </si>
  <si>
    <t>Analogic</t>
  </si>
  <si>
    <t>Hoag</t>
  </si>
  <si>
    <t>Resurgens Orthopaedics</t>
  </si>
  <si>
    <t>LEON Medical Centers</t>
  </si>
  <si>
    <t>AmerisourceBergen</t>
  </si>
  <si>
    <t>Pieces</t>
  </si>
  <si>
    <t>Mercy</t>
  </si>
  <si>
    <t>CalOptima</t>
  </si>
  <si>
    <t>King's Daughters Medical Center</t>
  </si>
  <si>
    <t>AHCCCS</t>
  </si>
  <si>
    <t>naviHealth</t>
  </si>
  <si>
    <t>GuideStar Eldercare</t>
  </si>
  <si>
    <t>Waymark</t>
  </si>
  <si>
    <t>R1 RCM</t>
  </si>
  <si>
    <t>Mt. Washington Pediatric Hospital</t>
  </si>
  <si>
    <t>CoxHealth</t>
  </si>
  <si>
    <t>Nice Healthcare</t>
  </si>
  <si>
    <t>Upstate Medical University</t>
  </si>
  <si>
    <t>Aveanna</t>
  </si>
  <si>
    <t>Care Initiatives</t>
  </si>
  <si>
    <t>Skytron</t>
  </si>
  <si>
    <t>Acadian Ambulance</t>
  </si>
  <si>
    <t>Urban Health Plan</t>
  </si>
  <si>
    <t>Intermountain Health</t>
  </si>
  <si>
    <t>McAlester Regional Health Center</t>
  </si>
  <si>
    <t>Norton Healthcare</t>
  </si>
  <si>
    <t>Columbus Regional Health</t>
  </si>
  <si>
    <t>AdaptHealth</t>
  </si>
  <si>
    <t>Mosaic Life Care</t>
  </si>
  <si>
    <t>MetroPlusHealth</t>
  </si>
  <si>
    <t>Roper St. Francis Healthcare</t>
  </si>
  <si>
    <t>Clara Martin Center</t>
  </si>
  <si>
    <t>Northern Arizona Healthcare</t>
  </si>
  <si>
    <t>Memorial Regional Health</t>
  </si>
  <si>
    <t>McKesson</t>
  </si>
  <si>
    <t>Medical Eye Center</t>
  </si>
  <si>
    <t>Virginia Mason Franciscan Health</t>
  </si>
  <si>
    <t>Health Care District of Palm Beach County</t>
  </si>
  <si>
    <t>MD Anderson Cancer Center</t>
  </si>
  <si>
    <t>Central Maine Healthcare</t>
  </si>
  <si>
    <t>Cano Health</t>
  </si>
  <si>
    <t>The Cigna Group</t>
  </si>
  <si>
    <t>Frost-Arnett</t>
  </si>
  <si>
    <t>Harvard Pilgrim Health Care</t>
  </si>
  <si>
    <t>DaVita</t>
  </si>
  <si>
    <t>Regional West Medical Center</t>
  </si>
  <si>
    <t>Fujifilm Sonosite</t>
  </si>
  <si>
    <t>Sonic Healthcare USA</t>
  </si>
  <si>
    <t>Navitus</t>
  </si>
  <si>
    <t>Central Ohio Primary Care</t>
  </si>
  <si>
    <t>Memorial Sloan Kettering Cancer Center</t>
  </si>
  <si>
    <t>AmeriPath</t>
  </si>
  <si>
    <t>American Addiction Centers</t>
  </si>
  <si>
    <t>Vatica Health</t>
  </si>
  <si>
    <t>Specialized Dental Partners</t>
  </si>
  <si>
    <t>UroPartners</t>
  </si>
  <si>
    <t>Allina Health</t>
  </si>
  <si>
    <t>AdvancedMedTech</t>
  </si>
  <si>
    <t>CaroMont Health</t>
  </si>
  <si>
    <t>Community Health Net</t>
  </si>
  <si>
    <t>Crossover Health</t>
  </si>
  <si>
    <t>Aspen Dental</t>
  </si>
  <si>
    <t>ABA Centers of America</t>
  </si>
  <si>
    <t>Pyx Health</t>
  </si>
  <si>
    <t>Enloe Medical Center</t>
  </si>
  <si>
    <t>The Everett Clinic</t>
  </si>
  <si>
    <t>NewYork-Presbyterian Hospital</t>
  </si>
  <si>
    <t>Sunset Health</t>
  </si>
  <si>
    <t>MHA</t>
  </si>
  <si>
    <t>Excelera Health</t>
  </si>
  <si>
    <t>Illinois CancerCare</t>
  </si>
  <si>
    <t>Spire Orthopedic Partners</t>
  </si>
  <si>
    <t>StoneGate Senior Living</t>
  </si>
  <si>
    <t>Arkansas Children's</t>
  </si>
  <si>
    <t>Cone Health</t>
  </si>
  <si>
    <t>Privia Health</t>
  </si>
  <si>
    <t>Stamford Health</t>
  </si>
  <si>
    <t>University Health Care System</t>
  </si>
  <si>
    <t>Institute on Aging</t>
  </si>
  <si>
    <t>Hawaii Health Systems</t>
  </si>
  <si>
    <t>AIDA Healthcare</t>
  </si>
  <si>
    <t>Covenant Physician Partners</t>
  </si>
  <si>
    <t>Meadows Behavioral Healthcare</t>
  </si>
  <si>
    <t>Cadwell</t>
  </si>
  <si>
    <t>MTM,</t>
  </si>
  <si>
    <t>Counseling Service of Addison County</t>
  </si>
  <si>
    <t>Performance Health</t>
  </si>
  <si>
    <t>Gonzaba Medical Group</t>
  </si>
  <si>
    <t>Loring Hospital</t>
  </si>
  <si>
    <t>Benevis</t>
  </si>
  <si>
    <t>Wayside Youth &amp; Family Support Network</t>
  </si>
  <si>
    <t>Guardian Pharmacy</t>
  </si>
  <si>
    <t>ECU Health</t>
  </si>
  <si>
    <t>SolutionHealth</t>
  </si>
  <si>
    <t>Maui Medical Group</t>
  </si>
  <si>
    <t>Centra Health</t>
  </si>
  <si>
    <t>Advanced Bionics</t>
  </si>
  <si>
    <t>Lumeris</t>
  </si>
  <si>
    <t>U.S. Renal Care</t>
  </si>
  <si>
    <t>LA Care Provider</t>
  </si>
  <si>
    <t>Ria Health</t>
  </si>
  <si>
    <t>Spacelabs Healthcare</t>
  </si>
  <si>
    <t>Millennium Physician Group</t>
  </si>
  <si>
    <t>Ensign Services</t>
  </si>
  <si>
    <t>OhioHealth</t>
  </si>
  <si>
    <t>NeuroLogica</t>
  </si>
  <si>
    <t>Intraprise Health</t>
  </si>
  <si>
    <t>Children's Health</t>
  </si>
  <si>
    <t>Podimetrics</t>
  </si>
  <si>
    <t>Montage Health</t>
  </si>
  <si>
    <t>Logistics Health Incorporated</t>
  </si>
  <si>
    <t>Synapse Health</t>
  </si>
  <si>
    <t>MRO</t>
  </si>
  <si>
    <t>L.A. Care Health Plan</t>
  </si>
  <si>
    <t>Select Medical</t>
  </si>
  <si>
    <t>Petaluma Health Center</t>
  </si>
  <si>
    <t>Laureate Medical Group</t>
  </si>
  <si>
    <t>Workit Health</t>
  </si>
  <si>
    <t>RWJBarnabas Health</t>
  </si>
  <si>
    <t>Advocate Health Care</t>
  </si>
  <si>
    <t>The Christ Hospital Health Network</t>
  </si>
  <si>
    <t>ENT and Allergy Associates of Florida</t>
  </si>
  <si>
    <t>Mount Sinai Medical Center</t>
  </si>
  <si>
    <t>SEARHC</t>
  </si>
  <si>
    <t>Crothall Healthcare</t>
  </si>
  <si>
    <t>PHC4</t>
  </si>
  <si>
    <t>MemorialCare</t>
  </si>
  <si>
    <t>CooperVision</t>
  </si>
  <si>
    <t>The Alliance</t>
  </si>
  <si>
    <t>UAB Medicine</t>
  </si>
  <si>
    <t>Traditions Management</t>
  </si>
  <si>
    <t>WakeMed</t>
  </si>
  <si>
    <t>Liberty HealthShare</t>
  </si>
  <si>
    <t>cencora.com</t>
  </si>
  <si>
    <t>RiverSpring Living</t>
  </si>
  <si>
    <t>MBI Health Services</t>
  </si>
  <si>
    <t>Eskenazi Health</t>
  </si>
  <si>
    <t>MU Health Care</t>
  </si>
  <si>
    <t>Trividia Health</t>
  </si>
  <si>
    <t>Redlands Community Hospital</t>
  </si>
  <si>
    <t>HPSM</t>
  </si>
  <si>
    <t>RVO Health</t>
  </si>
  <si>
    <t>NaphCare</t>
  </si>
  <si>
    <t>DentaQuest</t>
  </si>
  <si>
    <t>Rady Children's Hospital-San Diego</t>
  </si>
  <si>
    <t>Direct Supply</t>
  </si>
  <si>
    <t>Pine Rest</t>
  </si>
  <si>
    <t>HEALTHeLINK</t>
  </si>
  <si>
    <t>Summa Health</t>
  </si>
  <si>
    <t>Carthage Area Hospital</t>
  </si>
  <si>
    <t>UPMC</t>
  </si>
  <si>
    <t>Fortrea</t>
  </si>
  <si>
    <t>Medical Center Health System</t>
  </si>
  <si>
    <t>MetroWest Medical Center</t>
  </si>
  <si>
    <t>Houston Methodist</t>
  </si>
  <si>
    <t>Physicians Revenue Group</t>
  </si>
  <si>
    <t>Nextern</t>
  </si>
  <si>
    <t>Presbyterian Homes &amp; Services</t>
  </si>
  <si>
    <t>Harrland Healthcare</t>
  </si>
  <si>
    <t>Grow Therapy</t>
  </si>
  <si>
    <t>Valley Medical Center</t>
  </si>
  <si>
    <t>Sentara Healthcare</t>
  </si>
  <si>
    <t>University Medical Center of El Paso</t>
  </si>
  <si>
    <t>InnovAge</t>
  </si>
  <si>
    <t>K Health</t>
  </si>
  <si>
    <t>Vizient</t>
  </si>
  <si>
    <t>CHI</t>
  </si>
  <si>
    <t>Military Health System</t>
  </si>
  <si>
    <t>University of Colorado Medicine</t>
  </si>
  <si>
    <t>Cook Children's</t>
  </si>
  <si>
    <t>Trilogy Health Services</t>
  </si>
  <si>
    <t>Rehabilitation Hospital of the Pacific</t>
  </si>
  <si>
    <t>Centene</t>
  </si>
  <si>
    <t>Mercy Health</t>
  </si>
  <si>
    <t>Memorial Healthcare System</t>
  </si>
  <si>
    <t>Mayo Clinic</t>
  </si>
  <si>
    <t>Austin Regional Clinic</t>
  </si>
  <si>
    <t>Excelsior Wellness</t>
  </si>
  <si>
    <t>Birmingham Green</t>
  </si>
  <si>
    <t>Sharp HealthCare</t>
  </si>
  <si>
    <t>Nihon Kohden America</t>
  </si>
  <si>
    <t>AmeriHealth Caritas</t>
  </si>
  <si>
    <t>Centerstone</t>
  </si>
  <si>
    <t>Birdsong Hearing Benefits</t>
  </si>
  <si>
    <t>Amenity Consulting</t>
  </si>
  <si>
    <t>Genesis HealthCare</t>
  </si>
  <si>
    <t>FinThrive</t>
  </si>
  <si>
    <t>MaineHealth</t>
  </si>
  <si>
    <t>UChicago Medicine</t>
  </si>
  <si>
    <t>Med Review</t>
  </si>
  <si>
    <t>Presbyterian Medical Services</t>
  </si>
  <si>
    <t>sturdyhealth.org</t>
  </si>
  <si>
    <t>i2i Pop Health</t>
  </si>
  <si>
    <t>Cogitativo</t>
  </si>
  <si>
    <t>Gundersen Health System</t>
  </si>
  <si>
    <t>United Health Services</t>
  </si>
  <si>
    <t>Grand View Health</t>
  </si>
  <si>
    <t>Hattiesburg Clinic</t>
  </si>
  <si>
    <t>Damian Family Care Centers</t>
  </si>
  <si>
    <t>UNMH Jobs</t>
  </si>
  <si>
    <t>Rotech Healthcare</t>
  </si>
  <si>
    <t>MedRite Urgent Care</t>
  </si>
  <si>
    <t>Chapters Health System</t>
  </si>
  <si>
    <t>Aledade</t>
  </si>
  <si>
    <t>Methodist Health System</t>
  </si>
  <si>
    <t>Embark Behavioral Health</t>
  </si>
  <si>
    <t>Charlotte Eye Ear Nose &amp; Throat Associates, P.A.</t>
  </si>
  <si>
    <t>Brooks Rehabilitation</t>
  </si>
  <si>
    <t>Nebraska Methodist Health System</t>
  </si>
  <si>
    <t>Kelsey-Seybold Clinic</t>
  </si>
  <si>
    <t>Rochester Regional Health</t>
  </si>
  <si>
    <t>PBACO</t>
  </si>
  <si>
    <t>Community Care of the Lower Cape Fear</t>
  </si>
  <si>
    <t>Iredell Health System</t>
  </si>
  <si>
    <t>Allergy</t>
  </si>
  <si>
    <t>Huntsville Hospital</t>
  </si>
  <si>
    <t>ACI FederalTM</t>
  </si>
  <si>
    <t>Hamilton Community Health Network</t>
  </si>
  <si>
    <t>Tampa General Hospital</t>
  </si>
  <si>
    <t>Monogram Health</t>
  </si>
  <si>
    <t>Atrium Health</t>
  </si>
  <si>
    <t>Avalign Technologies</t>
  </si>
  <si>
    <t>Tandem Diabetes Care</t>
  </si>
  <si>
    <t>Alliance Health</t>
  </si>
  <si>
    <t>Elevance Health</t>
  </si>
  <si>
    <t>hph.care</t>
  </si>
  <si>
    <t>Revere Health</t>
  </si>
  <si>
    <t>Convey Health Solutions</t>
  </si>
  <si>
    <t>Pride Mobility Products</t>
  </si>
  <si>
    <t>Legacy Community Health</t>
  </si>
  <si>
    <t>Viant</t>
  </si>
  <si>
    <t>University Radiology</t>
  </si>
  <si>
    <t>Varian Medical Systems</t>
  </si>
  <si>
    <t>LSU Health Sciences Center</t>
  </si>
  <si>
    <t>Kaiser Permanente</t>
  </si>
  <si>
    <t>LifePoint Health</t>
  </si>
  <si>
    <t>TimelyCare</t>
  </si>
  <si>
    <t>Hawaii Pacific Health</t>
  </si>
  <si>
    <t>Liviniti</t>
  </si>
  <si>
    <t>Agiliti</t>
  </si>
  <si>
    <t>Sanford Health</t>
  </si>
  <si>
    <t>Nuvance Health</t>
  </si>
  <si>
    <t>TriCore Reference Laboratories</t>
  </si>
  <si>
    <t>Veradigm®</t>
  </si>
  <si>
    <t>AccentCare</t>
  </si>
  <si>
    <t>Asante</t>
  </si>
  <si>
    <t>Engineered Medical Systems</t>
  </si>
  <si>
    <t>Whitney M Young Health</t>
  </si>
  <si>
    <t>Mary Free Bed Rehabilitation Hospital</t>
  </si>
  <si>
    <t>Covenant Living Communities and Services</t>
  </si>
  <si>
    <t>UF Health</t>
  </si>
  <si>
    <t>AltaMed Health Services</t>
  </si>
  <si>
    <t>HealthPartners</t>
  </si>
  <si>
    <t>USCMC</t>
  </si>
  <si>
    <t>Yuma Regional Medical Center</t>
  </si>
  <si>
    <t>Millennia</t>
  </si>
  <si>
    <t>Pendrick Capital Partners</t>
  </si>
  <si>
    <t>Bringing Technology To You</t>
  </si>
  <si>
    <t>Highmark</t>
  </si>
  <si>
    <t>Pennsylvania Counseling Services</t>
  </si>
  <si>
    <t>Family &amp; Children's Services</t>
  </si>
  <si>
    <t>Swedish Health Services</t>
  </si>
  <si>
    <t>East Jefferson General Hospital</t>
  </si>
  <si>
    <t>United Surgical Partners International</t>
  </si>
  <si>
    <t>P3 Health Partners</t>
  </si>
  <si>
    <t>Magnolia Regional Health Center</t>
  </si>
  <si>
    <t>St. Dominic Hospital</t>
  </si>
  <si>
    <t>BayCare</t>
  </si>
  <si>
    <t>Micro Systems Technologies</t>
  </si>
  <si>
    <t>Carrum Health</t>
  </si>
  <si>
    <t>SOLVD Health</t>
  </si>
  <si>
    <t>NorthStar Anesthesia</t>
  </si>
  <si>
    <t>Tolmar</t>
  </si>
  <si>
    <t>Community Care Physicians</t>
  </si>
  <si>
    <t>Velentium</t>
  </si>
  <si>
    <t>eviCore</t>
  </si>
  <si>
    <t>Memorial Hospital of Sweetwater County</t>
  </si>
  <si>
    <t>PeaceHealth</t>
  </si>
  <si>
    <t>Appalachian Regional Healthcare</t>
  </si>
  <si>
    <t>Vibrant Emotional Health</t>
  </si>
  <si>
    <t>Hollister Incorporated</t>
  </si>
  <si>
    <t>Spring Health</t>
  </si>
  <si>
    <t>CHRISTUS Health</t>
  </si>
  <si>
    <t>Revenue Cycle Coding Strategies</t>
  </si>
  <si>
    <t>TRIMEDX</t>
  </si>
  <si>
    <t>nchie.org</t>
  </si>
  <si>
    <t>Carilion Clinic</t>
  </si>
  <si>
    <t>Wncchs</t>
  </si>
  <si>
    <t>US Med-Equip</t>
  </si>
  <si>
    <t>Karyopharm</t>
  </si>
  <si>
    <t>Ocala Eye</t>
  </si>
  <si>
    <t>Hays Medical Center</t>
  </si>
  <si>
    <t>WHOOP</t>
  </si>
  <si>
    <t>Valley Children's</t>
  </si>
  <si>
    <t>SWBehavioral&amp;Health</t>
  </si>
  <si>
    <t>Presbyterian Healthcare Services</t>
  </si>
  <si>
    <t>SIH</t>
  </si>
  <si>
    <t>Olympic Medical Center</t>
  </si>
  <si>
    <t>Xsolis</t>
  </si>
  <si>
    <t>Lingraphica</t>
  </si>
  <si>
    <t>North American Dental Group</t>
  </si>
  <si>
    <t>Life Care Centers of America</t>
  </si>
  <si>
    <t>Lakeland Regional Health</t>
  </si>
  <si>
    <t>Telemynd</t>
  </si>
  <si>
    <t>OU Health</t>
  </si>
  <si>
    <t>One Medical</t>
  </si>
  <si>
    <t>Innovative Life Healthcare</t>
  </si>
  <si>
    <t>Penobscot Community Health Care</t>
  </si>
  <si>
    <t>Creyos</t>
  </si>
  <si>
    <t>Canary Speech</t>
  </si>
  <si>
    <t>Accuray</t>
  </si>
  <si>
    <t>Novocure</t>
  </si>
  <si>
    <t>Sciensus</t>
  </si>
  <si>
    <t>Parkview Health</t>
  </si>
  <si>
    <t>Touchette Regional Hospital</t>
  </si>
  <si>
    <t>Concordia Lutheran Ministries</t>
  </si>
  <si>
    <t>Elucid</t>
  </si>
  <si>
    <t>Western Washington Medical Group</t>
  </si>
  <si>
    <t>CenterWell Home Health</t>
  </si>
  <si>
    <t>Bracco Medical Technologies</t>
  </si>
  <si>
    <t>Advanced Radiology Services</t>
  </si>
  <si>
    <t>Texas Medicaid &amp; Healthcare Partnership</t>
  </si>
  <si>
    <t>Arbor Lodge State Historical Park</t>
  </si>
  <si>
    <t>Legacy Healthcare</t>
  </si>
  <si>
    <t>AllerVie Health</t>
  </si>
  <si>
    <t>Avive Solutions</t>
  </si>
  <si>
    <t>Baptist Health</t>
  </si>
  <si>
    <t>KinwellHealth</t>
  </si>
  <si>
    <t>Mortenson Dental Partners</t>
  </si>
  <si>
    <t>Bluegrass Care Navigators</t>
  </si>
  <si>
    <t>A Place for Mom</t>
  </si>
  <si>
    <t>McLeod Health</t>
  </si>
  <si>
    <t>Ascension</t>
  </si>
  <si>
    <t>Premier Health Services</t>
  </si>
  <si>
    <t>Precision Practice Management</t>
  </si>
  <si>
    <t>OncoHealth</t>
  </si>
  <si>
    <t>Methodist Healthcare</t>
  </si>
  <si>
    <t>Eisai Co.,</t>
  </si>
  <si>
    <t>Quest Diagnostics</t>
  </si>
  <si>
    <t>Nuna</t>
  </si>
  <si>
    <t>WellSpan Health</t>
  </si>
  <si>
    <t>EmergeOrtho</t>
  </si>
  <si>
    <t>agilon health</t>
  </si>
  <si>
    <t>Epic Medical Research</t>
  </si>
  <si>
    <t>Carestream</t>
  </si>
  <si>
    <t>Medcor</t>
  </si>
  <si>
    <t>St. Luke's Hospital</t>
  </si>
  <si>
    <t>AtlantiCare</t>
  </si>
  <si>
    <t>Anderson Hospital</t>
  </si>
  <si>
    <t>IHI: Institute for Healthcare Improvement</t>
  </si>
  <si>
    <t>East Tennessee Children's Hospital</t>
  </si>
  <si>
    <t>CentraCare</t>
  </si>
  <si>
    <t>Rightway</t>
  </si>
  <si>
    <t>Patient First</t>
  </si>
  <si>
    <t>Visiting Angels</t>
  </si>
  <si>
    <t>Memorial Hermann</t>
  </si>
  <si>
    <t>Helio Health</t>
  </si>
  <si>
    <t>Concord Hospital Health System</t>
  </si>
  <si>
    <t>Renovo Solutions</t>
  </si>
  <si>
    <t>Tahoe Forest Hospital</t>
  </si>
  <si>
    <t>Maxor</t>
  </si>
  <si>
    <t>CCS Medical</t>
  </si>
  <si>
    <t>First Nation Group</t>
  </si>
  <si>
    <t>Patient Funding Alternatives</t>
  </si>
  <si>
    <t>Brookdale Senior Living</t>
  </si>
  <si>
    <t>Children's National Hospital</t>
  </si>
  <si>
    <t>Corewell Health</t>
  </si>
  <si>
    <t>cookcountyhealth.net</t>
  </si>
  <si>
    <t>MPOWERHealth</t>
  </si>
  <si>
    <t>Opala</t>
  </si>
  <si>
    <t>Benco Dental</t>
  </si>
  <si>
    <t>Sonora Quest Laboratories</t>
  </si>
  <si>
    <t>Netech</t>
  </si>
  <si>
    <t>Innovista Health</t>
  </si>
  <si>
    <t>Spartanburg Regional Healthcare System</t>
  </si>
  <si>
    <t>Faith Regional Health Services</t>
  </si>
  <si>
    <t>Virtix Health</t>
  </si>
  <si>
    <t>Healthy Driven</t>
  </si>
  <si>
    <t>Northeast Georgia Health System</t>
  </si>
  <si>
    <t>MedExpress</t>
  </si>
  <si>
    <t>INSIGHTEC</t>
  </si>
  <si>
    <t>North Oaks Health System</t>
  </si>
  <si>
    <t>El Camino Health</t>
  </si>
  <si>
    <t>Kindbody</t>
  </si>
  <si>
    <t>Health Care Service</t>
  </si>
  <si>
    <t>Arietis Health</t>
  </si>
  <si>
    <t>Orthopedic Institute of Wisconsin</t>
  </si>
  <si>
    <t>Piedmont HealthCare</t>
  </si>
  <si>
    <t>CTS Transit</t>
  </si>
  <si>
    <t>United Health Centers</t>
  </si>
  <si>
    <t>Shore Heart Group</t>
  </si>
  <si>
    <t>Yale New Haven Hospital</t>
  </si>
  <si>
    <t>Mobile Vascular Physicians</t>
  </si>
  <si>
    <t>Drive DeVilbiss Healthcare</t>
  </si>
  <si>
    <t>UTHealth</t>
  </si>
  <si>
    <t>Accelerated Claims</t>
  </si>
  <si>
    <t>NorthShore University HealthSystem</t>
  </si>
  <si>
    <t>Denver Health</t>
  </si>
  <si>
    <t>Children's Mercy Kansas City</t>
  </si>
  <si>
    <t>Saint Luke's Health System</t>
  </si>
  <si>
    <t>Mercy Medical Center</t>
  </si>
  <si>
    <t>VillageMD</t>
  </si>
  <si>
    <t>Valley Cities</t>
  </si>
  <si>
    <t>Genesis HealthCare System</t>
  </si>
  <si>
    <t>Werfen</t>
  </si>
  <si>
    <t>Oceans Healthcare</t>
  </si>
  <si>
    <t>Dentrust Optimized Care Solutions</t>
  </si>
  <si>
    <t>Dialysis Clinic</t>
  </si>
  <si>
    <t>UnilogicHC</t>
  </si>
  <si>
    <t>SSM Health</t>
  </si>
  <si>
    <t>AORN</t>
  </si>
  <si>
    <t>Swisslog Healthcare</t>
  </si>
  <si>
    <t>Akron Children's Hospital</t>
  </si>
  <si>
    <t>Nebraska Medicine</t>
  </si>
  <si>
    <t>Surmodics</t>
  </si>
  <si>
    <t>UnitedHealthcare</t>
  </si>
  <si>
    <t>Cutera</t>
  </si>
  <si>
    <t>Arkansas Heart Hospital</t>
  </si>
  <si>
    <t>Heartland Dental</t>
  </si>
  <si>
    <t>Fairview Health Services</t>
  </si>
  <si>
    <t>MedImpact</t>
  </si>
  <si>
    <t>UnitedHealth Group</t>
  </si>
  <si>
    <t>SendaRide</t>
  </si>
  <si>
    <t>Lima Memorial Health System</t>
  </si>
  <si>
    <t>BeneLynk</t>
  </si>
  <si>
    <t>Baylor Scott &amp; White Health</t>
  </si>
  <si>
    <t>Johnson &amp; Johnson</t>
  </si>
  <si>
    <t>Vitality</t>
  </si>
  <si>
    <t>CDL Nuclear Technologies</t>
  </si>
  <si>
    <t>Revecore</t>
  </si>
  <si>
    <t>Sanitas</t>
  </si>
  <si>
    <t>Envision Healthcare</t>
  </si>
  <si>
    <t>Personal-Touch Home Care</t>
  </si>
  <si>
    <t>This Week Health</t>
  </si>
  <si>
    <t>Heywood Hospital</t>
  </si>
  <si>
    <t>Medit</t>
  </si>
  <si>
    <t>Homethrive</t>
  </si>
  <si>
    <t>Renown Health</t>
  </si>
  <si>
    <t>Danaher</t>
  </si>
  <si>
    <t>NRC Health</t>
  </si>
  <si>
    <t>Aspen Valley Hospital</t>
  </si>
  <si>
    <t>UofL Health</t>
  </si>
  <si>
    <t>Forrest General Hospital</t>
  </si>
  <si>
    <t>Kaweah Health</t>
  </si>
  <si>
    <t>InfuSystem,</t>
  </si>
  <si>
    <t>Meritus Health</t>
  </si>
  <si>
    <t>Hendrick Health</t>
  </si>
  <si>
    <t>Metrocare Services</t>
  </si>
  <si>
    <t>Samaritan Healthcare</t>
  </si>
  <si>
    <t>Harbor Health</t>
  </si>
  <si>
    <t>CommonSpirit Health</t>
  </si>
  <si>
    <t>Select Data</t>
  </si>
  <si>
    <t>Our Blood Institute</t>
  </si>
  <si>
    <t>The Centers for Advanced Orthopaedics</t>
  </si>
  <si>
    <t>Atlantic Health System</t>
  </si>
  <si>
    <t>Concentra</t>
  </si>
  <si>
    <t>Longevity Health Plan</t>
  </si>
  <si>
    <t>Rogers Behavioral Health</t>
  </si>
  <si>
    <t>ABCM</t>
  </si>
  <si>
    <t>Gerald L. Ignace Indian Health Center,</t>
  </si>
  <si>
    <t>Fred Hutchinson Cancer Center</t>
  </si>
  <si>
    <t>Medical University of South Carolina</t>
  </si>
  <si>
    <t>Parallon</t>
  </si>
  <si>
    <t>Endeavor Health</t>
  </si>
  <si>
    <t>Dignity Health</t>
  </si>
  <si>
    <t>HCA Healthcare</t>
  </si>
  <si>
    <t>The Harris Center</t>
  </si>
  <si>
    <t>AbleTo</t>
  </si>
  <si>
    <t>Terumo BCT</t>
  </si>
  <si>
    <t>Taiho Oncology</t>
  </si>
  <si>
    <t>Dean McGee Eye Institute</t>
  </si>
  <si>
    <t>Nascentia Health</t>
  </si>
  <si>
    <t>Teladoc Health</t>
  </si>
  <si>
    <t>SHL Medical</t>
  </si>
  <si>
    <t>Adena Health System</t>
  </si>
  <si>
    <t>Centauri Health Solutions</t>
  </si>
  <si>
    <t>Complete Care Management</t>
  </si>
  <si>
    <t>UCHealth</t>
  </si>
  <si>
    <t>Southwest Transplant Alliance</t>
  </si>
  <si>
    <t>ThedaCare</t>
  </si>
  <si>
    <t>Marshfield Clinic</t>
  </si>
  <si>
    <t>The Family Institute</t>
  </si>
  <si>
    <t>Tenet Healthcare</t>
  </si>
  <si>
    <t>Utah Cancer Specialists</t>
  </si>
  <si>
    <t>Premier</t>
  </si>
  <si>
    <t>Signature Performance,</t>
  </si>
  <si>
    <t>South Shore Health</t>
  </si>
  <si>
    <t>Munson Healthcare</t>
  </si>
  <si>
    <t>IPA</t>
  </si>
  <si>
    <t>Lee Health</t>
  </si>
  <si>
    <t>Nomi Health</t>
  </si>
  <si>
    <t>Piedmont</t>
  </si>
  <si>
    <t>Cadence,</t>
  </si>
  <si>
    <t>Lutheran Social Ministries of Maryland</t>
  </si>
  <si>
    <t>GHX</t>
  </si>
  <si>
    <t>Midland Memorial Hospital</t>
  </si>
  <si>
    <t>GoHealth Urgent Care</t>
  </si>
  <si>
    <t>ImagineSoftware</t>
  </si>
  <si>
    <t>Talkiatry</t>
  </si>
  <si>
    <t>CGH Medical Center</t>
  </si>
  <si>
    <t>First Health Advisory</t>
  </si>
  <si>
    <t>Vitalant</t>
  </si>
  <si>
    <t>AltaPointe Health</t>
  </si>
  <si>
    <t>National Dentex Labs</t>
  </si>
  <si>
    <t>Penn Medicine Princeton Health</t>
  </si>
  <si>
    <t>Temple Health</t>
  </si>
  <si>
    <t>Community Health Systems</t>
  </si>
  <si>
    <t>Altarum</t>
  </si>
  <si>
    <t>Orlando Health</t>
  </si>
  <si>
    <t>Annuity Health</t>
  </si>
  <si>
    <t>Heading Health</t>
  </si>
  <si>
    <t>Patterson Companies</t>
  </si>
  <si>
    <t>Colorado Access</t>
  </si>
  <si>
    <t>serbinconsulting.com</t>
  </si>
  <si>
    <t>South County Health</t>
  </si>
  <si>
    <t>SHERLOQ Solutions</t>
  </si>
  <si>
    <t>Truepill</t>
  </si>
  <si>
    <t>KARL STORZ</t>
  </si>
  <si>
    <t>MDLIVE</t>
  </si>
  <si>
    <t>CVS Health</t>
  </si>
  <si>
    <t>CB Richard Ellis</t>
  </si>
  <si>
    <t>Ultradent Products</t>
  </si>
  <si>
    <t>Medasource</t>
  </si>
  <si>
    <t>Cigna</t>
  </si>
  <si>
    <t>Golden Valley Health Centers</t>
  </si>
  <si>
    <t>Palomar Health</t>
  </si>
  <si>
    <t>Chase County Community Hospital &amp; Clinics</t>
  </si>
  <si>
    <t>Greater Good Health</t>
  </si>
  <si>
    <t>Cleveland Clinic</t>
  </si>
  <si>
    <t>B. Braun Medical</t>
  </si>
  <si>
    <t>Spiras Health</t>
  </si>
  <si>
    <t>St. Luke's Duluth</t>
  </si>
  <si>
    <t>Transtreme</t>
  </si>
  <si>
    <t>BATTLE MOUNTAIN GENERAL HOSPITAL</t>
  </si>
  <si>
    <t>Aquity</t>
  </si>
  <si>
    <t>Progyny</t>
  </si>
  <si>
    <t>Accumen</t>
  </si>
  <si>
    <t>Cherokee Indian Hospital Authority</t>
  </si>
  <si>
    <t>IllumiCare</t>
  </si>
  <si>
    <t>Argon Medical</t>
  </si>
  <si>
    <t>NYU Langone Health</t>
  </si>
  <si>
    <t>Stanford Health Care</t>
  </si>
  <si>
    <t>Acadia Healthcare</t>
  </si>
  <si>
    <t>Insight</t>
  </si>
  <si>
    <t>AIDS Healthcare Foundation</t>
  </si>
  <si>
    <t>South Central Behavioral Services</t>
  </si>
  <si>
    <t>Partners In Health</t>
  </si>
  <si>
    <t>Delaware Valley Community Health</t>
  </si>
  <si>
    <t>Valleywise Health</t>
  </si>
  <si>
    <t>NeuroStar</t>
  </si>
  <si>
    <t>Parker Health Group</t>
  </si>
  <si>
    <t>Charlie Health</t>
  </si>
  <si>
    <t>Stars Behavioral Health Group</t>
  </si>
  <si>
    <t>TidalHealth</t>
  </si>
  <si>
    <t>Ballad Health</t>
  </si>
  <si>
    <t>3DR Labs</t>
  </si>
  <si>
    <t>NeuroPace</t>
  </si>
  <si>
    <t>Adirondack Health Institute</t>
  </si>
  <si>
    <t>Talkspace</t>
  </si>
  <si>
    <t>Erlanger Health System</t>
  </si>
  <si>
    <t>St. Mary's Kids</t>
  </si>
  <si>
    <t>Smile Brands</t>
  </si>
  <si>
    <t>Stratus</t>
  </si>
  <si>
    <t>Skygen</t>
  </si>
  <si>
    <t>Seattle Children's</t>
  </si>
  <si>
    <t>Teva Pharmaceutical Industries</t>
  </si>
  <si>
    <t>Martin's Point Health Care</t>
  </si>
  <si>
    <t>TherapyNotes</t>
  </si>
  <si>
    <t>The Living Legacy Foundation of Maryland</t>
  </si>
  <si>
    <t>CPH</t>
  </si>
  <si>
    <t>Exactech</t>
  </si>
  <si>
    <t>Vail Health</t>
  </si>
  <si>
    <t>Primary Health Solutions</t>
  </si>
  <si>
    <t>International SOS</t>
  </si>
  <si>
    <t>ICL</t>
  </si>
  <si>
    <t>Community Care Partners</t>
  </si>
  <si>
    <t>CliniSync</t>
  </si>
  <si>
    <t>DocGo</t>
  </si>
  <si>
    <t>Outcomes.com</t>
  </si>
  <si>
    <t>Salud Family Health Centers</t>
  </si>
  <si>
    <t>Hyperfine</t>
  </si>
  <si>
    <t>Treace Medical Concepts,</t>
  </si>
  <si>
    <t>ChristianaCare</t>
  </si>
  <si>
    <t>Welldoc</t>
  </si>
  <si>
    <t>Takeda</t>
  </si>
  <si>
    <t>Crusader Community Health</t>
  </si>
  <si>
    <t>OHSU</t>
  </si>
  <si>
    <t>Vertava Health</t>
  </si>
  <si>
    <t>Rush University Medical Center</t>
  </si>
  <si>
    <t>MDVIP</t>
  </si>
  <si>
    <t>Loyal Source</t>
  </si>
  <si>
    <t>Jupiter Medical Center</t>
  </si>
  <si>
    <t>MedPOINT Management</t>
  </si>
  <si>
    <t>Baxter International</t>
  </si>
  <si>
    <t>Innovacare Health</t>
  </si>
  <si>
    <t>Express Scripts Holding</t>
  </si>
  <si>
    <t>Apex Health</t>
  </si>
  <si>
    <t>Modern Health</t>
  </si>
  <si>
    <t>CareCentrix</t>
  </si>
  <si>
    <t>Family Practice of Grand Island</t>
  </si>
  <si>
    <t>NeuroFlow</t>
  </si>
  <si>
    <t>Unity Health</t>
  </si>
  <si>
    <t>iCAD</t>
  </si>
  <si>
    <t>The Urology Group</t>
  </si>
  <si>
    <t>Glaukos</t>
  </si>
  <si>
    <t>Lake Charles Memorial Health System</t>
  </si>
  <si>
    <t>Jackson Healthcare</t>
  </si>
  <si>
    <t>Moffitt</t>
  </si>
  <si>
    <t>UST HealthProof</t>
  </si>
  <si>
    <t>Ethos Veterinary Health</t>
  </si>
  <si>
    <t>Avanos</t>
  </si>
  <si>
    <t>OrthoVirginia</t>
  </si>
  <si>
    <t>Geisinger</t>
  </si>
  <si>
    <t>EnableComp</t>
  </si>
  <si>
    <t>Santiam Hospital</t>
  </si>
  <si>
    <t>Aultman Hospital</t>
  </si>
  <si>
    <t>Spencer Hospital</t>
  </si>
  <si>
    <t>Hendricks Regional Health</t>
  </si>
  <si>
    <t>VHCHealth</t>
  </si>
  <si>
    <t>BlueNovo</t>
  </si>
  <si>
    <t>Sage Dental</t>
  </si>
  <si>
    <t>Cambridge Health Alliance</t>
  </si>
  <si>
    <t>LifeBridge Health</t>
  </si>
  <si>
    <t>SI-BONE</t>
  </si>
  <si>
    <t>Virtua Health</t>
  </si>
  <si>
    <t>Nemours</t>
  </si>
  <si>
    <t>GPHA</t>
  </si>
  <si>
    <t>American Hospital Association</t>
  </si>
  <si>
    <t>Otsuka</t>
  </si>
  <si>
    <t>Infirmary Health</t>
  </si>
  <si>
    <t>eHealth Technologies</t>
  </si>
  <si>
    <t>Priority Ambulance</t>
  </si>
  <si>
    <t>Newark Memorial High School</t>
  </si>
  <si>
    <t>Indian Health Service</t>
  </si>
  <si>
    <t>Socially Determined</t>
  </si>
  <si>
    <t>Ohio Hospital Association</t>
  </si>
  <si>
    <t>CCRM Fertility</t>
  </si>
  <si>
    <t>Hattie Larlham</t>
  </si>
  <si>
    <t>Immanuel</t>
  </si>
  <si>
    <t>Inari Medical</t>
  </si>
  <si>
    <t>Ovation Healthcare</t>
  </si>
  <si>
    <t>GiAlliance</t>
  </si>
  <si>
    <t>Mountain Area Health Education Center</t>
  </si>
  <si>
    <t>Daniels Health</t>
  </si>
  <si>
    <t>Inova Health</t>
  </si>
  <si>
    <t>Northwestern Medicine</t>
  </si>
  <si>
    <t>McLaren Health Care</t>
  </si>
  <si>
    <t>Adagio Health</t>
  </si>
  <si>
    <t>Genesee Health System</t>
  </si>
  <si>
    <t>Independent Living Systems</t>
  </si>
  <si>
    <t>Airrosti</t>
  </si>
  <si>
    <t>St. Paul's Senior Services</t>
  </si>
  <si>
    <t>Uintah Basin Medical Center</t>
  </si>
  <si>
    <t>Helix</t>
  </si>
  <si>
    <t>Aspirus Health</t>
  </si>
  <si>
    <t>Amwell</t>
  </si>
  <si>
    <t>Owensboro Health</t>
  </si>
  <si>
    <t>Cadia Healthcare</t>
  </si>
  <si>
    <t>Willamette Dental Group</t>
  </si>
  <si>
    <t>Savista</t>
  </si>
  <si>
    <t>Surgical Notes</t>
  </si>
  <si>
    <t>Optum</t>
  </si>
  <si>
    <t>Stanford Children's Health - Lucile Packard Children's Hospital Stanford</t>
  </si>
  <si>
    <t>New Vista KY</t>
  </si>
  <si>
    <t>Evergreen Treatment Services</t>
  </si>
  <si>
    <t>Willis-Knighton Health System</t>
  </si>
  <si>
    <t>Health Alliance Plan</t>
  </si>
  <si>
    <t>Ochsner Health</t>
  </si>
  <si>
    <t>Saint Francis Healthcare System</t>
  </si>
  <si>
    <t>WellBe Senior Medical</t>
  </si>
  <si>
    <t>Lori's Gifts</t>
  </si>
  <si>
    <t>ICU Medical,</t>
  </si>
  <si>
    <t>Retractable Technologies</t>
  </si>
  <si>
    <t>Molina Healthcare</t>
  </si>
  <si>
    <t>MultiCare Health System</t>
  </si>
  <si>
    <t>Trilogy</t>
  </si>
  <si>
    <t>ZOLL</t>
  </si>
  <si>
    <t>Neurovative Diagnostics</t>
  </si>
  <si>
    <t>Monument Health</t>
  </si>
  <si>
    <t>Femwell Group Health</t>
  </si>
  <si>
    <t>Covenant Health</t>
  </si>
  <si>
    <t>Elara Caring</t>
  </si>
  <si>
    <t>College of American Pathologists</t>
  </si>
  <si>
    <t>iRhythm Technologies</t>
  </si>
  <si>
    <t>RadNet</t>
  </si>
  <si>
    <t>Lantheus</t>
  </si>
  <si>
    <t>The University of Kansas Health System</t>
  </si>
  <si>
    <t>MCRA</t>
  </si>
  <si>
    <t>Avalon Healthcare Solutions</t>
  </si>
  <si>
    <t>Beacon Healthcare Systems</t>
  </si>
  <si>
    <t>Hennepin County Medical Center</t>
  </si>
  <si>
    <t>Allucent</t>
  </si>
  <si>
    <t>Trinity Health</t>
  </si>
  <si>
    <t>ATI Physical Therapy</t>
  </si>
  <si>
    <t>Healthfirst</t>
  </si>
  <si>
    <t>Reliant Rehabilitation</t>
  </si>
  <si>
    <t>QSM</t>
  </si>
  <si>
    <t>Ensemble Health Partners</t>
  </si>
  <si>
    <t>Abbott Laboratories</t>
  </si>
  <si>
    <t>Marathon Health</t>
  </si>
  <si>
    <t>GBMC HealthCare - Greater Baltimore Medical Center</t>
  </si>
  <si>
    <t>Smith &amp; Nephew</t>
  </si>
  <si>
    <t>Guthrie</t>
  </si>
  <si>
    <t>Community Memorial Hospital</t>
  </si>
  <si>
    <t>Private Health Management</t>
  </si>
  <si>
    <t>Intuitive</t>
  </si>
  <si>
    <t>Steward Health Care</t>
  </si>
  <si>
    <t>WVU Medicine</t>
  </si>
  <si>
    <t>Madisonhealth</t>
  </si>
  <si>
    <t>HonorHealth</t>
  </si>
  <si>
    <t>Navvis</t>
  </si>
  <si>
    <t>New York Cancer Specialists</t>
  </si>
  <si>
    <t>Northern Valley Indian Health</t>
  </si>
  <si>
    <t>Nationwide Children's Hospital</t>
  </si>
  <si>
    <t>SwedishAmerican</t>
  </si>
  <si>
    <t>Hospital Council of Northwest Ohio</t>
  </si>
  <si>
    <t>Sterigenics</t>
  </si>
  <si>
    <t>EmpowerMe Wellness</t>
  </si>
  <si>
    <t>Central Oregon Pediatric Associates</t>
  </si>
  <si>
    <t>Silver Cross Hospital</t>
  </si>
  <si>
    <t>Sanofi</t>
  </si>
  <si>
    <t>Med-Metrix</t>
  </si>
  <si>
    <t>Florida Cancer Specialists &amp; Research Institute</t>
  </si>
  <si>
    <t>Applied Medical GYN</t>
  </si>
  <si>
    <t>HistoSonics</t>
  </si>
  <si>
    <t>Beverly Hospital</t>
  </si>
  <si>
    <t>Montefiore Nyack</t>
  </si>
  <si>
    <t>Dayton Children's Hospital</t>
  </si>
  <si>
    <t>National Seating &amp; Mobility</t>
  </si>
  <si>
    <t>Campbell Clinic Orthopaedics</t>
  </si>
  <si>
    <t>Westminster Canterbury Richmond</t>
  </si>
  <si>
    <t>Contessa Health</t>
  </si>
  <si>
    <t>RxSight</t>
  </si>
  <si>
    <t>Midmark</t>
  </si>
  <si>
    <t>Amedisys</t>
  </si>
  <si>
    <t>Manifest MedEx</t>
  </si>
  <si>
    <t>AiRCare Health</t>
  </si>
  <si>
    <t>RochesterRHIO</t>
  </si>
  <si>
    <t>PHP Healthy Community</t>
  </si>
  <si>
    <t>Masonicare</t>
  </si>
  <si>
    <t>WelbeHealth</t>
  </si>
  <si>
    <t>BJC HealthCare</t>
  </si>
  <si>
    <t>New Hanover Regional Medical Center</t>
  </si>
  <si>
    <t>Ohio's Hospice</t>
  </si>
  <si>
    <t>1-800 Contacts</t>
  </si>
  <si>
    <t>Texas Health Resources</t>
  </si>
  <si>
    <t>Sunrise Treatment Center</t>
  </si>
  <si>
    <t>Advantum Health</t>
  </si>
  <si>
    <t>Novant Health</t>
  </si>
  <si>
    <t>Westchester Medical Center</t>
  </si>
  <si>
    <t>Alivia Analytics</t>
  </si>
  <si>
    <t>The University of Vermont Health Network</t>
  </si>
  <si>
    <t>Lifestance</t>
  </si>
  <si>
    <t>Modivcare</t>
  </si>
  <si>
    <t>Atrium Health Wake Forest Baptist</t>
  </si>
  <si>
    <t>University Medical Center of Southern Nevada</t>
  </si>
  <si>
    <t>Surgery Partners</t>
  </si>
  <si>
    <t>4DMedical</t>
  </si>
  <si>
    <t>DCH Health System</t>
  </si>
  <si>
    <t>HarmonyCares</t>
  </si>
  <si>
    <t>Black River Memorial Hospital</t>
  </si>
  <si>
    <t>IQVIA Holdings,</t>
  </si>
  <si>
    <t>Integra Partners</t>
  </si>
  <si>
    <t>Bioventus</t>
  </si>
  <si>
    <t>Uprise Health</t>
  </si>
  <si>
    <t>Vista Del Mar Senior</t>
  </si>
  <si>
    <t>Broadstep</t>
  </si>
  <si>
    <t>Lifespan Webteam</t>
  </si>
  <si>
    <t>Mindful Support Services</t>
  </si>
  <si>
    <t>Magellan Health</t>
  </si>
  <si>
    <t>IU Health</t>
  </si>
  <si>
    <t>Health Choice Network</t>
  </si>
  <si>
    <t>TIDI Products</t>
  </si>
  <si>
    <t>Marshall Medical Center</t>
  </si>
  <si>
    <t>Vibra Healthcare</t>
  </si>
  <si>
    <t>ViTel Net</t>
  </si>
  <si>
    <t>ChenMed</t>
  </si>
  <si>
    <t>Wilmington Health</t>
  </si>
  <si>
    <t>Broward Health</t>
  </si>
  <si>
    <t>MedAcuity</t>
  </si>
  <si>
    <t>Solventum Oy, Matti Lehtomäki</t>
  </si>
  <si>
    <t>Evolent</t>
  </si>
  <si>
    <t>Annexus Health</t>
  </si>
  <si>
    <t>AbbVie</t>
  </si>
  <si>
    <t>Psychiatric Medical Care</t>
  </si>
  <si>
    <t>LMH Health</t>
  </si>
  <si>
    <t>WorkCare</t>
  </si>
  <si>
    <t>Schneck Medical Center</t>
  </si>
  <si>
    <t>Tanner Health System</t>
  </si>
  <si>
    <t>TransMedics</t>
  </si>
  <si>
    <t>UW Health</t>
  </si>
  <si>
    <t>SocialClimb</t>
  </si>
  <si>
    <t>Children's Healthcare of Atlanta</t>
  </si>
  <si>
    <t>Englewood Health</t>
  </si>
  <si>
    <t>Sanford Guide</t>
  </si>
  <si>
    <t>One Call</t>
  </si>
  <si>
    <t>Integrated Pain Associates</t>
  </si>
  <si>
    <t>NeoGenomics</t>
  </si>
  <si>
    <t>Lab</t>
  </si>
  <si>
    <t>Alaska Native Tribal Health Consortium</t>
  </si>
  <si>
    <t>Omnicell</t>
  </si>
  <si>
    <t>Northside Hospital Atlanta</t>
  </si>
  <si>
    <t>Wellstar Health System</t>
  </si>
  <si>
    <t>Help at Home</t>
  </si>
  <si>
    <t>Texas Organ Sharing Alliance</t>
  </si>
  <si>
    <t>GigaTECH</t>
  </si>
  <si>
    <t>Stormont Vail Health</t>
  </si>
  <si>
    <t>St. Croix Hospice</t>
  </si>
  <si>
    <t>Premise Health</t>
  </si>
  <si>
    <t>Contra Costa Health Services</t>
  </si>
  <si>
    <t>UMC Health System</t>
  </si>
  <si>
    <t>Medical Properties Trust</t>
  </si>
  <si>
    <t>Registry Partners</t>
  </si>
  <si>
    <t>Associates in Nephrology</t>
  </si>
  <si>
    <t>Kittitas Valley Healthcare</t>
  </si>
  <si>
    <t>The Center for Health Care Services</t>
  </si>
  <si>
    <t>NCH Healthcare System</t>
  </si>
  <si>
    <t>Prospect Medical Holdings</t>
  </si>
  <si>
    <t>Restor3d</t>
  </si>
  <si>
    <t>Cardinal Health</t>
  </si>
  <si>
    <t>Sutter Health</t>
  </si>
  <si>
    <t>Groups Recover Together</t>
  </si>
  <si>
    <t>The MetroHealth System</t>
  </si>
  <si>
    <t>Data Innovations</t>
  </si>
  <si>
    <t>Froedtert Health</t>
  </si>
  <si>
    <t>Avera Health</t>
  </si>
  <si>
    <t>OSF HealthCare</t>
  </si>
  <si>
    <t>imail.org</t>
  </si>
  <si>
    <t>Banner Health</t>
  </si>
  <si>
    <t>Pareto Intelligence</t>
  </si>
  <si>
    <t>ProMedica</t>
  </si>
  <si>
    <t>Prime Healthcare Services</t>
  </si>
  <si>
    <t>Technical Resources International</t>
  </si>
  <si>
    <t>Mount Sinai Health System</t>
  </si>
  <si>
    <t>Digital Social Hour</t>
  </si>
  <si>
    <t>Eviden</t>
  </si>
  <si>
    <t>nobelius.info</t>
  </si>
  <si>
    <t>IMPROVE</t>
  </si>
  <si>
    <t>iThing AB</t>
  </si>
  <si>
    <t>wirlesscar.com</t>
  </si>
  <si>
    <t>asd.de</t>
  </si>
  <si>
    <t>LogicalData Solution</t>
  </si>
  <si>
    <t>Business Sweden</t>
  </si>
  <si>
    <t>digital-universe.cn</t>
  </si>
  <si>
    <t>International.com</t>
  </si>
  <si>
    <t>Allegronet</t>
  </si>
  <si>
    <t>LRQA</t>
  </si>
  <si>
    <t>nlc.co.il</t>
  </si>
  <si>
    <t>Reply S.p.A.</t>
  </si>
  <si>
    <t>Endava</t>
  </si>
  <si>
    <t>ptscreative.com</t>
  </si>
  <si>
    <t>Alias Robotics</t>
  </si>
  <si>
    <t>Destrosolutions.com</t>
  </si>
  <si>
    <t>Var Group</t>
  </si>
  <si>
    <t>ISRAIR</t>
  </si>
  <si>
    <t>Laufer Co</t>
  </si>
  <si>
    <t>RSB Global</t>
  </si>
  <si>
    <t>Hero Enterprise</t>
  </si>
  <si>
    <t>I - Design Engineering Solutions Limited</t>
  </si>
  <si>
    <t>Hl Ventures</t>
  </si>
  <si>
    <t>bulot.id.au</t>
  </si>
  <si>
    <t>Bosch Global</t>
  </si>
  <si>
    <t>Doteasy Technology</t>
  </si>
  <si>
    <t>STEER</t>
  </si>
  <si>
    <t>Softtek</t>
  </si>
  <si>
    <t>WirelessCar</t>
  </si>
  <si>
    <t>ThreatLocker</t>
  </si>
  <si>
    <t>RunSafe Security</t>
  </si>
  <si>
    <t>Coalition for Reimagined Mobility</t>
  </si>
  <si>
    <t>SafeBreach</t>
  </si>
  <si>
    <t>Splunk</t>
  </si>
  <si>
    <t>Skadden, Arps, Slate, Meagher &amp; Flom</t>
  </si>
  <si>
    <t>LFOD Integration Services</t>
  </si>
  <si>
    <t>jtekt.com</t>
  </si>
  <si>
    <t>LSU</t>
  </si>
  <si>
    <t>Kong</t>
  </si>
  <si>
    <t>Kyndryl</t>
  </si>
  <si>
    <t>Intelligent Learning Machines</t>
  </si>
  <si>
    <t>Illumio</t>
  </si>
  <si>
    <t>GitHub</t>
  </si>
  <si>
    <t>EPS Global</t>
  </si>
  <si>
    <t>Clarkson University</t>
  </si>
  <si>
    <t>Dykema</t>
  </si>
  <si>
    <t>cyphyi.com</t>
  </si>
  <si>
    <t>The NETS Group</t>
  </si>
  <si>
    <t>United States House of Representatives</t>
  </si>
  <si>
    <t>BTS Technologies</t>
  </si>
  <si>
    <t>BRP</t>
  </si>
  <si>
    <t>Automation Alley</t>
  </si>
  <si>
    <t>Arthur Ventures</t>
  </si>
  <si>
    <t>Aeris Communications</t>
  </si>
  <si>
    <t>Copyshop FFM</t>
  </si>
  <si>
    <t>Leadvent Group</t>
  </si>
  <si>
    <t>Keymotek (HongKe subsiriary)</t>
  </si>
  <si>
    <t>centroesteero.org</t>
  </si>
  <si>
    <t>Hyundai Motor Europe Technical Center</t>
  </si>
  <si>
    <t>Mercedes-AMG</t>
  </si>
  <si>
    <t>Ampere (Electric Vehicles by Greaves)</t>
  </si>
  <si>
    <t>Continental Engineering Services GmbH</t>
  </si>
  <si>
    <t>Ford Trucks International</t>
  </si>
  <si>
    <t>Robert Bosch LLC</t>
  </si>
  <si>
    <t>VinFast Deutschland</t>
  </si>
  <si>
    <t>Ampere (Renault's EV and Software Company)</t>
  </si>
  <si>
    <t>Volvo Buses</t>
  </si>
  <si>
    <t>Mercedes-Benz Research and Development India</t>
  </si>
  <si>
    <t>ac.com</t>
  </si>
  <si>
    <t>Insite Graphics</t>
  </si>
  <si>
    <t>Orcanos Software</t>
  </si>
  <si>
    <t>Web GooRu</t>
  </si>
  <si>
    <t>Enthec Solutions</t>
  </si>
  <si>
    <t>Gatik</t>
  </si>
  <si>
    <t>Kovai.co</t>
  </si>
  <si>
    <t>Lineaje</t>
  </si>
  <si>
    <t>SentinelOne</t>
  </si>
  <si>
    <t>CybelAngel</t>
  </si>
  <si>
    <t>DQS</t>
  </si>
  <si>
    <t>Cyolo</t>
  </si>
  <si>
    <t>U.S. Department of Commerce</t>
  </si>
  <si>
    <t>Caliber Collision</t>
  </si>
  <si>
    <t>aneesho.com</t>
  </si>
  <si>
    <t>ghe.co.il</t>
  </si>
  <si>
    <t>Netty Awards</t>
  </si>
  <si>
    <t>indie Semiconductor</t>
  </si>
  <si>
    <t>Eskube</t>
  </si>
  <si>
    <t>Lumax Mail</t>
  </si>
  <si>
    <t>HCLSoftware</t>
  </si>
  <si>
    <t>blackduck.com</t>
  </si>
  <si>
    <t>hlmando.com</t>
  </si>
  <si>
    <t>Noteya Innovations</t>
  </si>
  <si>
    <t>GreyB</t>
  </si>
  <si>
    <t>lastminute.co.il</t>
  </si>
  <si>
    <t>onmicrosoft.com</t>
  </si>
  <si>
    <t>Payoneer</t>
  </si>
  <si>
    <t>Whilx</t>
  </si>
  <si>
    <t>DMI</t>
  </si>
  <si>
    <t>Vimeo</t>
  </si>
  <si>
    <t>Global Market Estimates Research &amp; Consultants</t>
  </si>
  <si>
    <t>Jetson</t>
  </si>
  <si>
    <t>compredict.de</t>
  </si>
  <si>
    <t>cibt-fsg.com</t>
  </si>
  <si>
    <t>eLeapPower</t>
  </si>
  <si>
    <t>Nouryon</t>
  </si>
  <si>
    <t>Imecar</t>
  </si>
  <si>
    <t>siac-sh.com</t>
  </si>
  <si>
    <t>Shanghai Lingang Economic Development</t>
  </si>
  <si>
    <t>Gitta Lütze</t>
  </si>
  <si>
    <t>Auchan</t>
  </si>
  <si>
    <t>Vietsol</t>
  </si>
  <si>
    <t>Health-ISAC</t>
  </si>
  <si>
    <t>hpkns.io</t>
  </si>
  <si>
    <t>Torq</t>
  </si>
  <si>
    <t>guardics.com</t>
  </si>
  <si>
    <t>North Starr</t>
  </si>
  <si>
    <t>justinmontalbano.com</t>
  </si>
  <si>
    <t>esquare</t>
  </si>
  <si>
    <t>Warlows Legal</t>
  </si>
  <si>
    <t>marketingreportsnmarkets.uk</t>
  </si>
  <si>
    <t>The CIO Leaders</t>
  </si>
  <si>
    <t>NTTドコモ・ベンチャーズ</t>
  </si>
  <si>
    <t>渥美坂井法律事務所・外国法共同事業</t>
  </si>
  <si>
    <t>KDDI America</t>
  </si>
  <si>
    <t>HSBC</t>
  </si>
  <si>
    <t>New System Ventures</t>
  </si>
  <si>
    <t>Galvanize Climate Solutions</t>
  </si>
  <si>
    <t>SPARX Group</t>
  </si>
  <si>
    <t>Range Energy</t>
  </si>
  <si>
    <t>Volteras</t>
  </si>
  <si>
    <t>itsvenluto.com</t>
  </si>
  <si>
    <t>Hella K Ga A Hueck &amp; Co</t>
  </si>
  <si>
    <t>BETEX VENTURE CAPITAL</t>
  </si>
  <si>
    <t>Hunnius</t>
  </si>
  <si>
    <t>redkeyhq.com</t>
  </si>
  <si>
    <t>Perception Point</t>
  </si>
  <si>
    <t>Unstoppable</t>
  </si>
  <si>
    <t>The Silicon Leaders</t>
  </si>
  <si>
    <t>nameguard.net</t>
  </si>
  <si>
    <t>Global Tech Awards</t>
  </si>
  <si>
    <t>CLM</t>
  </si>
  <si>
    <t>VDMA</t>
  </si>
  <si>
    <t>Technische Hochschule Ingolstadt</t>
  </si>
  <si>
    <t>Secure Elements</t>
  </si>
  <si>
    <t>GlobalCom PR Network</t>
  </si>
  <si>
    <t>comunidadunir.net</t>
  </si>
  <si>
    <t>Safety Tech</t>
  </si>
  <si>
    <t>Project 3 Mobility</t>
  </si>
  <si>
    <t>Manifest</t>
  </si>
  <si>
    <t>KATECH</t>
  </si>
  <si>
    <t>Hyundai AutoEver</t>
  </si>
  <si>
    <t>INCYDE</t>
  </si>
  <si>
    <t>INCERT</t>
  </si>
  <si>
    <t>European Software Institute-Center Eastern Europe</t>
  </si>
  <si>
    <t>ENX Association</t>
  </si>
  <si>
    <t>Europa</t>
  </si>
  <si>
    <t>Dissecto</t>
  </si>
  <si>
    <t>CharIN e.V.</t>
  </si>
  <si>
    <t>Global Affairs Canada</t>
  </si>
  <si>
    <t>CetraC.io</t>
  </si>
  <si>
    <t>Bundesinstitut für Bevölkerungsforschung</t>
  </si>
  <si>
    <t>breachlabz.com</t>
  </si>
  <si>
    <t>Assure Motion</t>
  </si>
  <si>
    <t>Glydways</t>
  </si>
  <si>
    <t>Innovation Core SEI</t>
  </si>
  <si>
    <t>Star Lab</t>
  </si>
  <si>
    <t>Missouri S&amp;T</t>
  </si>
  <si>
    <t>SGS</t>
  </si>
  <si>
    <t>Tech For Fun</t>
  </si>
  <si>
    <t>Secure-IC</t>
  </si>
  <si>
    <t>Woven by Toyota</t>
  </si>
  <si>
    <t>NetSPI</t>
  </si>
  <si>
    <t>Doshisha University</t>
  </si>
  <si>
    <t>alrabady.com</t>
  </si>
  <si>
    <t>lat.ai</t>
  </si>
  <si>
    <t>Changan US R&amp;D</t>
  </si>
  <si>
    <t>FOSSA</t>
  </si>
  <si>
    <t>SecuRESafe</t>
  </si>
  <si>
    <t>securethings.com</t>
  </si>
  <si>
    <t>PHINIA</t>
  </si>
  <si>
    <t>rmotive.pl</t>
  </si>
  <si>
    <t>GKN plc</t>
  </si>
  <si>
    <t>Nippon Seiki</t>
  </si>
  <si>
    <t>GoGroup</t>
  </si>
  <si>
    <t>Inteva Products</t>
  </si>
  <si>
    <t>Bynet Electronics</t>
  </si>
  <si>
    <t>adsafesolutions</t>
  </si>
  <si>
    <t>ServiceNow</t>
  </si>
  <si>
    <t>bandel.ws</t>
  </si>
  <si>
    <t>University of York</t>
  </si>
  <si>
    <t>co-league.com</t>
  </si>
  <si>
    <t>efs-techhub.de</t>
  </si>
  <si>
    <t>modikenclosures.com</t>
  </si>
  <si>
    <t>G5 Holdings Limited</t>
  </si>
  <si>
    <t>SoftBank Capital</t>
  </si>
  <si>
    <t>SoftBank</t>
  </si>
  <si>
    <t>cywayz.co.il</t>
  </si>
  <si>
    <t>Wix.com</t>
  </si>
  <si>
    <t>CIS</t>
  </si>
  <si>
    <t>Roush Defense</t>
  </si>
  <si>
    <t>Sparx Systems</t>
  </si>
  <si>
    <t>syndicus.net</t>
  </si>
  <si>
    <t>sinoexpo.cc</t>
  </si>
  <si>
    <t>Holospital</t>
  </si>
  <si>
    <t>Akkar</t>
  </si>
  <si>
    <t>marketingsnsinsider.com</t>
  </si>
  <si>
    <t>Noodoe</t>
  </si>
  <si>
    <t>BioT Healthcare Ltd</t>
  </si>
  <si>
    <t>China International Import Expo</t>
  </si>
  <si>
    <t>Bosch Engineering</t>
  </si>
  <si>
    <t>Auxilium Pentest Labs Blog -</t>
  </si>
  <si>
    <t>Marquardt GmbH</t>
  </si>
  <si>
    <t>NTT DATA engineering systems, co.</t>
  </si>
  <si>
    <t>Securing-Cars</t>
  </si>
  <si>
    <t>NVISO</t>
  </si>
  <si>
    <t>Blurme</t>
  </si>
  <si>
    <t>PUNCH Group</t>
  </si>
  <si>
    <t>The Demo Forum</t>
  </si>
  <si>
    <t>ecvcreatevalue.com</t>
  </si>
  <si>
    <t>markus-wetzel.de</t>
  </si>
  <si>
    <t>Supernet</t>
  </si>
  <si>
    <t>Ceer National Automotive Company</t>
  </si>
  <si>
    <t>Rmotive</t>
  </si>
  <si>
    <t>SiFive, Inc.</t>
  </si>
  <si>
    <t>SysCloud Inc</t>
  </si>
  <si>
    <t>Login Infotech Pvt</t>
  </si>
  <si>
    <t>IT-Harvest</t>
  </si>
  <si>
    <t>WEX Inc</t>
  </si>
  <si>
    <t>Tim Stevens</t>
  </si>
  <si>
    <t>Acrivys - Homologation &amp; Certification Services</t>
  </si>
  <si>
    <t>Headline Media</t>
  </si>
  <si>
    <t>EdmanTV</t>
  </si>
  <si>
    <t>Cyber Defense Magazine</t>
  </si>
  <si>
    <t>Radiflow</t>
  </si>
  <si>
    <t>Kettering University</t>
  </si>
  <si>
    <t>AIS</t>
  </si>
  <si>
    <t>tlnkagency.com</t>
  </si>
  <si>
    <t>Vik</t>
  </si>
  <si>
    <t>HEY</t>
  </si>
  <si>
    <t>websitevisitr.com</t>
  </si>
  <si>
    <t>stenl.com</t>
  </si>
  <si>
    <t>Lincoln Electric Holdings Inc</t>
  </si>
  <si>
    <t>Inversion6</t>
  </si>
  <si>
    <t>INTERNATIONAL SOCIETY OF MUSLIM WOMEN IN SCIENCE</t>
  </si>
  <si>
    <t>avivfest.com</t>
  </si>
  <si>
    <t>Cybersecurity RFI</t>
  </si>
  <si>
    <t>skylla.eu</t>
  </si>
  <si>
    <t>ALIARO</t>
  </si>
  <si>
    <t>Mind Spirit Design</t>
  </si>
  <si>
    <t>wikiexpertinc.com</t>
  </si>
  <si>
    <t>AlgoSec</t>
  </si>
  <si>
    <t>TEST BASE SOLUTIONS</t>
  </si>
  <si>
    <t>SUMIT - formerly OfficeGuy</t>
  </si>
  <si>
    <t>Slack Technologies Inc</t>
  </si>
  <si>
    <t>jpv.com</t>
  </si>
  <si>
    <t>Business Region Göteborg AB</t>
  </si>
  <si>
    <t>Aspiron</t>
  </si>
  <si>
    <t>One</t>
  </si>
  <si>
    <t>RealNames</t>
  </si>
  <si>
    <t>mtrexsolutions.com</t>
  </si>
  <si>
    <t>galshan.co.il</t>
  </si>
  <si>
    <t>Dennemeyer</t>
  </si>
  <si>
    <t>Mind Space</t>
  </si>
  <si>
    <t>T E X I N S I G H T</t>
  </si>
  <si>
    <t>EasyChair</t>
  </si>
  <si>
    <t>arabianworldmagazine.com</t>
  </si>
  <si>
    <t>Yadea Tech. Group Co.</t>
  </si>
  <si>
    <t>ai4.co</t>
  </si>
  <si>
    <t>Asana</t>
  </si>
  <si>
    <t>Q_PERIOR</t>
  </si>
  <si>
    <t>N1 Agency</t>
  </si>
  <si>
    <t>michiganlsrael.com</t>
  </si>
  <si>
    <t>Meneghini &amp; Associati</t>
  </si>
  <si>
    <t>R.S.P. REBUILT SPARE PARTS</t>
  </si>
  <si>
    <t>Jerusalem Global Ventures</t>
  </si>
  <si>
    <t>pektron.co.uk</t>
  </si>
  <si>
    <t>Denis Laskov</t>
  </si>
  <si>
    <t>Infosys Limited</t>
  </si>
  <si>
    <t>ENGG</t>
  </si>
  <si>
    <t>Svenska Mässan Gothia Towers</t>
  </si>
  <si>
    <t>duodiv.com</t>
  </si>
  <si>
    <t>Speedinvest</t>
  </si>
  <si>
    <t>piba.gov.il</t>
  </si>
  <si>
    <t>HEY/HAMBURG</t>
  </si>
  <si>
    <t>European Union</t>
  </si>
  <si>
    <t>dlh.de</t>
  </si>
  <si>
    <t>hofer</t>
  </si>
  <si>
    <t>DeepKeep Ltd</t>
  </si>
  <si>
    <t>CPM Compact Power Motors GmbH</t>
  </si>
  <si>
    <t>Brisa Bridgestone Sabanci</t>
  </si>
  <si>
    <t>Zanini Auto Group</t>
  </si>
  <si>
    <t>Volkswagen Navarra</t>
  </si>
  <si>
    <t>Quality Match</t>
  </si>
  <si>
    <t>Deontic</t>
  </si>
  <si>
    <t>Secondmind</t>
  </si>
  <si>
    <t>University of Surrey</t>
  </si>
  <si>
    <t>kybeh.com</t>
  </si>
  <si>
    <t>edertek.es</t>
  </si>
  <si>
    <t>SEI Automotive Europe</t>
  </si>
  <si>
    <t>Altair Engineering</t>
  </si>
  <si>
    <t>Kolena Inc</t>
  </si>
  <si>
    <t>porshe.de</t>
  </si>
  <si>
    <t>Flex-N-Gate</t>
  </si>
  <si>
    <t>ESTECO</t>
  </si>
  <si>
    <t>Bugatti Rimac</t>
  </si>
  <si>
    <t>PROSTEP</t>
  </si>
  <si>
    <t>BugSwagger</t>
  </si>
  <si>
    <t>houlite.co.il</t>
  </si>
  <si>
    <t>iQ Hub</t>
  </si>
  <si>
    <t>ISSA-NOVA</t>
  </si>
  <si>
    <t>Cytactic</t>
  </si>
  <si>
    <t>Zendesk Inc</t>
  </si>
  <si>
    <t>Voith GmbH &amp; Co. KGaA</t>
  </si>
  <si>
    <t>Siberosfer</t>
  </si>
  <si>
    <t>RoadMedic SOS Glovebox®</t>
  </si>
  <si>
    <t>nma.eu</t>
  </si>
  <si>
    <t>Celesta Capital</t>
  </si>
  <si>
    <t>FCA Bank S.p.A.</t>
  </si>
  <si>
    <t>Assembly Ventures</t>
  </si>
  <si>
    <t>Cyber 2.0</t>
  </si>
  <si>
    <t>ByondXR</t>
  </si>
  <si>
    <t>Saccade Vision</t>
  </si>
  <si>
    <t>Toonimo</t>
  </si>
  <si>
    <t>Pickommerce</t>
  </si>
  <si>
    <t>Exitfund</t>
  </si>
  <si>
    <t>sirgent.com</t>
  </si>
  <si>
    <t>XmindStudio</t>
  </si>
  <si>
    <t>Lovedays AV</t>
  </si>
  <si>
    <t>Insight Events Sweden</t>
  </si>
  <si>
    <t>Carmel Diagnostics</t>
  </si>
  <si>
    <t>Copprint</t>
  </si>
  <si>
    <t>Sonovia</t>
  </si>
  <si>
    <t>Nanocarry</t>
  </si>
  <si>
    <t>ATLASense Biomed</t>
  </si>
  <si>
    <t>VxLabs</t>
  </si>
  <si>
    <t>gyroknight.com</t>
  </si>
  <si>
    <t>BlackBerry QNX</t>
  </si>
  <si>
    <t>Andrew Liu &amp; Co.</t>
  </si>
  <si>
    <t>CoreLogic Inc</t>
  </si>
  <si>
    <t>Monarch Tractor</t>
  </si>
  <si>
    <t>Hayatele-na</t>
  </si>
  <si>
    <t>XEON Automation</t>
  </si>
  <si>
    <t>GKN Additive</t>
  </si>
  <si>
    <t>Kernkonzept GmbH</t>
  </si>
  <si>
    <t>ess-help.com</t>
  </si>
  <si>
    <t>Tessolve</t>
  </si>
  <si>
    <t>Halo</t>
  </si>
  <si>
    <t>Kognic</t>
  </si>
  <si>
    <t>Indy Autonomous Challenge</t>
  </si>
  <si>
    <t>deepsciencex.com</t>
  </si>
  <si>
    <t>The Toro Company</t>
  </si>
  <si>
    <t>Valley Bike and Ski</t>
  </si>
  <si>
    <t>cevherinc.com</t>
  </si>
  <si>
    <t>outerspace design</t>
  </si>
  <si>
    <t>Quadrant Knowledge Solutions</t>
  </si>
  <si>
    <t>WGD Consulting</t>
  </si>
  <si>
    <t>Thorpe North &amp; Western</t>
  </si>
  <si>
    <t>Electra Vehicles</t>
  </si>
  <si>
    <t>Re:Build Manufacturing</t>
  </si>
  <si>
    <t>buildmanufacturing.com</t>
  </si>
  <si>
    <t>Kemsys Technologies</t>
  </si>
  <si>
    <t>MLiora</t>
  </si>
  <si>
    <t>on-board-usa.com</t>
  </si>
  <si>
    <t>TFactor</t>
  </si>
  <si>
    <t>SV Veranstaltungen</t>
  </si>
  <si>
    <t>Automotive IQ</t>
  </si>
  <si>
    <t>karta-print.co.il כרטיסי ביקור</t>
  </si>
  <si>
    <t>print-h.co.il</t>
  </si>
  <si>
    <t>American Automobile Association</t>
  </si>
  <si>
    <t>printiv.net</t>
  </si>
  <si>
    <t>NYFA</t>
  </si>
  <si>
    <t>ExperTeam</t>
  </si>
  <si>
    <t>andetainvestment.com</t>
  </si>
  <si>
    <t>DataBank, Inc.</t>
  </si>
  <si>
    <t>InfoObjects</t>
  </si>
  <si>
    <t>Meptagon</t>
  </si>
  <si>
    <t>Ontario Teachers' Pension Plan</t>
  </si>
  <si>
    <t>NEXTCHIP CO.</t>
  </si>
  <si>
    <t>Hochschule Karlsruhe Fakultät für Maschinenbau</t>
  </si>
  <si>
    <t>Thoughtworks Holding, Inc.</t>
  </si>
  <si>
    <t>Red Hat, Inc.</t>
  </si>
  <si>
    <t>fppnt.com</t>
  </si>
  <si>
    <t>ProvenRun</t>
  </si>
  <si>
    <t>Grape Up</t>
  </si>
  <si>
    <t>Hochschule RheinMain</t>
  </si>
  <si>
    <t>vwaycorp.com</t>
  </si>
  <si>
    <t>Cyris360</t>
  </si>
  <si>
    <t>eclipse-foundation.org</t>
  </si>
  <si>
    <t>m-i-t.de</t>
  </si>
  <si>
    <t>AOX</t>
  </si>
  <si>
    <t>alpitronic</t>
  </si>
  <si>
    <t>Insurevision.ai</t>
  </si>
  <si>
    <t>TÜV Rheinland ⬅️</t>
  </si>
  <si>
    <t>embeddedTEAM</t>
  </si>
  <si>
    <t>Megasoft Solutions</t>
  </si>
  <si>
    <t>beamconnectivity</t>
  </si>
  <si>
    <t>SCADEMY</t>
  </si>
  <si>
    <t>PCAutomotive</t>
  </si>
  <si>
    <t>huk-coburg.de</t>
  </si>
  <si>
    <t>National Cyber Security Centre</t>
  </si>
  <si>
    <t>BlueBinaries</t>
  </si>
  <si>
    <t>maruti.co.in</t>
  </si>
  <si>
    <t>Trafikverket</t>
  </si>
  <si>
    <t>dietern.be</t>
  </si>
  <si>
    <t>Alexander Dennis</t>
  </si>
  <si>
    <t>5G Automotive Association</t>
  </si>
  <si>
    <t>Doppelio</t>
  </si>
  <si>
    <t>INRIX</t>
  </si>
  <si>
    <t>Booking.com</t>
  </si>
  <si>
    <t>ACE Forum Inc.亞廣展覽股份有限公司.All rights reserved</t>
  </si>
  <si>
    <t>Key Venture</t>
  </si>
  <si>
    <t>VDC Research</t>
  </si>
  <si>
    <t>Preezma</t>
  </si>
  <si>
    <t>Zeroday Co.</t>
  </si>
  <si>
    <t>Railwai</t>
  </si>
  <si>
    <t>atlasaward.com</t>
  </si>
  <si>
    <t>Build To Hire</t>
  </si>
  <si>
    <t>THE UNIVERSITY OF UTAH</t>
  </si>
  <si>
    <t>Beta-i</t>
  </si>
  <si>
    <t>Daniel Kelley</t>
  </si>
  <si>
    <t>Druckcenter Hamburg</t>
  </si>
  <si>
    <t>trezlabs.com</t>
  </si>
  <si>
    <t>startupsprize.eu</t>
  </si>
  <si>
    <t>Asahi Broadcasting Group Holdings Corporation</t>
  </si>
  <si>
    <t>clepa.be</t>
  </si>
  <si>
    <t>Clearly</t>
  </si>
  <si>
    <t>Vapaus</t>
  </si>
  <si>
    <t>Wanda</t>
  </si>
  <si>
    <t>Enhywhere</t>
  </si>
  <si>
    <t>aboutenergy.co.uk</t>
  </si>
  <si>
    <t>Elonroad</t>
  </si>
  <si>
    <t>ME Energy - Liquid Electricity</t>
  </si>
  <si>
    <t>Slush</t>
  </si>
  <si>
    <t>Farben</t>
  </si>
  <si>
    <t>MXNavi</t>
  </si>
  <si>
    <t>Renmin University of China</t>
  </si>
  <si>
    <t>Long Beach City College</t>
  </si>
  <si>
    <t>Phoenix Contact GmbH &amp; Co. KG</t>
  </si>
  <si>
    <t>Insight Investments LLC</t>
  </si>
  <si>
    <t>Kautex Textron</t>
  </si>
  <si>
    <t>UD Trucks Corporation</t>
  </si>
  <si>
    <t>stoneridge</t>
  </si>
  <si>
    <t>Everphone Inc</t>
  </si>
  <si>
    <t>APIsec University</t>
  </si>
  <si>
    <t>comply.law</t>
  </si>
  <si>
    <t>Tenable Inc</t>
  </si>
  <si>
    <t>Zscaler, Inc.</t>
  </si>
  <si>
    <t>Armis Inc</t>
  </si>
  <si>
    <t>puvvala.me</t>
  </si>
  <si>
    <t>For.com</t>
  </si>
  <si>
    <t>FIDO Alliance Inc</t>
  </si>
  <si>
    <t>Cryptomathic</t>
  </si>
  <si>
    <t>nagra</t>
  </si>
  <si>
    <t>Southern California Edison</t>
  </si>
  <si>
    <t>General Services Administration</t>
  </si>
  <si>
    <t>Fleet Defender</t>
  </si>
  <si>
    <t>cyberdyneembedded.com</t>
  </si>
  <si>
    <t>Wib Security Ltd</t>
  </si>
  <si>
    <t>Nikola</t>
  </si>
  <si>
    <t>Dotwavesolutions</t>
  </si>
  <si>
    <t>UCI</t>
  </si>
  <si>
    <t>Booz Allen Hamilton Inc.</t>
  </si>
  <si>
    <t>CodeSecure</t>
  </si>
  <si>
    <t>ERTICO</t>
  </si>
  <si>
    <t>Challenges</t>
  </si>
  <si>
    <t>Miltton</t>
  </si>
  <si>
    <t>Focus Capital Group</t>
  </si>
  <si>
    <t>Neutron Controls</t>
  </si>
  <si>
    <t>covalent</t>
  </si>
  <si>
    <t>People Tech Group</t>
  </si>
  <si>
    <t>EIT Urban Mobility</t>
  </si>
  <si>
    <t>Buscircle</t>
  </si>
  <si>
    <t>content-lab.org</t>
  </si>
  <si>
    <t>Ramah</t>
  </si>
  <si>
    <t>fs-students.de</t>
  </si>
  <si>
    <t>huashincapital.com</t>
  </si>
  <si>
    <t>Ernst &amp; Young</t>
  </si>
  <si>
    <t>jenny</t>
  </si>
  <si>
    <t>East Hill</t>
  </si>
  <si>
    <t>Grupo Antolin</t>
  </si>
  <si>
    <t>LiveEO</t>
  </si>
  <si>
    <t>EU Startup Prize</t>
  </si>
  <si>
    <t>cds-gampp.de</t>
  </si>
  <si>
    <t>World BI</t>
  </si>
  <si>
    <t>קובי רן בע"מ</t>
  </si>
  <si>
    <t>t-s-i.co.il</t>
  </si>
  <si>
    <t>Promarket</t>
  </si>
  <si>
    <t>ralcltd.com</t>
  </si>
  <si>
    <t>Bits &amp; Pretzels</t>
  </si>
  <si>
    <t>Surveyz</t>
  </si>
  <si>
    <t>American School Directory</t>
  </si>
  <si>
    <t>shbasewin.com.cn</t>
  </si>
  <si>
    <t>Iveco Group</t>
  </si>
  <si>
    <t>hlcompany.com</t>
  </si>
  <si>
    <t>Simplyintel</t>
  </si>
  <si>
    <t>The Institute For Applied Network Security, LLC</t>
  </si>
  <si>
    <t>Reuters Events</t>
  </si>
  <si>
    <t>Florida Atlantic University</t>
  </si>
  <si>
    <t>Oregon State University</t>
  </si>
  <si>
    <t>Serjon</t>
  </si>
  <si>
    <t>wolfSSL</t>
  </si>
  <si>
    <t>Purdue University</t>
  </si>
  <si>
    <t>United States Army</t>
  </si>
  <si>
    <t>Michigan State University</t>
  </si>
  <si>
    <t>Husqvarna Group</t>
  </si>
  <si>
    <t>NATIONAL MOTOR FREIGHT TRAFFIC ASSOCIATION INC</t>
  </si>
  <si>
    <t>American Axle &amp; Manufacturing</t>
  </si>
  <si>
    <t>GlobalPlatform Inc</t>
  </si>
  <si>
    <t>Technica Engineering</t>
  </si>
  <si>
    <t>VES</t>
  </si>
  <si>
    <t>WayPoint Marketing Communications</t>
  </si>
  <si>
    <t>INTEGRITY Security Services</t>
  </si>
  <si>
    <t>airbiqutiy.com</t>
  </si>
  <si>
    <t>ESCRYPT GmbH - Embedded Security</t>
  </si>
  <si>
    <t>Ferris State University</t>
  </si>
  <si>
    <t>Garmin Ltd.</t>
  </si>
  <si>
    <t>NetRise Inc</t>
  </si>
  <si>
    <t>Colorado State University</t>
  </si>
  <si>
    <t>cyresemerge.com</t>
  </si>
  <si>
    <t>Cybeats</t>
  </si>
  <si>
    <t>PUNCH Softronix</t>
  </si>
  <si>
    <t>Sompolab</t>
  </si>
  <si>
    <t>Aviation ISAC</t>
  </si>
  <si>
    <t>Universidade do Porto</t>
  </si>
  <si>
    <t>bedrockdetriot.com</t>
  </si>
  <si>
    <t>EURECOM</t>
  </si>
  <si>
    <t>Yekta IT</t>
  </si>
  <si>
    <t>Utac</t>
  </si>
  <si>
    <t>AutoTech Breakthrough</t>
  </si>
  <si>
    <t>X-CD Technologies</t>
  </si>
  <si>
    <t>Mardotcom LLC</t>
  </si>
  <si>
    <t>Gentherm Incorporated</t>
  </si>
  <si>
    <t>Exitory</t>
  </si>
  <si>
    <t>Agencias de posicionamiento</t>
  </si>
  <si>
    <t>sirspeedysouthbay.net</t>
  </si>
  <si>
    <t>Encore®</t>
  </si>
  <si>
    <t>Taas Labs</t>
  </si>
  <si>
    <t>koreaisrael</t>
  </si>
  <si>
    <t>Accelerazero</t>
  </si>
  <si>
    <t>The Record from Recorded Future News</t>
  </si>
  <si>
    <t>Freshdesk</t>
  </si>
  <si>
    <t>Israel Experience®</t>
  </si>
  <si>
    <t>K2View</t>
  </si>
  <si>
    <t>A2MAC1 - Decode the future</t>
  </si>
  <si>
    <t>cogocorporatestrategy.com</t>
  </si>
  <si>
    <t>wemade industrial group co., limited</t>
  </si>
  <si>
    <t>Royal Enfield</t>
  </si>
  <si>
    <t>VOTEC Group</t>
  </si>
  <si>
    <t>Poalim</t>
  </si>
  <si>
    <t>קבוצת נכסי אריאל</t>
  </si>
  <si>
    <t>Synamedia</t>
  </si>
  <si>
    <t>Rusticsecurity</t>
  </si>
  <si>
    <t>מִנהלת הר-חוצבים</t>
  </si>
  <si>
    <t>Machine Learning Israel</t>
  </si>
  <si>
    <t>Elisa</t>
  </si>
  <si>
    <t>Liquid PC</t>
  </si>
  <si>
    <t>solutions-ins.co.il</t>
  </si>
  <si>
    <t>ReefKNoT Investments</t>
  </si>
  <si>
    <t>First International Bank Of Israel Ltd</t>
  </si>
  <si>
    <t>CITYCAB PTE LTD</t>
  </si>
  <si>
    <t>Stellar</t>
  </si>
  <si>
    <t>Smart</t>
  </si>
  <si>
    <t>UP.Partners</t>
  </si>
  <si>
    <t>57 Stars</t>
  </si>
  <si>
    <t>mmmcpl.com</t>
  </si>
  <si>
    <t>POWER SPACK</t>
  </si>
  <si>
    <t>ANAND AUTOMOTIVE PRIVATE LIMITED</t>
  </si>
  <si>
    <t>Finnegan Henderson Farabow Garrett &amp; Dunner, LLP</t>
  </si>
  <si>
    <t>Aureus Investment</t>
  </si>
  <si>
    <t>Bajaj Motors</t>
  </si>
  <si>
    <t>autopromtec.it</t>
  </si>
  <si>
    <t>DELPHI-TVS TECHNOLOGIES LIMITED</t>
  </si>
  <si>
    <t>JBM Group</t>
  </si>
  <si>
    <t>Subros Limited</t>
  </si>
  <si>
    <t>ACMA India</t>
  </si>
  <si>
    <t>richmedia.email</t>
  </si>
  <si>
    <t>CDW</t>
  </si>
  <si>
    <t>thai-thaiintltradingltd.com</t>
  </si>
  <si>
    <t>Aeriestechnology</t>
  </si>
  <si>
    <t>KREATORZY-IT</t>
  </si>
  <si>
    <t>ROOTCON</t>
  </si>
  <si>
    <t>ION</t>
  </si>
  <si>
    <t>Global Market Tech</t>
  </si>
  <si>
    <t>sittech.co.kr</t>
  </si>
  <si>
    <t>Squire Patton Boggs</t>
  </si>
  <si>
    <t>AERB Personal</t>
  </si>
  <si>
    <t>Brain of Materials</t>
  </si>
  <si>
    <t>Rizing Holdings LLC</t>
  </si>
  <si>
    <t>Innovantage Partners</t>
  </si>
  <si>
    <t>Tel Aviv Muncipality</t>
  </si>
  <si>
    <t>Michaelpatrick</t>
  </si>
  <si>
    <t>Ivanti</t>
  </si>
  <si>
    <t>MedOne</t>
  </si>
  <si>
    <t>China Europe International Business School - CEIBS</t>
  </si>
  <si>
    <t>UCEA - Family Office Group</t>
  </si>
  <si>
    <t>BMC Software, Inc.</t>
  </si>
  <si>
    <t>meiron.com</t>
  </si>
  <si>
    <t>Shift4Good</t>
  </si>
  <si>
    <t>The Ohio State University School of Engineering</t>
  </si>
  <si>
    <t>TechInsights</t>
  </si>
  <si>
    <t>Via ID - Mobivia</t>
  </si>
  <si>
    <t>Proton AG</t>
  </si>
  <si>
    <t>TAITRA</t>
  </si>
  <si>
    <t>Novo Tellus Capital Partners</t>
  </si>
  <si>
    <t>DRIMAES</t>
  </si>
  <si>
    <t>Digipol</t>
  </si>
  <si>
    <t>ucea.info</t>
  </si>
  <si>
    <t>Temasek Holdings</t>
  </si>
  <si>
    <t>aidymo-cv</t>
  </si>
  <si>
    <t>WHU</t>
  </si>
  <si>
    <t>wb-fernstudium.de</t>
  </si>
  <si>
    <t>Cukierman.co.il</t>
  </si>
  <si>
    <t>Bugsec Ltd</t>
  </si>
  <si>
    <t>The Fulkerson Group</t>
  </si>
  <si>
    <t>Atolla</t>
  </si>
  <si>
    <t>StrongLinks-Innovative Business Strategies</t>
  </si>
  <si>
    <t>japanisraelpartners.com</t>
  </si>
  <si>
    <t>Alta</t>
  </si>
  <si>
    <t>maxev.co.il</t>
  </si>
  <si>
    <t>C5 Capital</t>
  </si>
  <si>
    <t>gfinnov.com</t>
  </si>
  <si>
    <t>edLINES</t>
  </si>
  <si>
    <t>CarConnect</t>
  </si>
  <si>
    <t>mangnetimarelli.com</t>
  </si>
  <si>
    <t>Volta Trucks</t>
  </si>
  <si>
    <t>NIDEC CORPORATION</t>
  </si>
  <si>
    <t>UTSA - The University of Texas at San Antonio</t>
  </si>
  <si>
    <t>Sick.Codes</t>
  </si>
  <si>
    <t>Houston Community College</t>
  </si>
  <si>
    <t>Canonical Ltd</t>
  </si>
  <si>
    <t>EMQ Technologies</t>
  </si>
  <si>
    <t>Security Compass</t>
  </si>
  <si>
    <t>Autotech Group</t>
  </si>
  <si>
    <t>Michigan State Police</t>
  </si>
  <si>
    <t>Recorded Future, Inc</t>
  </si>
  <si>
    <t>Nozomi Networks Inc</t>
  </si>
  <si>
    <t>fsoft.com.vn</t>
  </si>
  <si>
    <t>Dorman Products</t>
  </si>
  <si>
    <t>Utimaco Inc</t>
  </si>
  <si>
    <t>LatentView Analytics</t>
  </si>
  <si>
    <t>VWAY</t>
  </si>
  <si>
    <t>Vultara Inc</t>
  </si>
  <si>
    <t>Horváth</t>
  </si>
  <si>
    <t>Lordstown Motors</t>
  </si>
  <si>
    <t>GrammaTech, Inc.</t>
  </si>
  <si>
    <t>Toptal</t>
  </si>
  <si>
    <t>Sii Polska</t>
  </si>
  <si>
    <t>Dynamofl</t>
  </si>
  <si>
    <t>Thor Industries Inc</t>
  </si>
  <si>
    <t>thyssenkrupp-automotive.com</t>
  </si>
  <si>
    <t>VIA Motors, Inc.</t>
  </si>
  <si>
    <t>HiveMQ</t>
  </si>
  <si>
    <t>City of Detroit</t>
  </si>
  <si>
    <t>Israel Police - משטרת ישראל</t>
  </si>
  <si>
    <t>Rafael Advanced Defense Systems Ltd.</t>
  </si>
  <si>
    <t>HilmilSolutions India</t>
  </si>
  <si>
    <t>Panthera Advissors LLC</t>
  </si>
  <si>
    <t>Strativ Group</t>
  </si>
  <si>
    <t>FTV Capital</t>
  </si>
  <si>
    <t>Granteam</t>
  </si>
  <si>
    <t>American University</t>
  </si>
  <si>
    <t>Lidwave</t>
  </si>
  <si>
    <t>edisonintl.com</t>
  </si>
  <si>
    <t>Israel Ministry Of Foreign Affairs</t>
  </si>
  <si>
    <t>aidoos</t>
  </si>
  <si>
    <t>Mobility Capital</t>
  </si>
  <si>
    <t>Parker Hannifin</t>
  </si>
  <si>
    <t>Hertz</t>
  </si>
  <si>
    <t>SciTech Brief</t>
  </si>
  <si>
    <t>Corractions</t>
  </si>
  <si>
    <t>Valley National Bank</t>
  </si>
  <si>
    <t>Ebusco®</t>
  </si>
  <si>
    <t>IPQualityScore</t>
  </si>
  <si>
    <t>monday.com</t>
  </si>
  <si>
    <t>MoveoBoost</t>
  </si>
  <si>
    <t>ForAllSecure Inc</t>
  </si>
  <si>
    <t>Tsofen تسوفن צופן</t>
  </si>
  <si>
    <t>Xtra Mile</t>
  </si>
  <si>
    <t>Secure Ventures with Kyle McNulty</t>
  </si>
  <si>
    <t>Forbes</t>
  </si>
  <si>
    <t>IMPROVED</t>
  </si>
  <si>
    <t>West Monroe</t>
  </si>
  <si>
    <t>sdv-hub.com</t>
  </si>
  <si>
    <t>Scintilla Fund</t>
  </si>
  <si>
    <t>JOTACTIC 捷策動能 - 車用軟體技術服務與顧問諮詢</t>
  </si>
  <si>
    <t>Zim integrated shipping services ltd</t>
  </si>
  <si>
    <t>DNX Ventures</t>
  </si>
  <si>
    <t>St James's House</t>
  </si>
  <si>
    <t>Dsc2023</t>
  </si>
  <si>
    <t>Code Intelligence</t>
  </si>
  <si>
    <t>navareinvest.se</t>
  </si>
  <si>
    <t>LEAD VENTURES</t>
  </si>
  <si>
    <t>ELEWIT</t>
  </si>
  <si>
    <t>拔萃資本</t>
  </si>
  <si>
    <t>Cambrixgroup</t>
  </si>
  <si>
    <t>Hermeticon</t>
  </si>
  <si>
    <t>TLV Partners</t>
  </si>
  <si>
    <t>Azerbaijan Investment</t>
  </si>
  <si>
    <t>COMBTAS</t>
  </si>
  <si>
    <t>SolarEdge Technologies Inc</t>
  </si>
  <si>
    <t>ntt-finance.com</t>
  </si>
  <si>
    <t>gns-capital.com</t>
  </si>
  <si>
    <t>gysecurity.com</t>
  </si>
  <si>
    <t>Tahainvestmentltd</t>
  </si>
  <si>
    <t>KopherBit › KopherBit</t>
  </si>
  <si>
    <t>TOGG</t>
  </si>
  <si>
    <t>Osage University Partners</t>
  </si>
  <si>
    <t>SERES</t>
  </si>
  <si>
    <t>Alliance Global Partners</t>
  </si>
  <si>
    <t>Digiwill</t>
  </si>
  <si>
    <t>iHLS Israel Homeland Security</t>
  </si>
  <si>
    <t>daratech.com.ng</t>
  </si>
  <si>
    <t>BT Group</t>
  </si>
  <si>
    <t>Woven Capital</t>
  </si>
  <si>
    <t>SQ Software</t>
  </si>
  <si>
    <t>angress.de</t>
  </si>
  <si>
    <t>SOUL Marketing</t>
  </si>
  <si>
    <t>Discount Capital</t>
  </si>
  <si>
    <t>Laffont (Shanghai) Business Consulting Co., Ltd.</t>
  </si>
  <si>
    <t>SDC Systems Limited</t>
  </si>
  <si>
    <t>SNECI</t>
  </si>
  <si>
    <t>PIONIRS</t>
  </si>
  <si>
    <t>Bitware S.L.</t>
  </si>
  <si>
    <t>SEGULA TECHNOLOGIES</t>
  </si>
  <si>
    <t>Trescon</t>
  </si>
  <si>
    <t>PTC INC.</t>
  </si>
  <si>
    <t>Cardumen Capital</t>
  </si>
  <si>
    <t>wgresorts.com</t>
  </si>
  <si>
    <t>Giesbert &amp; Mandin [relations médias et Influence conseil]</t>
  </si>
  <si>
    <t>Lincoln International</t>
  </si>
  <si>
    <t>moversshakersunltd</t>
  </si>
  <si>
    <t>Radio Free Mobile</t>
  </si>
  <si>
    <t>ElectricFish Energy Inc</t>
  </si>
  <si>
    <t>Hitachi Solutions</t>
  </si>
  <si>
    <t>Toyota Motor Corporation Australia Ltd.</t>
  </si>
  <si>
    <t>Designworks</t>
  </si>
  <si>
    <t>Hmgics</t>
  </si>
  <si>
    <t>Anheuser-Busch LLC</t>
  </si>
  <si>
    <t>Nate</t>
  </si>
  <si>
    <t>Lexus</t>
  </si>
  <si>
    <t>Westbound Communications</t>
  </si>
  <si>
    <t>Mitsubishi UFJ Research and Consulting Co., Ltd.</t>
  </si>
  <si>
    <t>Volkswagen Infotainment</t>
  </si>
  <si>
    <t>Josh Newton</t>
  </si>
  <si>
    <t>dc design</t>
  </si>
  <si>
    <t>Mitsubishi Research Institute</t>
  </si>
  <si>
    <t>METZLER VATER</t>
  </si>
  <si>
    <t>SemaConnect LLC</t>
  </si>
  <si>
    <t>Automobili Pininfarina</t>
  </si>
  <si>
    <t>dstconcept.com</t>
  </si>
  <si>
    <t>Campbell Ewald</t>
  </si>
  <si>
    <t>BrainChip Holdings Ltd.</t>
  </si>
  <si>
    <t>Denso Drive</t>
  </si>
  <si>
    <t>CRADLE</t>
  </si>
  <si>
    <t>IE University</t>
  </si>
  <si>
    <t>Panasonic Automotive</t>
  </si>
  <si>
    <t>car byte</t>
  </si>
  <si>
    <t>bmwmc.com</t>
  </si>
  <si>
    <t>Evolectricnow</t>
  </si>
  <si>
    <t>kicdc.org</t>
  </si>
  <si>
    <t>Hyundai Asset Management Co., Ltd.</t>
  </si>
  <si>
    <t>Bridgestone Americas Inc</t>
  </si>
  <si>
    <t>anyractive.co.kr</t>
  </si>
  <si>
    <t>HYUNDAI GLOVIS</t>
  </si>
  <si>
    <t>Toyota Boshoku</t>
  </si>
  <si>
    <t>Episodegroup</t>
  </si>
  <si>
    <t>meus.com</t>
  </si>
  <si>
    <t>Genesis Motor, LLC</t>
  </si>
  <si>
    <t>CONTACT © 2021</t>
  </si>
  <si>
    <t>Waabi</t>
  </si>
  <si>
    <t>BNGSTEEL</t>
  </si>
  <si>
    <t>Mitsui &amp; Co., Ltd.</t>
  </si>
  <si>
    <t>Quest Global Services Pvt. ltd.</t>
  </si>
  <si>
    <t>SK Group</t>
  </si>
  <si>
    <t>Automotive News Company</t>
  </si>
  <si>
    <t>Sumitomo Mitsui Banking Corporation</t>
  </si>
  <si>
    <t>Eviation Aircraft</t>
  </si>
  <si>
    <t>MOTER Technologies Inc</t>
  </si>
  <si>
    <t>Vulog</t>
  </si>
  <si>
    <t>AutoMobility Advisors</t>
  </si>
  <si>
    <t>Matt3r</t>
  </si>
  <si>
    <t>LG Innotek Co. Ltd.</t>
  </si>
  <si>
    <t>UST</t>
  </si>
  <si>
    <t>TELUS</t>
  </si>
  <si>
    <t>Motherson</t>
  </si>
  <si>
    <t>World Economic Forum</t>
  </si>
  <si>
    <t>Sensata Technologies</t>
  </si>
  <si>
    <t>World Shopper</t>
  </si>
  <si>
    <t>UtilityAPI Inc</t>
  </si>
  <si>
    <t>Emtest Ar-Ge ve Test Sistemleri</t>
  </si>
  <si>
    <t>Schmidiger GmbH</t>
  </si>
  <si>
    <t>coti.de</t>
  </si>
  <si>
    <t>VIE Technology Europe</t>
  </si>
  <si>
    <t>Contemporary Amperex Technology Co. Limited</t>
  </si>
  <si>
    <t>KPA6T</t>
  </si>
  <si>
    <t>Aebi Schmidt Holding AG</t>
  </si>
  <si>
    <t>chargebyte.com</t>
  </si>
  <si>
    <t>AddSecure</t>
  </si>
  <si>
    <t>infokontor</t>
  </si>
  <si>
    <t>zepp.solutions</t>
  </si>
  <si>
    <t>Cojali</t>
  </si>
  <si>
    <t>PeerByte</t>
  </si>
  <si>
    <t>hatz.com</t>
  </si>
  <si>
    <t>ecomotional.global</t>
  </si>
  <si>
    <t>Bako Motors SAS</t>
  </si>
  <si>
    <t>Mobilite Sistem Yönetim ve Denetim</t>
  </si>
  <si>
    <t>pbx</t>
  </si>
  <si>
    <t>Aggregate Industries UK Limited</t>
  </si>
  <si>
    <t>iomoto</t>
  </si>
  <si>
    <t>Würth Leasing GmbH &amp; Co.KG</t>
  </si>
  <si>
    <t>Inmotion</t>
  </si>
  <si>
    <t>Roop Polymers</t>
  </si>
  <si>
    <t>frankpauljanssen.com</t>
  </si>
  <si>
    <t>Areion Diesel</t>
  </si>
  <si>
    <t>MECHATNOM</t>
  </si>
  <si>
    <t>Best Group</t>
  </si>
  <si>
    <t>EurA</t>
  </si>
  <si>
    <t>Caetanobus</t>
  </si>
  <si>
    <t>JMarek-Consult - Jürgen Marek</t>
  </si>
  <si>
    <t>ROCSYS</t>
  </si>
  <si>
    <t>ME MOBIL ELEKTRONIK</t>
  </si>
  <si>
    <t>P3</t>
  </si>
  <si>
    <t>Etrel</t>
  </si>
  <si>
    <t>WAT Motor</t>
  </si>
  <si>
    <t>Messe Karlsruhe</t>
  </si>
  <si>
    <t>Tekaydınlar Minibus Conversion &amp; Bodywork</t>
  </si>
  <si>
    <t>FESCARO_HQ</t>
  </si>
  <si>
    <t>AFRY</t>
  </si>
  <si>
    <t>liquidityg.us</t>
  </si>
  <si>
    <t>HLHPrototypes Co Ltd</t>
  </si>
  <si>
    <t>Security Architecture Podcast</t>
  </si>
  <si>
    <t>Town of Smyrna</t>
  </si>
  <si>
    <t>Allego</t>
  </si>
  <si>
    <t>Krichenbauer</t>
  </si>
  <si>
    <t>Inspiring-Girls</t>
  </si>
  <si>
    <t>MAKEHITEC</t>
  </si>
  <si>
    <t>SAUVICIEL</t>
  </si>
  <si>
    <t>Penney OpCo LLC</t>
  </si>
  <si>
    <t>Engie</t>
  </si>
  <si>
    <t>Akproductions</t>
  </si>
  <si>
    <t>AT PARTNERS</t>
  </si>
  <si>
    <t>Vontier Corporation</t>
  </si>
  <si>
    <t>TASKING Inc</t>
  </si>
  <si>
    <t>Mixed.Place</t>
  </si>
  <si>
    <t>leebauer.com</t>
  </si>
  <si>
    <t>jsquared.com</t>
  </si>
  <si>
    <t>DeepDrive</t>
  </si>
  <si>
    <t>Ordan Cargo</t>
  </si>
  <si>
    <t>hireplace.it</t>
  </si>
  <si>
    <t>Segula Group</t>
  </si>
  <si>
    <t>Derek D. Austin</t>
  </si>
  <si>
    <t>Sumitomo Bakelite Co., Ltd.</t>
  </si>
  <si>
    <t>Itrade</t>
  </si>
  <si>
    <t>DIGITIMES Inc</t>
  </si>
  <si>
    <t>cadip.com.tw</t>
  </si>
  <si>
    <t>WT Microelectronics Co., Ltd.</t>
  </si>
  <si>
    <t>Clientron</t>
  </si>
  <si>
    <t>世博科技顧問⎮世博國際專利商標事務所</t>
  </si>
  <si>
    <t>Scott Fosgard Communications</t>
  </si>
  <si>
    <t>Tagesspiegel</t>
  </si>
  <si>
    <t>AJ Khan</t>
  </si>
  <si>
    <t>Kearney</t>
  </si>
  <si>
    <t>planfundz.com</t>
  </si>
  <si>
    <t>Kajima</t>
  </si>
  <si>
    <t>Protopia AI Inc</t>
  </si>
  <si>
    <t>SmashFly Technologies Inc</t>
  </si>
  <si>
    <t>The Custard Company</t>
  </si>
  <si>
    <t>Spritmonitor</t>
  </si>
  <si>
    <t>Giladn</t>
  </si>
  <si>
    <t>Netscribes</t>
  </si>
  <si>
    <t>TMC</t>
  </si>
  <si>
    <t>Riscure</t>
  </si>
  <si>
    <t>Bosch Global Software Technologies</t>
  </si>
  <si>
    <t>KUGLER MAAG CIE by UL Solutions</t>
  </si>
  <si>
    <t>Cathay Financial</t>
  </si>
  <si>
    <t>Karma Automotive LLC</t>
  </si>
  <si>
    <t>アイ・ビー・エス・ジャパン株式会社</t>
  </si>
  <si>
    <t>Farglory Land Development Co</t>
  </si>
  <si>
    <t>alfabetevents.com</t>
  </si>
  <si>
    <t>Cervello Pakistan</t>
  </si>
  <si>
    <t>Tgood</t>
  </si>
  <si>
    <t>Ford Automotive (China) Ltd. Co.</t>
  </si>
  <si>
    <t>Adayo</t>
  </si>
  <si>
    <t>FAW VW</t>
  </si>
  <si>
    <t>FAW R&amp;D Center</t>
  </si>
  <si>
    <t>Suzhou Zhito Technology Co., Ltd.</t>
  </si>
  <si>
    <t>Upower</t>
  </si>
  <si>
    <t>ECARX</t>
  </si>
  <si>
    <t>SAIC Motor</t>
  </si>
  <si>
    <t>Voyah</t>
  </si>
  <si>
    <t>Leapmotor</t>
  </si>
  <si>
    <t>Jidu</t>
  </si>
  <si>
    <t>Sokon</t>
  </si>
  <si>
    <t>Motovis Intelligent Technology (Shanghai) Co., Ltd</t>
  </si>
  <si>
    <t>Weltmeister WM Motors</t>
  </si>
  <si>
    <t>Dongfeng Nissan</t>
  </si>
  <si>
    <t>BAIC</t>
  </si>
  <si>
    <t>Honghe (上海红禾信息科技)</t>
  </si>
  <si>
    <t>Chang'an Deepblue NEV</t>
  </si>
  <si>
    <t>Xpeng Motors</t>
  </si>
  <si>
    <t>Chery</t>
  </si>
  <si>
    <t>Xiaomi Auto</t>
  </si>
  <si>
    <t>Panshi （磐时信息）</t>
  </si>
  <si>
    <t>Zhicong （上海知从）</t>
  </si>
  <si>
    <t>Chang'an Ford</t>
  </si>
  <si>
    <t>TICPSH</t>
  </si>
  <si>
    <t>Baoneng</t>
  </si>
  <si>
    <t>Dongfeng Motor</t>
  </si>
  <si>
    <t>Aiway</t>
  </si>
  <si>
    <t>Nari-tech</t>
  </si>
  <si>
    <t>HUIZHOU DESAY SV AUTOMOTIVE CO., LTD.</t>
  </si>
  <si>
    <t>Z-one (SAIC tier 2, specialized at V2X full stack solution from vehicle to cloud to management to end)</t>
  </si>
  <si>
    <t>GAC Automotive Research &amp; Development Center</t>
  </si>
  <si>
    <t>Hozon</t>
  </si>
  <si>
    <t>Ryosan Company, limited</t>
  </si>
  <si>
    <t>Nagase Co.,Ltd</t>
  </si>
  <si>
    <t>Honda Lock Co.,Ltd</t>
  </si>
  <si>
    <t>Panasonic Automotive Systems</t>
  </si>
  <si>
    <t>Aisol</t>
  </si>
  <si>
    <t>ACG Digital Marketing Pvt</t>
  </si>
  <si>
    <t>Vestel</t>
  </si>
  <si>
    <t>Hlhmold</t>
  </si>
  <si>
    <t>Titan</t>
  </si>
  <si>
    <t>Zoom Video Communications, Inc.</t>
  </si>
  <si>
    <t>ctbccapital.com</t>
  </si>
  <si>
    <t>Juice Technology</t>
  </si>
  <si>
    <t>Elron</t>
  </si>
  <si>
    <t>Fortinet</t>
  </si>
  <si>
    <t>Elron Electronic Industries Ltd.</t>
  </si>
  <si>
    <t>Wiki-Moderator</t>
  </si>
  <si>
    <t>INNOPOWER</t>
  </si>
  <si>
    <t>Tjqisi</t>
  </si>
  <si>
    <t>cyinet.com</t>
  </si>
  <si>
    <t>Cyient</t>
  </si>
  <si>
    <t>Freightos</t>
  </si>
  <si>
    <t>Soul Marketing: SDR</t>
  </si>
  <si>
    <t>Howden Broking Group Limited</t>
  </si>
  <si>
    <t>Fibocom</t>
  </si>
  <si>
    <t>PR Professional</t>
  </si>
  <si>
    <t>Blink Charging Co.</t>
  </si>
  <si>
    <t>exhilog.com</t>
  </si>
  <si>
    <t>Singapore Power Limited</t>
  </si>
  <si>
    <t>Prime Data Services</t>
  </si>
  <si>
    <t>AFIFI GROUP</t>
  </si>
  <si>
    <t>Epsilon Delta</t>
  </si>
  <si>
    <t>Dreamit</t>
  </si>
  <si>
    <t>Vintage Investment Partners</t>
  </si>
  <si>
    <t>Bisresearch</t>
  </si>
  <si>
    <t>Offerskart.co</t>
  </si>
  <si>
    <t>Lucidcap</t>
  </si>
  <si>
    <t>a2 Exhibits</t>
  </si>
  <si>
    <t>aboutbwf.com</t>
  </si>
  <si>
    <t>kogeler.com</t>
  </si>
  <si>
    <t>ArcelorMittal</t>
  </si>
  <si>
    <t>taya-inc.com</t>
  </si>
  <si>
    <t>leverage.it</t>
  </si>
  <si>
    <t>Expostandservice</t>
  </si>
  <si>
    <t>INSPEKTO A.M.V Ltd</t>
  </si>
  <si>
    <t>Spinframe</t>
  </si>
  <si>
    <t>Right-Hear</t>
  </si>
  <si>
    <t>Jungo Connectivity Ltd.</t>
  </si>
  <si>
    <t>RAM MOUNT Baltic</t>
  </si>
  <si>
    <t>Ximshare</t>
  </si>
  <si>
    <t>VicOne</t>
  </si>
  <si>
    <t>vehiqilla.com</t>
  </si>
  <si>
    <t>USC Information Sciences Institute</t>
  </si>
  <si>
    <t>United States Senate</t>
  </si>
  <si>
    <t>Tanium Inc</t>
  </si>
  <si>
    <t>Ttsystems</t>
  </si>
  <si>
    <t>SHI International Corp.</t>
  </si>
  <si>
    <t>Securonix</t>
  </si>
  <si>
    <t>SecurityScorecard</t>
  </si>
  <si>
    <t>Sandia National Laboratories</t>
  </si>
  <si>
    <t>Revelstoke Security</t>
  </si>
  <si>
    <t>Rambus</t>
  </si>
  <si>
    <t>Okta, Inc.</t>
  </si>
  <si>
    <t>Oakland University</t>
  </si>
  <si>
    <t>Nuspire</t>
  </si>
  <si>
    <t>CRPB</t>
  </si>
  <si>
    <t>NCC Group Plc</t>
  </si>
  <si>
    <t>N.S. International</t>
  </si>
  <si>
    <t>Micron Technology, Inc.</t>
  </si>
  <si>
    <t>Meritor, Inc.</t>
  </si>
  <si>
    <t>Pen Test Partners</t>
  </si>
  <si>
    <t>IQM</t>
  </si>
  <si>
    <t>iaob.org</t>
  </si>
  <si>
    <t>GRIMM</t>
  </si>
  <si>
    <t>Geotab Inc.</t>
  </si>
  <si>
    <t>Gate 15</t>
  </si>
  <si>
    <t>Fornetix LLC</t>
  </si>
  <si>
    <t>Finite State</t>
  </si>
  <si>
    <t>Federal Bureau of Investigation (FBI)</t>
  </si>
  <si>
    <t>Faith-Based ISAO</t>
  </si>
  <si>
    <t>Equipment and Tool Institute</t>
  </si>
  <si>
    <t>detroitautotest.com</t>
  </si>
  <si>
    <t>Data Security Consulting</t>
  </si>
  <si>
    <t>Cyware</t>
  </si>
  <si>
    <t>Cycuity</t>
  </si>
  <si>
    <t>Crown</t>
  </si>
  <si>
    <t>ChargePoint Inc</t>
  </si>
  <si>
    <t>Business Cube and Partners Co., Ltd.</t>
  </si>
  <si>
    <t>Burns &amp; McDonnell</t>
  </si>
  <si>
    <t>AlixPartners LLC</t>
  </si>
  <si>
    <t>SpeedApp Sp. z o.o.</t>
  </si>
  <si>
    <t>EuroTransportMedia</t>
  </si>
  <si>
    <t>mertens-vc.de</t>
  </si>
  <si>
    <t>invispower.com</t>
  </si>
  <si>
    <t>angelspartners.is</t>
  </si>
  <si>
    <t>חגית דמתי בניית אתרי</t>
  </si>
  <si>
    <t>Remo-Dev</t>
  </si>
  <si>
    <t>mobilitytech-capital.com</t>
  </si>
  <si>
    <t>Electrada</t>
  </si>
  <si>
    <t>thehightechgears.com</t>
  </si>
  <si>
    <t>pjhholding.com</t>
  </si>
  <si>
    <t>landfinancmortgage.com</t>
  </si>
  <si>
    <t>Airbiquity Inc</t>
  </si>
  <si>
    <t>Bluemobilityventures</t>
  </si>
  <si>
    <t>BOSE</t>
  </si>
  <si>
    <t>Bovlabs</t>
  </si>
  <si>
    <t>Mobilitech Capital</t>
  </si>
  <si>
    <t>CV Charging Europe</t>
  </si>
  <si>
    <t>catterfeld.com</t>
  </si>
  <si>
    <t>EV-Edge</t>
  </si>
  <si>
    <t>EnergyImpactPartners</t>
  </si>
  <si>
    <t>Market-Potential</t>
  </si>
  <si>
    <t>mailrez.com</t>
  </si>
  <si>
    <t>Addionics</t>
  </si>
  <si>
    <t>mdhmx.com</t>
  </si>
  <si>
    <t>Hyker Security</t>
  </si>
  <si>
    <t>Centennial</t>
  </si>
  <si>
    <t>IONIUM</t>
  </si>
  <si>
    <t>G.M. Hill Engineering,</t>
  </si>
  <si>
    <t>K2-Technology</t>
  </si>
  <si>
    <t>Afcon Holdings LTD</t>
  </si>
  <si>
    <t>Sasken</t>
  </si>
  <si>
    <t>Luchs Security</t>
  </si>
  <si>
    <t>GitLab Inc.</t>
  </si>
  <si>
    <t>EMERGENCY ONE LIMITED</t>
  </si>
  <si>
    <t>Vingroup</t>
  </si>
  <si>
    <t>Tata Elxsi</t>
  </si>
  <si>
    <t>Dingolay</t>
  </si>
  <si>
    <t>anew.energy</t>
  </si>
  <si>
    <t>Evvolabs Pte Ltd</t>
  </si>
  <si>
    <t>ats-india.com</t>
  </si>
  <si>
    <t>Reaction</t>
  </si>
  <si>
    <t>TranSmart Technologies</t>
  </si>
  <si>
    <t>PRYSMIAN Group</t>
  </si>
  <si>
    <t>Elocity</t>
  </si>
  <si>
    <t>JFG Joachim Fritz Gruppenreisen</t>
  </si>
  <si>
    <t>Gannett Fleming</t>
  </si>
  <si>
    <t>Kapower</t>
  </si>
  <si>
    <t>Ohme</t>
  </si>
  <si>
    <t>Syracuse University</t>
  </si>
  <si>
    <t>University of Hertfordshire</t>
  </si>
  <si>
    <t>University of Hull</t>
  </si>
  <si>
    <t>Auton</t>
  </si>
  <si>
    <t>ComFi Inc</t>
  </si>
  <si>
    <t>EV Range</t>
  </si>
  <si>
    <t>E:E Consulting</t>
  </si>
  <si>
    <t>ZPN Energy</t>
  </si>
  <si>
    <t>Themoove</t>
  </si>
  <si>
    <t>Otonomo Technologies Ltd</t>
  </si>
  <si>
    <t>Chakra Growth Fund</t>
  </si>
  <si>
    <t>John Wood Group plc</t>
  </si>
  <si>
    <t>MCTC The Golda Meir Mashav "Carmel" International Training Center</t>
  </si>
  <si>
    <t>Portal Movilidad</t>
  </si>
  <si>
    <t>glaretest.com</t>
  </si>
  <si>
    <t>Galois Inc</t>
  </si>
  <si>
    <t>Gramarly</t>
  </si>
  <si>
    <t>ENROUTE</t>
  </si>
  <si>
    <t>LETA Capital</t>
  </si>
  <si>
    <t>Ani Ani Beachwear</t>
  </si>
  <si>
    <t>Driivz Ltd</t>
  </si>
  <si>
    <t>MPP Works B.V.</t>
  </si>
  <si>
    <t>hubspottest.com</t>
  </si>
  <si>
    <t>Wiz</t>
  </si>
  <si>
    <t>sorensoncap.com</t>
  </si>
  <si>
    <t>primak</t>
  </si>
  <si>
    <t>Shlomo Transport</t>
  </si>
  <si>
    <t>Octo Telematics</t>
  </si>
  <si>
    <t>Fisker Inc.</t>
  </si>
  <si>
    <t>Intercom</t>
  </si>
  <si>
    <t>SeedIL Ventures</t>
  </si>
  <si>
    <t>Third Point</t>
  </si>
  <si>
    <t>Just-Mobility</t>
  </si>
  <si>
    <t>Third Point Ventures</t>
  </si>
  <si>
    <t>Carrar</t>
  </si>
  <si>
    <t>adyton Cybersecurity</t>
  </si>
  <si>
    <t>VINCSS INTERNET SECURITY SERVICES JOINT STOCK COMPANY</t>
  </si>
  <si>
    <t>michigancis.com</t>
  </si>
  <si>
    <t>GDS Group</t>
  </si>
  <si>
    <t>vincss.com</t>
  </si>
  <si>
    <t>Sabban Law</t>
  </si>
  <si>
    <t>Blossom Street Ventures</t>
  </si>
  <si>
    <t>Amsalem Tours And Travel</t>
  </si>
  <si>
    <t>Colombo Technology</t>
  </si>
  <si>
    <t>LRI Automacao Industrial Brasil</t>
  </si>
  <si>
    <t>ALPS ALPINE</t>
  </si>
  <si>
    <t>bydauto.com.cn</t>
  </si>
  <si>
    <t>Ginkgo Management Consulting</t>
  </si>
  <si>
    <t>monuage.net</t>
  </si>
  <si>
    <t>MTEM</t>
  </si>
  <si>
    <t>XT Group</t>
  </si>
  <si>
    <t>Sandab Group</t>
  </si>
  <si>
    <t>DE INE Deutsche Ingenieure GmbH</t>
  </si>
  <si>
    <t>Lotus</t>
  </si>
  <si>
    <t>porsche</t>
  </si>
  <si>
    <t>UAES</t>
  </si>
  <si>
    <t>SYSGO</t>
  </si>
  <si>
    <t>SERES EV</t>
  </si>
  <si>
    <t>l-and-f.co.jp</t>
  </si>
  <si>
    <t>Keihin Corporation</t>
  </si>
  <si>
    <t>gacmdusa.com</t>
  </si>
  <si>
    <t>Cypress Semiconductor Corporation</t>
  </si>
  <si>
    <t>Welcome</t>
  </si>
  <si>
    <t>Alpine Electronics</t>
  </si>
  <si>
    <t>AGCO Corporation</t>
  </si>
  <si>
    <t>nimrodi-ins.co.il</t>
  </si>
  <si>
    <t>GREEN Properties</t>
  </si>
  <si>
    <t>Sprint Power Technology Limited</t>
  </si>
  <si>
    <t>securityscorecad.io</t>
  </si>
  <si>
    <t>Panasonic</t>
  </si>
  <si>
    <t>Ntc-Europe</t>
  </si>
  <si>
    <t>mercedez-benz.ca</t>
  </si>
  <si>
    <t>Hmausa</t>
  </si>
  <si>
    <t>Fortress Information Security</t>
  </si>
  <si>
    <t>bmwna.com</t>
  </si>
  <si>
    <t>iranacademia.education</t>
  </si>
  <si>
    <t>Com-Com</t>
  </si>
  <si>
    <t>Hunter</t>
  </si>
  <si>
    <t>LION Smart</t>
  </si>
  <si>
    <t>TEXA</t>
  </si>
  <si>
    <t>Workhorse Group Inc</t>
  </si>
  <si>
    <t>Revel Transit Inc</t>
  </si>
  <si>
    <t>aogol.com</t>
  </si>
  <si>
    <t>Atos Syntel Inc.</t>
  </si>
  <si>
    <t>piamenta.co.il</t>
  </si>
  <si>
    <t>TOP2</t>
  </si>
  <si>
    <t>FRENUS</t>
  </si>
  <si>
    <t>investmentsingravity.com</t>
  </si>
  <si>
    <t>SystemWeaver</t>
  </si>
  <si>
    <t>TATA TECHNOLOGIES LIMITED</t>
  </si>
  <si>
    <t>Software Republique</t>
  </si>
  <si>
    <t>Bridgewater Capital Corporation</t>
  </si>
  <si>
    <t>Thalēs</t>
  </si>
  <si>
    <t>CYMOTIVE Technologies</t>
  </si>
  <si>
    <t>GDH TLV</t>
  </si>
  <si>
    <t>mindacorporation.com</t>
  </si>
  <si>
    <t>Aurobay</t>
  </si>
  <si>
    <t>hub.brussels</t>
  </si>
  <si>
    <t>octotelmatics.com</t>
  </si>
  <si>
    <t>TOFAS</t>
  </si>
  <si>
    <t>At-Yet</t>
  </si>
  <si>
    <t>Omnipresent</t>
  </si>
  <si>
    <t>bestpractice.co.il</t>
  </si>
  <si>
    <t>Breeze capital</t>
  </si>
  <si>
    <t>giemmeinternational.com</t>
  </si>
  <si>
    <t>株式会社 東芝</t>
  </si>
  <si>
    <t>University of Lincoln</t>
  </si>
  <si>
    <t>secdeer.com</t>
  </si>
  <si>
    <t>aicenter.eu</t>
  </si>
  <si>
    <t>Lantern Consulting Group</t>
  </si>
  <si>
    <t>ADAC Automotive</t>
  </si>
  <si>
    <t>Clalit north</t>
  </si>
  <si>
    <t>Amdocs, Inc</t>
  </si>
  <si>
    <t>Glaremarketing</t>
  </si>
  <si>
    <t>Birzeit University</t>
  </si>
  <si>
    <t>EnerTech Capital</t>
  </si>
  <si>
    <t>Initium</t>
  </si>
  <si>
    <t>Olley.io</t>
  </si>
  <si>
    <t>Ride Vision</t>
  </si>
  <si>
    <t>Drivesec</t>
  </si>
  <si>
    <t>MIH</t>
  </si>
  <si>
    <t>Shenzhen Pknergy Energy Co.</t>
  </si>
  <si>
    <t>TDK Ventures</t>
  </si>
  <si>
    <t>A-Labs Finance &amp; Advisory</t>
  </si>
  <si>
    <t>secsmart.com</t>
  </si>
  <si>
    <t>IoT Inspector</t>
  </si>
  <si>
    <t>DAIICHI Electronic</t>
  </si>
  <si>
    <t>Qingtian-Sec</t>
  </si>
  <si>
    <t>Satori Electric Co</t>
  </si>
  <si>
    <t>Audencia</t>
  </si>
  <si>
    <t>Climatetlv</t>
  </si>
  <si>
    <t>Mitsubishi Electric</t>
  </si>
  <si>
    <t>TREMEC</t>
  </si>
  <si>
    <t>Eastern Michigan University</t>
  </si>
  <si>
    <t>durauto.com</t>
  </si>
  <si>
    <t>ktneumann.com</t>
  </si>
  <si>
    <t>Jio-bp Ltd</t>
  </si>
  <si>
    <t>Stefanini Rafael</t>
  </si>
  <si>
    <t>Brightmerge</t>
  </si>
  <si>
    <t>Karamba Security Ltd</t>
  </si>
  <si>
    <t>AGC Partners</t>
  </si>
  <si>
    <t>BLOOM</t>
  </si>
  <si>
    <t>Peking University</t>
  </si>
  <si>
    <t>chime.aws</t>
  </si>
  <si>
    <t>Reading Capital Ltd</t>
  </si>
  <si>
    <t>DAI</t>
  </si>
  <si>
    <t>Snowballtech</t>
  </si>
  <si>
    <t>Oracle</t>
  </si>
  <si>
    <t>Land Transport Authority</t>
  </si>
  <si>
    <t>ANCIT</t>
  </si>
  <si>
    <t>Auxilium Cyber Security</t>
  </si>
  <si>
    <t>tnet.co.il</t>
  </si>
  <si>
    <t>Combitech</t>
  </si>
  <si>
    <t>mindaro.io</t>
  </si>
  <si>
    <t>Neusoft</t>
  </si>
  <si>
    <t>BIYN</t>
  </si>
  <si>
    <t>Buy-Guest-Post</t>
  </si>
  <si>
    <t>Guestpostbyacg</t>
  </si>
  <si>
    <t>srwidman.com</t>
  </si>
  <si>
    <t>Canaccord Genuity</t>
  </si>
  <si>
    <t>Quantum-Hub</t>
  </si>
  <si>
    <t>CROSSCERT, INC.</t>
  </si>
  <si>
    <t>Global Networks I.T Professionals</t>
  </si>
  <si>
    <t>Goldman Sachs</t>
  </si>
  <si>
    <t>VINES ENERGY SOLUTIONS JOINT STOCK COMPANY</t>
  </si>
  <si>
    <t>Trinity Technologies</t>
  </si>
  <si>
    <t>promote-website.com</t>
  </si>
  <si>
    <t>SAC</t>
  </si>
  <si>
    <t>Otofusion</t>
  </si>
  <si>
    <t>alfaceti.com</t>
  </si>
  <si>
    <t>Aalto University Foundation sr</t>
  </si>
  <si>
    <t>Virginia Polytechnic Institute and State University</t>
  </si>
  <si>
    <t>Dactle</t>
  </si>
  <si>
    <t>SOTEREA 所托瑞安</t>
  </si>
  <si>
    <t>Reptech</t>
  </si>
  <si>
    <t>University of Macau</t>
  </si>
  <si>
    <t>SOLIZE Corporation</t>
  </si>
  <si>
    <t>email4me.com</t>
  </si>
  <si>
    <t>Université Bretagne-Sud</t>
  </si>
  <si>
    <t>BTU Cottbus-Senftenberg</t>
  </si>
  <si>
    <t>Eötvös Loránd University</t>
  </si>
  <si>
    <t>Zonar Systems Inc</t>
  </si>
  <si>
    <t>Bordrin</t>
  </si>
  <si>
    <t>Reed Mobility</t>
  </si>
  <si>
    <t>Encore Semi</t>
  </si>
  <si>
    <t>Altec</t>
  </si>
  <si>
    <t>Arcas-tech.com</t>
  </si>
  <si>
    <t>American Bureau of Shipping (ABS)</t>
  </si>
  <si>
    <t>Advocates</t>
  </si>
  <si>
    <t>QTronic</t>
  </si>
  <si>
    <t>Edge Case Research</t>
  </si>
  <si>
    <t>Saras</t>
  </si>
  <si>
    <t>gheva.com</t>
  </si>
  <si>
    <t>Recogni Inc</t>
  </si>
  <si>
    <t>Noblis, Inc.</t>
  </si>
  <si>
    <t>Inria</t>
  </si>
  <si>
    <t>bnc.org.cn</t>
  </si>
  <si>
    <t>Grow</t>
  </si>
  <si>
    <t>BEAM</t>
  </si>
  <si>
    <t>Federal Highway Research Institute</t>
  </si>
  <si>
    <t>Goodyear</t>
  </si>
  <si>
    <t>Acsia Technologies</t>
  </si>
  <si>
    <t>LSCM R&amp;D Centre</t>
  </si>
  <si>
    <t>safesecureai.com</t>
  </si>
  <si>
    <t>Universität Hamburg</t>
  </si>
  <si>
    <t>ROSAS</t>
  </si>
  <si>
    <t>ARCCA</t>
  </si>
  <si>
    <t>Hyundai Motor Manufacturing Alabama, LLC</t>
  </si>
  <si>
    <t>Dalian University of Technology</t>
  </si>
  <si>
    <t>INCHRON</t>
  </si>
  <si>
    <t>Truevision.ai</t>
  </si>
  <si>
    <t>Zenrin USA</t>
  </si>
  <si>
    <t>amplify design</t>
  </si>
  <si>
    <t>EDAG</t>
  </si>
  <si>
    <t>Collisure</t>
  </si>
  <si>
    <t>SATT Paris-Saclay</t>
  </si>
  <si>
    <t>Burke E. Porter Machinery</t>
  </si>
  <si>
    <t>Lawrence Technological University</t>
  </si>
  <si>
    <t>malusjapan.com</t>
  </si>
  <si>
    <t>HFCAS CAS</t>
  </si>
  <si>
    <t>YPFB Refinación S.A.</t>
  </si>
  <si>
    <t>Tsinghua University</t>
  </si>
  <si>
    <t>Blue River Technology</t>
  </si>
  <si>
    <t>Retrospect</t>
  </si>
  <si>
    <t>Embry-Riddle</t>
  </si>
  <si>
    <t>Prover</t>
  </si>
  <si>
    <t>aioi-atg.com</t>
  </si>
  <si>
    <t>fka SV</t>
  </si>
  <si>
    <t>Rapyuta Robotics Inc</t>
  </si>
  <si>
    <t>Perceptive Automata</t>
  </si>
  <si>
    <t>ICF International Inc</t>
  </si>
  <si>
    <t>tekaio.ai</t>
  </si>
  <si>
    <t>Vermeer</t>
  </si>
  <si>
    <t>Arendai</t>
  </si>
  <si>
    <t>Sciofint</t>
  </si>
  <si>
    <t>ClearSpecs Enterprises</t>
  </si>
  <si>
    <t>Åbo Akademi University</t>
  </si>
  <si>
    <t>ic-design.ru</t>
  </si>
  <si>
    <t>The University of North Carolina at Chapel Hill</t>
  </si>
  <si>
    <t>Caliber Data Labs</t>
  </si>
  <si>
    <t>BMT Defence Services</t>
  </si>
  <si>
    <t>Tech Briefs</t>
  </si>
  <si>
    <t>Como Park Engineering Associates</t>
  </si>
  <si>
    <t>Cvc Blr</t>
  </si>
  <si>
    <t>shacham3i.com</t>
  </si>
  <si>
    <t>Kinetic Metrics</t>
  </si>
  <si>
    <t>Innova Electronics</t>
  </si>
  <si>
    <t>Rnrt</t>
  </si>
  <si>
    <t>University of Amsterdam</t>
  </si>
  <si>
    <t>Spraggins Technology</t>
  </si>
  <si>
    <t>Imandra Inc</t>
  </si>
  <si>
    <t>Advanced Data Controls</t>
  </si>
  <si>
    <t>PFPR Communications</t>
  </si>
  <si>
    <t>Mississippi State University</t>
  </si>
  <si>
    <t>BLIC - Future of Mobility</t>
  </si>
  <si>
    <t>New York University</t>
  </si>
  <si>
    <t>Demon</t>
  </si>
  <si>
    <t>Sirab Technologies</t>
  </si>
  <si>
    <t>UBM Plc</t>
  </si>
  <si>
    <t>KTM</t>
  </si>
  <si>
    <t>Corporate</t>
  </si>
  <si>
    <t>University of South Carolina Upstate</t>
  </si>
  <si>
    <t>Analog Devices</t>
  </si>
  <si>
    <t>Sharedmobilitystrategies</t>
  </si>
  <si>
    <t>Bar-Ilan University</t>
  </si>
  <si>
    <t>Oakland Community College</t>
  </si>
  <si>
    <t>Marconi Pacific</t>
  </si>
  <si>
    <t>Saudi Basic Industries Corporation</t>
  </si>
  <si>
    <t>Guardian Optech</t>
  </si>
  <si>
    <t>XPI Simulation Ltd</t>
  </si>
  <si>
    <t>Accident Research</t>
  </si>
  <si>
    <t>Foresight AI</t>
  </si>
  <si>
    <t>extaccount.com</t>
  </si>
  <si>
    <t>SEAS LIMITED</t>
  </si>
  <si>
    <t>TRL Limited</t>
  </si>
  <si>
    <t>Automobile Club of Southern California</t>
  </si>
  <si>
    <t>Saint-Gobain</t>
  </si>
  <si>
    <t>foreng.com</t>
  </si>
  <si>
    <t>Chalmers University of Technology</t>
  </si>
  <si>
    <t>U.S. Department of Labor</t>
  </si>
  <si>
    <t>ITU consult</t>
  </si>
  <si>
    <t>Tudor Timi</t>
  </si>
  <si>
    <t>Bcaoo</t>
  </si>
  <si>
    <t>THE JOHNS HOPKINS UNIVERSITY APPLIED PHYSICS LABORATORY LLC</t>
  </si>
  <si>
    <t>Cyngn</t>
  </si>
  <si>
    <t>PiRo Systems Engineering</t>
  </si>
  <si>
    <t>Quantum Ventura</t>
  </si>
  <si>
    <t>University of Wisconsin-Madison</t>
  </si>
  <si>
    <t>The University of Tennessee at Chattanooga</t>
  </si>
  <si>
    <t>SuburVAN</t>
  </si>
  <si>
    <t>슈어소프트테크 Suresofttech</t>
  </si>
  <si>
    <t>shah.org</t>
  </si>
  <si>
    <t>Hexion</t>
  </si>
  <si>
    <t>Nihon Unisys, Ltd</t>
  </si>
  <si>
    <t>Nippon Sheet Glass</t>
  </si>
  <si>
    <t>hansenvtf.com</t>
  </si>
  <si>
    <t>Hitachi Automotive Systems Americas</t>
  </si>
  <si>
    <t>Spillbox</t>
  </si>
  <si>
    <t>RTP</t>
  </si>
  <si>
    <t>Ambarella Inc.</t>
  </si>
  <si>
    <t>Argonne National Laboratory</t>
  </si>
  <si>
    <t>Link Engineering Company</t>
  </si>
  <si>
    <t>Philips</t>
  </si>
  <si>
    <t>webcasts.com</t>
  </si>
  <si>
    <t>デンソーテクノ株式会社</t>
  </si>
  <si>
    <t>ASME</t>
  </si>
  <si>
    <t>Howard Industries</t>
  </si>
  <si>
    <t>usisrael.tech</t>
  </si>
  <si>
    <t>DuPont</t>
  </si>
  <si>
    <t>Sierra Nevada Corporation</t>
  </si>
  <si>
    <t>stefan-h-bauer.de</t>
  </si>
  <si>
    <t>Progineer Technologies</t>
  </si>
  <si>
    <t>Drew Technologies, Inc.</t>
  </si>
  <si>
    <t>Shanghai Automotive Industry Corporation Motor Corporation Limited</t>
  </si>
  <si>
    <t>GKN AUTOMOTIVE LIMITED</t>
  </si>
  <si>
    <t>Systomix</t>
  </si>
  <si>
    <t>Danfoss</t>
  </si>
  <si>
    <t>LTK Engineering</t>
  </si>
  <si>
    <t>Monolithic Power Systems, Inc.</t>
  </si>
  <si>
    <t>Snap-on Incorporated</t>
  </si>
  <si>
    <t>Modus Operandi</t>
  </si>
  <si>
    <t>Autologic Diagnostics</t>
  </si>
  <si>
    <t>ICCS NTUA</t>
  </si>
  <si>
    <t>NEC Labs America</t>
  </si>
  <si>
    <t>Visiting From Space</t>
  </si>
  <si>
    <t>MM Solutions</t>
  </si>
  <si>
    <t>Lgsp</t>
  </si>
  <si>
    <t>dayliblockchain.com</t>
  </si>
  <si>
    <t>I2D Innovation to Design</t>
  </si>
  <si>
    <t>Chris Geissler</t>
  </si>
  <si>
    <t>American Center for Mobility</t>
  </si>
  <si>
    <t>VinFast</t>
  </si>
  <si>
    <t>Ministry of Defense</t>
  </si>
  <si>
    <t>Beep</t>
  </si>
  <si>
    <t>LTD.', '삼송 주식회사 (SAMSONG INDUSTRIES, LTD.)</t>
  </si>
  <si>
    <t>Signfastic</t>
  </si>
  <si>
    <t>2THEDGE</t>
  </si>
  <si>
    <t>Edgio, Inc.</t>
  </si>
  <si>
    <t>Xiamen Golden Dragon Bus Co. Ltd  厦门金龙旅行车有限公司</t>
  </si>
  <si>
    <t>KU Leuven</t>
  </si>
  <si>
    <t>Fujifilm Corporation</t>
  </si>
  <si>
    <t>HEIA-HTA FRIBOURG</t>
  </si>
  <si>
    <t>Occipital Inc</t>
  </si>
  <si>
    <t>HYUNDAI MOTOR SECURITIES CO.,LTD</t>
  </si>
  <si>
    <t>Cathay Pacific</t>
  </si>
  <si>
    <t>COMPASS TRANSPORTATION AND TECHNOLOGY</t>
  </si>
  <si>
    <t>VectoIQ</t>
  </si>
  <si>
    <t>VocalZoom</t>
  </si>
  <si>
    <t>Cybershoes</t>
  </si>
  <si>
    <t>polelink.com</t>
  </si>
  <si>
    <t>Nomura International plc</t>
  </si>
  <si>
    <t>SpicaWorks</t>
  </si>
  <si>
    <t>eyeSight Technologies</t>
  </si>
  <si>
    <t>אחים לוינסון</t>
  </si>
  <si>
    <t>Xsense</t>
  </si>
  <si>
    <t>Hankook Tire</t>
  </si>
  <si>
    <t>CM Labs Simulations Inc</t>
  </si>
  <si>
    <t>atiplaltran.com</t>
  </si>
  <si>
    <t>mail.mil</t>
  </si>
  <si>
    <t>Razdan Research Institute</t>
  </si>
  <si>
    <t>Kyungshin</t>
  </si>
  <si>
    <t>KFM Strategic IP</t>
  </si>
  <si>
    <t>ROHDE&amp;SCHWARZ</t>
  </si>
  <si>
    <t>Toga Networks-a Huawei</t>
  </si>
  <si>
    <t>Reed Alcantara</t>
  </si>
  <si>
    <t>Cambridge Mechatronics</t>
  </si>
  <si>
    <t>City of Las Vegas</t>
  </si>
  <si>
    <t>Touchgroup</t>
  </si>
  <si>
    <t>Korea Advanced Institute of Science and Technology</t>
  </si>
  <si>
    <t>Cortica</t>
  </si>
  <si>
    <t>Autonomous Stuff LLC</t>
  </si>
  <si>
    <t>investhk.com.hk</t>
  </si>
  <si>
    <t>Business Development Bank of Canada</t>
  </si>
  <si>
    <t>Enterprise Singapore</t>
  </si>
  <si>
    <t>Tritem Microsystems</t>
  </si>
  <si>
    <t>Hunter Engineering</t>
  </si>
  <si>
    <t>Université d'Évry</t>
  </si>
  <si>
    <t>SIRIN LABS</t>
  </si>
  <si>
    <t>Playment</t>
  </si>
  <si>
    <t>Century Mold</t>
  </si>
  <si>
    <t>LightMetrics</t>
  </si>
  <si>
    <t>National Electrical Manufacturers Association</t>
  </si>
  <si>
    <t>nuTonomy</t>
  </si>
  <si>
    <t>Yanfeng</t>
  </si>
  <si>
    <t>FreeMind Group LLC</t>
  </si>
  <si>
    <t>新興化成株式会社</t>
  </si>
  <si>
    <t>Micronet</t>
  </si>
  <si>
    <t>Hopucap</t>
  </si>
  <si>
    <t>TriEye</t>
  </si>
  <si>
    <t>TotalEnergies</t>
  </si>
  <si>
    <t>Emerald Performance Materials</t>
  </si>
  <si>
    <t>Sogefi Group</t>
  </si>
  <si>
    <t>Exaud</t>
  </si>
  <si>
    <t>Alpha Drive Inc</t>
  </si>
  <si>
    <t>Avanta Ventures</t>
  </si>
  <si>
    <t>car-men.de</t>
  </si>
  <si>
    <t>Aniwo</t>
  </si>
  <si>
    <t>Universal Instruments Corporation</t>
  </si>
  <si>
    <t>SBB CFF FFS</t>
  </si>
  <si>
    <t>Applied Optoelectronics</t>
  </si>
  <si>
    <t>LGN</t>
  </si>
  <si>
    <t>Curtiss-Wright</t>
  </si>
  <si>
    <t>Geospatial Media and Communications Pvt. Ltd.</t>
  </si>
  <si>
    <t>CapstoneONE Search</t>
  </si>
  <si>
    <t>System Soft Technologies LLC</t>
  </si>
  <si>
    <t>EasyMile</t>
  </si>
  <si>
    <t>WindsorEssex Economic Development</t>
  </si>
  <si>
    <t>Allianz</t>
  </si>
  <si>
    <t>Source Technology</t>
  </si>
  <si>
    <t>Plan Optik</t>
  </si>
  <si>
    <t>Imint Vidhance</t>
  </si>
  <si>
    <t>rnediatek.com</t>
  </si>
  <si>
    <t>Clarion</t>
  </si>
  <si>
    <t>SmartDrive Systems Inc</t>
  </si>
  <si>
    <t>Snappers</t>
  </si>
  <si>
    <t>Axa Insurance</t>
  </si>
  <si>
    <t>重庆多聚科技有限公司</t>
  </si>
  <si>
    <t>zerozero.cn</t>
  </si>
  <si>
    <t>Itftechnologies</t>
  </si>
  <si>
    <t>CRAIN COMMUNICATIONS INC</t>
  </si>
  <si>
    <t>Ion Pacific</t>
  </si>
  <si>
    <t>Orbotech</t>
  </si>
  <si>
    <t>Sinclair Broadcast Group</t>
  </si>
  <si>
    <t>THN</t>
  </si>
  <si>
    <t>SETSCO Services Pte Ltd</t>
  </si>
  <si>
    <t>LUIGI LAVAZZA SPA</t>
  </si>
  <si>
    <t>ERNI Electronics</t>
  </si>
  <si>
    <t>frt-gmbh.com</t>
  </si>
  <si>
    <t>Hyundai Autron</t>
  </si>
  <si>
    <t>Perseus Co.</t>
  </si>
  <si>
    <t>amitivc.com</t>
  </si>
  <si>
    <t>FDTech</t>
  </si>
  <si>
    <t>Futura Automation</t>
  </si>
  <si>
    <t>London Business School</t>
  </si>
  <si>
    <t>Maradin Ltd</t>
  </si>
  <si>
    <t>n-koei.jp</t>
  </si>
  <si>
    <t>Cathay Innovation</t>
  </si>
  <si>
    <t>nextdimension.com.cn</t>
  </si>
  <si>
    <t>Cleo Drone</t>
  </si>
  <si>
    <t>Coolpad</t>
  </si>
  <si>
    <t>Motus Ventures</t>
  </si>
  <si>
    <t>Metal Flow</t>
  </si>
  <si>
    <t>Realtime Robotics Inc</t>
  </si>
  <si>
    <t>Cosworth</t>
  </si>
  <si>
    <t>XT Flyer</t>
  </si>
  <si>
    <t>lawcommission.gov.uk</t>
  </si>
  <si>
    <t>Whetron Electronics Co., Ltd.</t>
  </si>
  <si>
    <t>Protech</t>
  </si>
  <si>
    <t>SMARTSHOOTER</t>
  </si>
  <si>
    <t>zerotech.com</t>
  </si>
  <si>
    <t>OmniAir Consortium</t>
  </si>
  <si>
    <t>Nerudia</t>
  </si>
  <si>
    <t>SerpicoDEV</t>
  </si>
  <si>
    <t>CIRTech Fund</t>
  </si>
  <si>
    <t>Guerrilla RF</t>
  </si>
  <si>
    <t>Epic Games, Inc.</t>
  </si>
  <si>
    <t>White Raven</t>
  </si>
  <si>
    <t>NOVA Technologies</t>
  </si>
  <si>
    <t>XCube</t>
  </si>
  <si>
    <t>Oetiker</t>
  </si>
  <si>
    <t>National Transportation Safety Board</t>
  </si>
  <si>
    <t>IVC Research Center</t>
  </si>
  <si>
    <t>Transportation Research Center</t>
  </si>
  <si>
    <t>ITW Deltar Fasteners</t>
  </si>
  <si>
    <t>toender.org</t>
  </si>
  <si>
    <t>Truck Safety Coalition</t>
  </si>
  <si>
    <t>Sunny Optical Technology</t>
  </si>
  <si>
    <t>ElectRay Technologies Pvt. Ltd.</t>
  </si>
  <si>
    <t>KETI</t>
  </si>
  <si>
    <t>AVAIRX</t>
  </si>
  <si>
    <t>Aurora Labs</t>
  </si>
  <si>
    <t>FERNRIDE</t>
  </si>
  <si>
    <t>dreyev</t>
  </si>
  <si>
    <t>Joyride Technologies Inc</t>
  </si>
  <si>
    <t>Practical agile</t>
  </si>
  <si>
    <t>Unicontrol Systemtechnik</t>
  </si>
  <si>
    <t>warsha-law.com</t>
  </si>
  <si>
    <t>Eventide Asset Management LLC</t>
  </si>
  <si>
    <t>VCA</t>
  </si>
  <si>
    <t>DeepMap Inc</t>
  </si>
  <si>
    <t>Intralink Ltd</t>
  </si>
  <si>
    <t>Deepen AI</t>
  </si>
  <si>
    <t>Primax Electronics</t>
  </si>
  <si>
    <t>SEVAK Limited</t>
  </si>
  <si>
    <t>Voyage</t>
  </si>
  <si>
    <t>carhs</t>
  </si>
  <si>
    <t>Smart Express</t>
  </si>
  <si>
    <t>ARC EUROPE</t>
  </si>
  <si>
    <t>HTC</t>
  </si>
  <si>
    <t>Haldex</t>
  </si>
  <si>
    <t>Sekonix Co</t>
  </si>
  <si>
    <t>RAND Corp</t>
  </si>
  <si>
    <t>StratMa International</t>
  </si>
  <si>
    <t>ProgForce</t>
  </si>
  <si>
    <t>smb.hu</t>
  </si>
  <si>
    <t>ntp-g.com</t>
  </si>
  <si>
    <t>Razor Labs Ltd</t>
  </si>
  <si>
    <t>Envisage Group Ltd</t>
  </si>
  <si>
    <t>Informática Stech Limitada</t>
  </si>
  <si>
    <t>energymgmtsystems.com</t>
  </si>
  <si>
    <t>Controp Precision Technologies</t>
  </si>
  <si>
    <t>hong-bo.com.tw</t>
  </si>
  <si>
    <t>ABSA</t>
  </si>
  <si>
    <t>magility</t>
  </si>
  <si>
    <t>VI-grade</t>
  </si>
  <si>
    <t>Beijing Automotive Industry Holding Co. Ltd.</t>
  </si>
  <si>
    <t>ORM</t>
  </si>
  <si>
    <t>CardiacSense Ltd</t>
  </si>
  <si>
    <t>ACM - Association for Computing Machinery</t>
  </si>
  <si>
    <t>SUZUKI MOTOR OF AMERICA</t>
  </si>
  <si>
    <t>Raymond</t>
  </si>
  <si>
    <t>SOCIETY OF AUTOMOTIVE ENGINEERS OF JAPAN</t>
  </si>
  <si>
    <t>Westat</t>
  </si>
  <si>
    <t>Tektronix</t>
  </si>
  <si>
    <t>Skolkovo Foundation</t>
  </si>
  <si>
    <t>Greenfield Partners</t>
  </si>
  <si>
    <t>United Microelectronics Corporation</t>
  </si>
  <si>
    <t>zmax-tw.com</t>
  </si>
  <si>
    <t>Veritas Legal</t>
  </si>
  <si>
    <t>Elca de Colombia</t>
  </si>
  <si>
    <t>emotion3D GmbH</t>
  </si>
  <si>
    <t>aoci.com.tw</t>
  </si>
  <si>
    <t>InPhenix</t>
  </si>
  <si>
    <t>AMD</t>
  </si>
  <si>
    <t>Ajat Oy</t>
  </si>
  <si>
    <t>Ministry of Economy, Trade, and Industry</t>
  </si>
  <si>
    <t>UbiqiSense ApS</t>
  </si>
  <si>
    <t>Specialized Bicycle Components, Inc.</t>
  </si>
  <si>
    <t>sáv Hospitality</t>
  </si>
  <si>
    <t>Venable LLP</t>
  </si>
  <si>
    <t>EDA Direct</t>
  </si>
  <si>
    <t>uwe-loos.de</t>
  </si>
  <si>
    <t>The Bay Link Blog</t>
  </si>
  <si>
    <t>Element Materials Technology</t>
  </si>
  <si>
    <t>Aon plc</t>
  </si>
  <si>
    <t>China Asset Management Co.,LTD</t>
  </si>
  <si>
    <t>fusionir.com</t>
  </si>
  <si>
    <t>Urbana</t>
  </si>
  <si>
    <t>오토캐스트</t>
  </si>
  <si>
    <t>Hochschule für angewandte Wissenschaften Kempten</t>
  </si>
  <si>
    <t>KT corp.</t>
  </si>
  <si>
    <t>Supahands</t>
  </si>
  <si>
    <t>CE Ventures</t>
  </si>
  <si>
    <t>TG-Trust</t>
  </si>
  <si>
    <t>T-Systems International GmbH</t>
  </si>
  <si>
    <t>Oregan Networks Ltd</t>
  </si>
  <si>
    <t>Aquatuning GmbH</t>
  </si>
  <si>
    <t>HBH InvestorServices</t>
  </si>
  <si>
    <t>HDnetwork</t>
  </si>
  <si>
    <t>poLight</t>
  </si>
  <si>
    <t>China FAW group corporation R&amp;D center</t>
  </si>
  <si>
    <t>Capricorn</t>
  </si>
  <si>
    <t>luxinnovation gie</t>
  </si>
  <si>
    <t>Tal Capital</t>
  </si>
  <si>
    <t>Peermagic.com</t>
  </si>
  <si>
    <t>Wells Vehicle Electronics</t>
  </si>
  <si>
    <t>fih-foxconn.com</t>
  </si>
  <si>
    <t>Future AI Technology</t>
  </si>
  <si>
    <t>Israel Aerospace Industries Ltd.</t>
  </si>
  <si>
    <t>CITIC Securities Co., Ltd.</t>
  </si>
  <si>
    <t>Validas</t>
  </si>
  <si>
    <t>End State Solutions LLC</t>
  </si>
  <si>
    <t>StoreDot</t>
  </si>
  <si>
    <t>CARIAD SE</t>
  </si>
  <si>
    <t>NA Williams</t>
  </si>
  <si>
    <t>G-Pulse Electronics</t>
  </si>
  <si>
    <t>udelv</t>
  </si>
  <si>
    <t>abilisense</t>
  </si>
  <si>
    <t>gacrndusa.com</t>
  </si>
  <si>
    <t>MediaTek Inc.</t>
  </si>
  <si>
    <t>Baloise CH</t>
  </si>
  <si>
    <t>Ducati Motor Holding S.p.A</t>
  </si>
  <si>
    <t>Taavura Holdings Ltd</t>
  </si>
  <si>
    <t>trulyopto.cn</t>
  </si>
  <si>
    <t>CNW Courier Network</t>
  </si>
  <si>
    <t>Tacit Motion</t>
  </si>
  <si>
    <t>RTC Main</t>
  </si>
  <si>
    <t>Foresight Autonomous Holdings Ltd</t>
  </si>
  <si>
    <t>Hanyang University</t>
  </si>
  <si>
    <t>GoPro, Inc.</t>
  </si>
  <si>
    <t>Metamoto</t>
  </si>
  <si>
    <t>MONDRAGON UNIBERTSITATEA Loramendi, 4</t>
  </si>
  <si>
    <t>Inomize</t>
  </si>
  <si>
    <t>APCOA Parking</t>
  </si>
  <si>
    <t>c.chucholowski@tesis.de</t>
  </si>
  <si>
    <t>Ecr</t>
  </si>
  <si>
    <t>Marco Polo Hotels</t>
  </si>
  <si>
    <t>Inuitive</t>
  </si>
  <si>
    <t>flpoly.org</t>
  </si>
  <si>
    <t>sharp.co.jp</t>
  </si>
  <si>
    <t>A Connected Car News</t>
  </si>
  <si>
    <t>Ladenburg Thalmann &amp; Co.</t>
  </si>
  <si>
    <t>KTH</t>
  </si>
  <si>
    <t>Nomoko</t>
  </si>
  <si>
    <t>Peak Solution</t>
  </si>
  <si>
    <t>vectorzeroinc.com</t>
  </si>
  <si>
    <t>merging-point.com</t>
  </si>
  <si>
    <t>Taser International</t>
  </si>
  <si>
    <t>PVA TePla</t>
  </si>
  <si>
    <t>Microchip Technology Incorporated</t>
  </si>
  <si>
    <t>Engineering Services M. Dupuis</t>
  </si>
  <si>
    <t>O.G. Tech</t>
  </si>
  <si>
    <t>dRISK</t>
  </si>
  <si>
    <t>Tome</t>
  </si>
  <si>
    <t>AnyConnect</t>
  </si>
  <si>
    <t>TECOB Consulting e.U.</t>
  </si>
  <si>
    <t>Fastree3D</t>
  </si>
  <si>
    <t>OnlineAutoExport</t>
  </si>
  <si>
    <t>Sonnet.ai</t>
  </si>
  <si>
    <t>Gov</t>
  </si>
  <si>
    <t>Mercer Strategic Alliance</t>
  </si>
  <si>
    <t>SEMI</t>
  </si>
  <si>
    <t>LEAN MC</t>
  </si>
  <si>
    <t>LITE-ON</t>
  </si>
  <si>
    <t>Miles GL Capital Management</t>
  </si>
  <si>
    <t>comma</t>
  </si>
  <si>
    <t>Exponent</t>
  </si>
  <si>
    <t>Kinko Optical Co.</t>
  </si>
  <si>
    <t>alforiag.com</t>
  </si>
  <si>
    <t>Tritium</t>
  </si>
  <si>
    <t>Satori Electric Co.,Ltd</t>
  </si>
  <si>
    <t>ALP.Lab</t>
  </si>
  <si>
    <t>Jahwa Electronics</t>
  </si>
  <si>
    <t>Geely Design Center Gothenburg</t>
  </si>
  <si>
    <t>xiaomi.com</t>
  </si>
  <si>
    <t>mmsi.com</t>
  </si>
  <si>
    <t>Sensemedia-Events</t>
  </si>
  <si>
    <t>Immervision Inc</t>
  </si>
  <si>
    <t>RVI</t>
  </si>
  <si>
    <t>Liven</t>
  </si>
  <si>
    <t>havalus.com</t>
  </si>
  <si>
    <t>Qtech Global</t>
  </si>
  <si>
    <t>exitholdings.com</t>
  </si>
  <si>
    <t>תעבורה</t>
  </si>
  <si>
    <t>Gilat Satellite Networks Ltd</t>
  </si>
  <si>
    <t>hozel.com.cn</t>
  </si>
  <si>
    <t>Namuga</t>
  </si>
  <si>
    <t>Conexx</t>
  </si>
  <si>
    <t>Tokai Clarion,Ltd.</t>
  </si>
  <si>
    <t>MITSUMI ELECTRIC CO., LTD.</t>
  </si>
  <si>
    <t>tbs-co.com.tw</t>
  </si>
  <si>
    <t>Nilfisk</t>
  </si>
  <si>
    <t>Hyundai America Technical Center</t>
  </si>
  <si>
    <t>Draper</t>
  </si>
  <si>
    <t>cmil.es</t>
  </si>
  <si>
    <t>Lumus</t>
  </si>
  <si>
    <t>Global Open Partners</t>
  </si>
  <si>
    <t>AMS Lighting</t>
  </si>
  <si>
    <t>Almalence Inc</t>
  </si>
  <si>
    <t>TCL Corporation</t>
  </si>
  <si>
    <t>CBC</t>
  </si>
  <si>
    <t>Yissum</t>
  </si>
  <si>
    <t>abgs.se</t>
  </si>
  <si>
    <t>RE:Lab</t>
  </si>
  <si>
    <t>OmniVision Technologies</t>
  </si>
  <si>
    <t>SINA Corporation</t>
  </si>
  <si>
    <t>National Safety Council</t>
  </si>
  <si>
    <t>Budapest University of Technology and Economics</t>
  </si>
  <si>
    <t>DG Cities</t>
  </si>
  <si>
    <t>understand.ai</t>
  </si>
  <si>
    <t>Unity</t>
  </si>
  <si>
    <t>Bell Flight</t>
  </si>
  <si>
    <t>RobotWits</t>
  </si>
  <si>
    <t>fplus.ventures</t>
  </si>
  <si>
    <t>GlobalLogic</t>
  </si>
  <si>
    <t>ACUTElogic</t>
  </si>
  <si>
    <t>Thinkware Corporation</t>
  </si>
  <si>
    <t>Banyan Capital</t>
  </si>
  <si>
    <t>MTA S.p.A.</t>
  </si>
  <si>
    <t>Cognata</t>
  </si>
  <si>
    <t>Yole Développement</t>
  </si>
  <si>
    <t>BIOHOUSE GROUP</t>
  </si>
  <si>
    <t>mallity.com</t>
  </si>
  <si>
    <t>VICOM LTD</t>
  </si>
  <si>
    <t>IM DIGITAL PHIL</t>
  </si>
  <si>
    <t>opel-vauxhall.com</t>
  </si>
  <si>
    <t>Cgsllc</t>
  </si>
  <si>
    <t>Copia Growth Partners</t>
  </si>
  <si>
    <t>Deutsche Bank AG</t>
  </si>
  <si>
    <t>佳凌科技股份有限公司</t>
  </si>
  <si>
    <t>Dataspeed Inc.</t>
  </si>
  <si>
    <t>Hisense Co., Ltd.</t>
  </si>
  <si>
    <t>Yamato Transport</t>
  </si>
  <si>
    <t>Aetna</t>
  </si>
  <si>
    <t>Microsystems</t>
  </si>
  <si>
    <t>Techtime - חדשות אלקטרוניקה והייטק</t>
  </si>
  <si>
    <t>Infinity Augmented Reality</t>
  </si>
  <si>
    <t>3M Company</t>
  </si>
  <si>
    <t>woocal.com</t>
  </si>
  <si>
    <t>Doosan Corporation</t>
  </si>
  <si>
    <t>University of Ljubljana</t>
  </si>
  <si>
    <t>IBI</t>
  </si>
  <si>
    <t>Spark יזמות, שיווק ופיתוח עסקי</t>
  </si>
  <si>
    <t>Arizona Commerce Authority</t>
  </si>
  <si>
    <t>Arnold &amp; Porter</t>
  </si>
  <si>
    <t>IntelliPro</t>
  </si>
  <si>
    <t>vivo Mobile Communication Co., Ltd.</t>
  </si>
  <si>
    <t>Razor Technologies</t>
  </si>
  <si>
    <t>Solutec America</t>
  </si>
  <si>
    <t>rebeccadrives.com</t>
  </si>
  <si>
    <t>Lockheed Martin Corporation</t>
  </si>
  <si>
    <t>NGSoft</t>
  </si>
  <si>
    <t>Sompo Japan Insurance Inc.</t>
  </si>
  <si>
    <t>opsys-tech-2023a</t>
  </si>
  <si>
    <t>DriveU.auto</t>
  </si>
  <si>
    <t>SAIC Motor UK Technical Centre Limited</t>
  </si>
  <si>
    <t>OFFIS</t>
  </si>
  <si>
    <t>Cambridge Consultants Limited</t>
  </si>
  <si>
    <t>HDL Design House</t>
  </si>
  <si>
    <t>Ciphersip</t>
  </si>
  <si>
    <t>MSC Software</t>
  </si>
  <si>
    <t>MetaRatio</t>
  </si>
  <si>
    <t>University of Virginia</t>
  </si>
  <si>
    <t>Northwestern University</t>
  </si>
  <si>
    <t>Brightway Vision</t>
  </si>
  <si>
    <t>iga.co.il</t>
  </si>
  <si>
    <t>Servotronix Motion Control</t>
  </si>
  <si>
    <t>Eastman Kodak Company</t>
  </si>
  <si>
    <t>MetaMorph</t>
  </si>
  <si>
    <t>Radiomize LTD.</t>
  </si>
  <si>
    <t>medevicexp.com</t>
  </si>
  <si>
    <t>TalTech/OPTIBET</t>
  </si>
  <si>
    <t>83North</t>
  </si>
  <si>
    <t>mb.ee</t>
  </si>
  <si>
    <t>Vanderbilt University</t>
  </si>
  <si>
    <t>CavPoint</t>
  </si>
  <si>
    <t>United Technologies</t>
  </si>
  <si>
    <t>HEBERT, KATHRYN M</t>
  </si>
  <si>
    <t>The Institute of Electrical and Electronics Engineers, Inc.</t>
  </si>
  <si>
    <t>Catapult</t>
  </si>
  <si>
    <t>FZI Forschungszentrum Informatik</t>
  </si>
  <si>
    <t>Massachusetts Institute of Technology</t>
  </si>
  <si>
    <t>Tallinn University of Technology</t>
  </si>
  <si>
    <t>Ridecell Inc</t>
  </si>
  <si>
    <t>ryundai.com</t>
  </si>
  <si>
    <t>mitsubishielectrie.co.jp</t>
  </si>
  <si>
    <t>OTSL Inc</t>
  </si>
  <si>
    <t>CSound Records</t>
  </si>
  <si>
    <t>Yale University</t>
  </si>
  <si>
    <t>J.C. Bamford Excavators Limited</t>
  </si>
  <si>
    <t>Movinity.ai</t>
  </si>
  <si>
    <t>PAL Robotics</t>
  </si>
  <si>
    <t>capella3d.com</t>
  </si>
  <si>
    <t>apollo vehicle safety</t>
  </si>
  <si>
    <t>Institute of Vehicle Engineering</t>
  </si>
  <si>
    <t>Sabnetcomms</t>
  </si>
  <si>
    <t>CMORE Automotive</t>
  </si>
  <si>
    <t>Streetscope Inc</t>
  </si>
  <si>
    <t>Impactconf</t>
  </si>
  <si>
    <t>ios.ac.cn</t>
  </si>
  <si>
    <t>Startup Sesame</t>
  </si>
  <si>
    <t>Liberum Capital Limited</t>
  </si>
  <si>
    <t>SZ DJI Technology Co., Ltd.</t>
  </si>
  <si>
    <t>DENSO CORPORATION</t>
  </si>
  <si>
    <t>D-Vision Systems</t>
  </si>
  <si>
    <t>yandex-team.ru</t>
  </si>
  <si>
    <t>Quantum Signal AI LLC</t>
  </si>
  <si>
    <t>Universitat Autònoma de Barcelona</t>
  </si>
  <si>
    <t>Canoo Inc.</t>
  </si>
  <si>
    <t>ViaMeshi</t>
  </si>
  <si>
    <t>Middlematter</t>
  </si>
  <si>
    <t>HLRS</t>
  </si>
  <si>
    <t>Cacao Media</t>
  </si>
  <si>
    <t>Easyergo</t>
  </si>
  <si>
    <t>cyclop.ai</t>
  </si>
  <si>
    <t>Jabra</t>
  </si>
  <si>
    <t>Automobility</t>
  </si>
  <si>
    <t>POUL HØGH ApS</t>
  </si>
  <si>
    <t>mobis-usa.com</t>
  </si>
  <si>
    <t>fka</t>
  </si>
  <si>
    <t>Tafnit Ltd</t>
  </si>
  <si>
    <t>TomTom</t>
  </si>
  <si>
    <t>d-remo.com</t>
  </si>
  <si>
    <t>kallenbachs.de</t>
  </si>
  <si>
    <t>pepro.io</t>
  </si>
  <si>
    <t>Autofleet Systems Ltd</t>
  </si>
  <si>
    <t>Spectory</t>
  </si>
  <si>
    <t>Hanyang Information &amp; Communications Co Ltd</t>
  </si>
  <si>
    <t>ERGO</t>
  </si>
  <si>
    <t>Sarona Partners</t>
  </si>
  <si>
    <t>365x</t>
  </si>
  <si>
    <t>tech-space.cn</t>
  </si>
  <si>
    <t>HRL Laboratories, LLC</t>
  </si>
  <si>
    <t>dnamic.nl</t>
  </si>
  <si>
    <t>Argonaut International Consulting</t>
  </si>
  <si>
    <t>Rijkswaterstaat Noordzee</t>
  </si>
  <si>
    <t>RAI Amsterdam</t>
  </si>
  <si>
    <t>International Road Federation</t>
  </si>
  <si>
    <t>PH Initiatives Ltd</t>
  </si>
  <si>
    <t>Trucks</t>
  </si>
  <si>
    <t>Technische Universität Darmstadt</t>
  </si>
  <si>
    <t>Einride</t>
  </si>
  <si>
    <t>KLEVER</t>
  </si>
  <si>
    <t>USC</t>
  </si>
  <si>
    <t>GCAPS</t>
  </si>
  <si>
    <t>Silicon Mobility</t>
  </si>
  <si>
    <t>VERTechs</t>
  </si>
  <si>
    <t>ccav.gov.uk</t>
  </si>
  <si>
    <t>Persistent Systems Inc</t>
  </si>
  <si>
    <t>LCS Compliance Testing Laboratory Ltd.</t>
  </si>
  <si>
    <t>Next Limit</t>
  </si>
  <si>
    <t>M14 INTELLIGENCE</t>
  </si>
  <si>
    <t>Evalueserve</t>
  </si>
  <si>
    <t>Applanix</t>
  </si>
  <si>
    <t>Guidehouse LLP.</t>
  </si>
  <si>
    <t>Martin Technologies - Martin Motorsports</t>
  </si>
  <si>
    <t>May Mobility Inc</t>
  </si>
  <si>
    <t>AAMVA</t>
  </si>
  <si>
    <t>Future Electronics Inc.</t>
  </si>
  <si>
    <t>niwapi.ai</t>
  </si>
  <si>
    <t>Intelidrive</t>
  </si>
  <si>
    <t>radian-technologies.com</t>
  </si>
  <si>
    <t>Anritsu Corporation</t>
  </si>
  <si>
    <t>VTT</t>
  </si>
  <si>
    <t>Nasertic</t>
  </si>
  <si>
    <t>ZalaZONE Research &amp; Innovation</t>
  </si>
  <si>
    <t>Merantix</t>
  </si>
  <si>
    <t>kia-europe.com</t>
  </si>
  <si>
    <t>XYLON</t>
  </si>
  <si>
    <t>I&amp;S</t>
  </si>
  <si>
    <t>BTC Embedded Systems</t>
  </si>
  <si>
    <t>eidland.se</t>
  </si>
  <si>
    <t>Sioux Technologies</t>
  </si>
  <si>
    <t>Civil Aviation Authority of Singapore</t>
  </si>
  <si>
    <t>BSI Group</t>
  </si>
  <si>
    <t>SkyWay Technologies Co.</t>
  </si>
  <si>
    <t>Corghi</t>
  </si>
  <si>
    <t>astools.nz</t>
  </si>
  <si>
    <t>Adasky</t>
  </si>
  <si>
    <t>AVL-ZalaZONE Ltd</t>
  </si>
  <si>
    <t>Rijksoverheid</t>
  </si>
  <si>
    <t>Quantitative Scientific Solutions</t>
  </si>
  <si>
    <t>Junta de Castilla y León</t>
  </si>
  <si>
    <t>Autostrade per l'Italia</t>
  </si>
  <si>
    <t>Lange-Electronic</t>
  </si>
  <si>
    <t>FormelD</t>
  </si>
  <si>
    <t>TÜV SÜD</t>
  </si>
  <si>
    <t>TU Dortmund</t>
  </si>
  <si>
    <t>Stephen Selander</t>
  </si>
  <si>
    <t>Ministry of Transport</t>
  </si>
  <si>
    <t>Kontrol</t>
  </si>
  <si>
    <t>State of New York</t>
  </si>
  <si>
    <t>Abalta Technologies</t>
  </si>
  <si>
    <t>Université de Sherbrooke</t>
  </si>
  <si>
    <t>THE AUTOMOTIVE RESEARCH ASSOCIATION OF INDIA</t>
  </si>
  <si>
    <t>Acclivis Technologies Pvt</t>
  </si>
  <si>
    <t>Five</t>
  </si>
  <si>
    <t>fosgardpr.com</t>
  </si>
  <si>
    <t>UKi Media &amp; Events</t>
  </si>
  <si>
    <t>Gwangju Institute of Science and Technology</t>
  </si>
  <si>
    <t>Johannesburg Road Agency</t>
  </si>
  <si>
    <t>Richard Bishop</t>
  </si>
  <si>
    <t>MASTAŞ Panel Radyatör</t>
  </si>
  <si>
    <t>sales@hkaco.com</t>
  </si>
  <si>
    <t>FH Aachen</t>
  </si>
  <si>
    <t>Atlatec</t>
  </si>
  <si>
    <t>Flanders Make</t>
  </si>
  <si>
    <t>Shibaura Institute of Technology</t>
  </si>
  <si>
    <t>Global Crown Technology</t>
  </si>
  <si>
    <t>Verifore</t>
  </si>
  <si>
    <t>Beijing Xiaoju Technology</t>
  </si>
  <si>
    <t>ngo1.com</t>
  </si>
  <si>
    <t>rhdhv.com</t>
  </si>
  <si>
    <t>kj-mc.com</t>
  </si>
  <si>
    <t>Mechanical Simulation</t>
  </si>
  <si>
    <t>Cintra</t>
  </si>
  <si>
    <t>mzone.site</t>
  </si>
  <si>
    <t>Bridgepoint</t>
  </si>
  <si>
    <t>Verdict</t>
  </si>
  <si>
    <t>Zepto Systems</t>
  </si>
  <si>
    <t>Brilliance Ventures</t>
  </si>
  <si>
    <t>VSI Labs</t>
  </si>
  <si>
    <t>The Ohio State University</t>
  </si>
  <si>
    <t>doWhile</t>
  </si>
  <si>
    <t>Interuniversity Microelectronics Centre</t>
  </si>
  <si>
    <t>imec</t>
  </si>
  <si>
    <t>Vayavya Labs Pvt. Ltd.</t>
  </si>
  <si>
    <t>Jump Operations LLC</t>
  </si>
  <si>
    <t>DoubleCloud</t>
  </si>
  <si>
    <t>First Move Capital</t>
  </si>
  <si>
    <t>Newcastle University</t>
  </si>
  <si>
    <t>saimo.ai</t>
  </si>
  <si>
    <t>Kyutech</t>
  </si>
  <si>
    <t>Knesset</t>
  </si>
  <si>
    <t>Arriver</t>
  </si>
  <si>
    <t>safermobility.fr</t>
  </si>
  <si>
    <t>AMIQ EDA</t>
  </si>
  <si>
    <t>waylancer.com</t>
  </si>
  <si>
    <t>fwsite</t>
  </si>
  <si>
    <t>Adelard</t>
  </si>
  <si>
    <t>eidc.org.cn</t>
  </si>
  <si>
    <t>Floris van de Klashorst</t>
  </si>
  <si>
    <t>Technische Universität Ilmenau</t>
  </si>
  <si>
    <t>HORIBA MIRA Ltd.</t>
  </si>
  <si>
    <t>LHP Engineering Solutions</t>
  </si>
  <si>
    <t>elta.co.il</t>
  </si>
  <si>
    <t>Fengco Real Time Control AB</t>
  </si>
  <si>
    <t>Insight Enterprises</t>
  </si>
  <si>
    <t>College of DuPage</t>
  </si>
  <si>
    <t>Seidl Software</t>
  </si>
  <si>
    <t>SenseTime Japan</t>
  </si>
  <si>
    <t>Aisin do Brasil Comercio e Industria Ltda.</t>
  </si>
  <si>
    <t>CANON IT SOLUTIONS INC.</t>
  </si>
  <si>
    <t>MIRISE Technologies</t>
  </si>
  <si>
    <t>FS Micro</t>
  </si>
  <si>
    <t>Kurume Institute of Technology</t>
  </si>
  <si>
    <t>OUTSOURCING TECHNOLOGY Inc</t>
  </si>
  <si>
    <t>j-quad.global</t>
  </si>
  <si>
    <t>Sky株式会社</t>
  </si>
  <si>
    <t>Isuzu Motors</t>
  </si>
  <si>
    <t>TOYO Corporation</t>
  </si>
  <si>
    <t>TOYODA GOSEI CO</t>
  </si>
  <si>
    <t>dehenken.co.jp</t>
  </si>
  <si>
    <t>Cenec</t>
  </si>
  <si>
    <t>ベルエアーシステムズ株式会社(自動車部品と生産設備の3D CADによる設計)</t>
  </si>
  <si>
    <t>Daitron[ダイトロン株式会社]</t>
  </si>
  <si>
    <t>ISUZUGLASS.LTD</t>
  </si>
  <si>
    <t>Showal</t>
  </si>
  <si>
    <t>Azmee</t>
  </si>
  <si>
    <t>TOYOTA SYSTEMS CORPORATION</t>
  </si>
  <si>
    <t>Toyota Connected</t>
  </si>
  <si>
    <t>TOYOTA AUTO BODY CO.,LTD.</t>
  </si>
  <si>
    <t>トータルテクニカルソリューションズ</t>
  </si>
  <si>
    <t>Ryomo Systems</t>
  </si>
  <si>
    <t>Hankyu Hanshin Holdings</t>
  </si>
  <si>
    <t>ISB CORPORATION</t>
  </si>
  <si>
    <t>ne-con.co.jp</t>
  </si>
  <si>
    <t>Marubeni</t>
  </si>
  <si>
    <t>Ryoden Corp</t>
  </si>
  <si>
    <t>Aerology Lab Co. Ltd</t>
  </si>
  <si>
    <t>sango.lg.jp</t>
  </si>
  <si>
    <t>Japan Radio Co</t>
  </si>
  <si>
    <t>国土交通省</t>
  </si>
  <si>
    <t>Mitsui E&amp;S</t>
  </si>
  <si>
    <t>KUBOTA Corporation</t>
  </si>
  <si>
    <t>株式会社DTSインサイト</t>
  </si>
  <si>
    <t>萩原電気ホールディングス株式会社</t>
  </si>
  <si>
    <t>pathfinders.co.jp</t>
  </si>
  <si>
    <t>NGK Spark Plug Co., Ltd.</t>
  </si>
  <si>
    <t>IAT Co.,Ltd.</t>
  </si>
  <si>
    <t>Moritex</t>
  </si>
  <si>
    <t>th-grp.jp</t>
  </si>
  <si>
    <t>EAST NIPPON EXPRESSWAY COMPANY LIMITED</t>
  </si>
  <si>
    <t>go2marketing</t>
  </si>
  <si>
    <t>Acsia Japan</t>
  </si>
  <si>
    <t>City of Osaka</t>
  </si>
  <si>
    <t>株式会社ジェーイーエル</t>
  </si>
  <si>
    <t>NIFCO</t>
  </si>
  <si>
    <t>vwgroupsupply.com</t>
  </si>
  <si>
    <t>Parallel Domain</t>
  </si>
  <si>
    <t>iav.de</t>
  </si>
  <si>
    <t>Messe Frankfurt GmbH</t>
  </si>
  <si>
    <t>University of California</t>
  </si>
  <si>
    <t>Coretical Group</t>
  </si>
  <si>
    <t>Apple Inc.</t>
  </si>
  <si>
    <t>51wofang 无忧我房</t>
  </si>
  <si>
    <t>SafeTRANS</t>
  </si>
  <si>
    <t>Eatron Technologies Ltd</t>
  </si>
  <si>
    <t>Weizmann Institute of Science</t>
  </si>
  <si>
    <t>Square Peg</t>
  </si>
  <si>
    <t>Bristol Robotics Laboratory</t>
  </si>
  <si>
    <t>Roads &amp; Transport Authority</t>
  </si>
  <si>
    <t>Sensmetry</t>
  </si>
  <si>
    <t>Institute of Software, Chinese Academy of Sciences</t>
  </si>
  <si>
    <t>Perforce Software</t>
  </si>
  <si>
    <t>Roborace</t>
  </si>
  <si>
    <t>artemis.auto</t>
  </si>
  <si>
    <t>TU Wien</t>
  </si>
  <si>
    <t>한국산업기술시험원</t>
  </si>
  <si>
    <t>foresta-aurelia.com</t>
  </si>
  <si>
    <t>Craig-Hallum Capital Group</t>
  </si>
  <si>
    <t>POSITIVE Communications</t>
  </si>
  <si>
    <t>3D Mapping</t>
  </si>
  <si>
    <t>Waseda University</t>
  </si>
  <si>
    <t>Capstone Headwaters</t>
  </si>
  <si>
    <t>Danlaw Inc.</t>
  </si>
  <si>
    <t>NEXTY Electronics</t>
  </si>
  <si>
    <t>Macquarie University</t>
  </si>
  <si>
    <t>NTT DATA Automobiligence Research Center, Ltd.</t>
  </si>
  <si>
    <t>CI3 Pablo Hyam</t>
  </si>
  <si>
    <t>Ferrovial</t>
  </si>
  <si>
    <t>Shivaay Software Services</t>
  </si>
  <si>
    <t>Linaro Limited</t>
  </si>
  <si>
    <t>DG law office</t>
  </si>
  <si>
    <t>ETRI</t>
  </si>
  <si>
    <t>NAFEMS Ltd</t>
  </si>
  <si>
    <t>ComfortDelGro Corporation Limited</t>
  </si>
  <si>
    <t>sompo-tlv.io</t>
  </si>
  <si>
    <t>T P EQUIPMENT LEASING</t>
  </si>
  <si>
    <t>ICAV Tech</t>
  </si>
  <si>
    <t>Helm.ai</t>
  </si>
  <si>
    <t>Phantasma Labs</t>
  </si>
  <si>
    <t>FAU</t>
  </si>
  <si>
    <t>digauto.biz</t>
  </si>
  <si>
    <t>MoreTech Ventures</t>
  </si>
  <si>
    <t>SMEV</t>
  </si>
  <si>
    <t>IPD Capital</t>
  </si>
  <si>
    <t>Convergence</t>
  </si>
  <si>
    <t>Apeiros</t>
  </si>
  <si>
    <t>Market Entry &amp; Retail Consulting - India</t>
  </si>
  <si>
    <t>Hancommds</t>
  </si>
  <si>
    <t>Brand New Trading</t>
  </si>
  <si>
    <t>mysite</t>
  </si>
  <si>
    <t>株式会社シグマクシス・ホールディングス</t>
  </si>
  <si>
    <t>voyageces.com</t>
  </si>
  <si>
    <t>Gentex</t>
  </si>
  <si>
    <t>Benq Materials Corp.</t>
  </si>
  <si>
    <t>TECNOBALIZAS</t>
  </si>
  <si>
    <t>mctab.com.au</t>
  </si>
  <si>
    <t>Resonado Inc</t>
  </si>
  <si>
    <t>Techsuda</t>
  </si>
  <si>
    <t>Informa, PLC.</t>
  </si>
  <si>
    <t>aroka.net</t>
  </si>
  <si>
    <t>Institute For Defense Analyses</t>
  </si>
  <si>
    <t>Futaba Corporation</t>
  </si>
  <si>
    <t>Hero Electronix Private Limited</t>
  </si>
  <si>
    <t>Aware360</t>
  </si>
  <si>
    <t>VanityKart</t>
  </si>
  <si>
    <t>centaur</t>
  </si>
  <si>
    <t>Munchkin, Inc.</t>
  </si>
  <si>
    <t>HydraForce Inc</t>
  </si>
  <si>
    <t>SANYO TRADING CO., LTD.</t>
  </si>
  <si>
    <t>AuthMe Co. Ltd</t>
  </si>
  <si>
    <t>Unlock EMEA</t>
  </si>
  <si>
    <t>Napino Auto &amp; Electronics</t>
  </si>
  <si>
    <t>IT Chronicles Media</t>
  </si>
  <si>
    <t>Spitzetrading</t>
  </si>
  <si>
    <t>ODTech Co</t>
  </si>
  <si>
    <t>Sensirion AG Switzerland</t>
  </si>
  <si>
    <t>NAFA Fleet Management Association</t>
  </si>
  <si>
    <t>Funded Today LLC</t>
  </si>
  <si>
    <t>Shimizu Corp</t>
  </si>
  <si>
    <t>AGP</t>
  </si>
  <si>
    <t>The Wall Street Journal</t>
  </si>
  <si>
    <t>Baron</t>
  </si>
  <si>
    <t>Namsung</t>
  </si>
  <si>
    <t>TRAM</t>
  </si>
  <si>
    <t>Brinc</t>
  </si>
  <si>
    <t>J. J. Keller &amp; Associates, Inc.</t>
  </si>
  <si>
    <t>Soosan Heavy Industries</t>
  </si>
  <si>
    <t>MulticoreWare</t>
  </si>
  <si>
    <t>kyocera.jp</t>
  </si>
  <si>
    <t>NACDS</t>
  </si>
  <si>
    <t>Tanseisha Co.,Ltd.</t>
  </si>
  <si>
    <t>Mitsubishi Electric Automation</t>
  </si>
  <si>
    <t>ジェトロ(日本貿易振興機構)</t>
  </si>
  <si>
    <t>Technofashion</t>
  </si>
  <si>
    <t>jasanigift.ae</t>
  </si>
  <si>
    <t>Madrobots.ru</t>
  </si>
  <si>
    <t>BrightOrder</t>
  </si>
  <si>
    <t>KTM Innovation</t>
  </si>
  <si>
    <t>Numbers Protocol</t>
  </si>
  <si>
    <t>aichitect.cn</t>
  </si>
  <si>
    <t>AJProTech</t>
  </si>
  <si>
    <t>TechCrunch</t>
  </si>
  <si>
    <t>United States Postal Service</t>
  </si>
  <si>
    <t>Hansol PNS Inc. IT service Dept.</t>
  </si>
  <si>
    <t>kaisinc.com</t>
  </si>
  <si>
    <t>Angott Search Group</t>
  </si>
  <si>
    <t>TechnoStrefa</t>
  </si>
  <si>
    <t>Rhonda Software LLC</t>
  </si>
  <si>
    <t>ReleaseTEAM</t>
  </si>
  <si>
    <t>Cso Radio</t>
  </si>
  <si>
    <t>PPG Industries, Inc.</t>
  </si>
  <si>
    <t>Wisetrack</t>
  </si>
  <si>
    <t>OPPO Digital</t>
  </si>
  <si>
    <t>IATPL India</t>
  </si>
  <si>
    <t>seo-han.co.kr</t>
  </si>
  <si>
    <t>Lumens</t>
  </si>
  <si>
    <t>relajante.tokyo</t>
  </si>
  <si>
    <t>Stylus</t>
  </si>
  <si>
    <t>LTD', 'HPB Optoelectronics Co., LTD</t>
  </si>
  <si>
    <t>Rachybop</t>
  </si>
  <si>
    <t>Vizia Tech</t>
  </si>
  <si>
    <t>HEART CATCH</t>
  </si>
  <si>
    <t>InnoPhase</t>
  </si>
  <si>
    <t>Driving Vision News</t>
  </si>
  <si>
    <t>RCS MediaGroup</t>
  </si>
  <si>
    <t>NTT FACILITIES</t>
  </si>
  <si>
    <t>iUP S.r.l.</t>
  </si>
  <si>
    <t>Yazaki Corporation</t>
  </si>
  <si>
    <t>Square Enix</t>
  </si>
  <si>
    <t>Riviera Outsourcing</t>
  </si>
  <si>
    <t>Arrival UK Ltd</t>
  </si>
  <si>
    <t>shillaind.co.kr</t>
  </si>
  <si>
    <t>LG Uplus</t>
  </si>
  <si>
    <t>teladin.com</t>
  </si>
  <si>
    <t>LG Display</t>
  </si>
  <si>
    <t>Ingredi Europa s.r.o. - external cooperation</t>
  </si>
  <si>
    <t>LOTTE DATA COMMUNICATION COMPANY</t>
  </si>
  <si>
    <t>KRAIBURG Rubber</t>
  </si>
  <si>
    <t>UBS</t>
  </si>
  <si>
    <t>NEXTY Electronics Corporation</t>
  </si>
  <si>
    <t>Apparello Technologies</t>
  </si>
  <si>
    <t>bailbonds</t>
  </si>
  <si>
    <t>Self Driving Cars 101</t>
  </si>
  <si>
    <t>scribeindia.in</t>
  </si>
  <si>
    <t>Lakera</t>
  </si>
  <si>
    <t>Verilab</t>
  </si>
  <si>
    <t>unisim.cn</t>
  </si>
  <si>
    <t>EPSILON PORTFOLIO MANAGEMENT LTD</t>
  </si>
  <si>
    <t>jatweb.co.kr</t>
  </si>
  <si>
    <t>Glilot Capital Partners</t>
  </si>
  <si>
    <t>Maverick Ventures Israel</t>
  </si>
  <si>
    <t>Infinity Equity Group</t>
  </si>
  <si>
    <t>FinTLV Ventures</t>
  </si>
  <si>
    <t>Zut</t>
  </si>
  <si>
    <t>Erferfer</t>
  </si>
  <si>
    <t>Manitou Group</t>
  </si>
  <si>
    <t>HummingBird Technologies Inc</t>
  </si>
  <si>
    <t>Bosch</t>
  </si>
  <si>
    <t>Annotell</t>
  </si>
  <si>
    <t>TE Connectivity Ltd.</t>
  </si>
  <si>
    <t>KHL LLC</t>
  </si>
  <si>
    <t>Hexagon AB</t>
  </si>
  <si>
    <t>Shanghai University</t>
  </si>
  <si>
    <t>headingdata.com</t>
  </si>
  <si>
    <t>Tongullman Co. Ltd</t>
  </si>
  <si>
    <t>ESI Group</t>
  </si>
  <si>
    <t>Göteborgs universitet</t>
  </si>
  <si>
    <t>AIT Austrian Institute of Technology</t>
  </si>
  <si>
    <t>Co-Driver</t>
  </si>
  <si>
    <t>rt-expert.com</t>
  </si>
  <si>
    <t>Kakao Corp.</t>
  </si>
  <si>
    <t>MonoDrive</t>
  </si>
  <si>
    <t>kict.re.kr</t>
  </si>
  <si>
    <t>yixingcapital.com</t>
  </si>
  <si>
    <t>兼松株式会社</t>
  </si>
  <si>
    <t>27pilots</t>
  </si>
  <si>
    <t>porsche-nardo.com</t>
  </si>
  <si>
    <t>OKTAL</t>
  </si>
  <si>
    <t>SBI Holdings, Inc.</t>
  </si>
  <si>
    <t>Smekalka</t>
  </si>
  <si>
    <t>EnSilica</t>
  </si>
  <si>
    <t>Vertex Ventures</t>
  </si>
  <si>
    <t>oToBrite</t>
  </si>
  <si>
    <t>Spectronet</t>
  </si>
  <si>
    <t>rFpro</t>
  </si>
  <si>
    <t>Automotive Artificial Intelligence</t>
  </si>
  <si>
    <t>catarc.ac.cn</t>
  </si>
  <si>
    <t>hnpg.net</t>
  </si>
  <si>
    <t>Chang'an University</t>
  </si>
  <si>
    <t>INFRALAB - Open Innovation Lab</t>
  </si>
  <si>
    <t>Jama Software</t>
  </si>
  <si>
    <t>LAAS-CNRS</t>
  </si>
  <si>
    <t>Munich Re Group</t>
  </si>
  <si>
    <t>Glory Ventures</t>
  </si>
  <si>
    <t>Wharton</t>
  </si>
  <si>
    <t>GuardStrike</t>
  </si>
  <si>
    <t>g8tech.com</t>
  </si>
  <si>
    <t>Bhojania Group</t>
  </si>
  <si>
    <t>Nationwide Mutual Insurance Company</t>
  </si>
  <si>
    <t>AAA</t>
  </si>
  <si>
    <t>omdai.com</t>
  </si>
  <si>
    <t>Carl von Ossietzky Universität Oldenburg</t>
  </si>
  <si>
    <t>Shanghai Volkswagen</t>
  </si>
  <si>
    <t>AutoX</t>
  </si>
  <si>
    <t>bath.edu</t>
  </si>
  <si>
    <t>GMobi</t>
  </si>
  <si>
    <t>AstaZero</t>
  </si>
  <si>
    <t>Fantasticbeasts</t>
  </si>
  <si>
    <t>Drägerwerk AG &amp; Co. KGaA</t>
  </si>
  <si>
    <t>Elmihra Mundi</t>
  </si>
  <si>
    <t>New Future Capital</t>
  </si>
  <si>
    <t>systra</t>
  </si>
  <si>
    <t>University of St. Gallen</t>
  </si>
  <si>
    <t>SAIC-GM-Wuling Automobile</t>
  </si>
  <si>
    <t>Cognizant Technology Solutions Corporation</t>
  </si>
  <si>
    <t>AB Dynamics</t>
  </si>
  <si>
    <t>VOITAS Engineering</t>
  </si>
  <si>
    <t>Faraday &amp; Future Inc</t>
  </si>
  <si>
    <t>Rio Tinto Group</t>
  </si>
  <si>
    <t>TIER IV</t>
  </si>
  <si>
    <t>צמח שניידר ושות'</t>
  </si>
  <si>
    <t>Auto-Mate</t>
  </si>
  <si>
    <t>Cognibit</t>
  </si>
  <si>
    <t>rydesafely</t>
  </si>
  <si>
    <t>pioneerb2bmarketinglead.com</t>
  </si>
  <si>
    <t>Chartered Investment Managers Pte</t>
  </si>
  <si>
    <t>Cyber Security services - CyberSafe</t>
  </si>
  <si>
    <t>BIRD Foundation</t>
  </si>
  <si>
    <t>TraceTronic</t>
  </si>
  <si>
    <t>Modis</t>
  </si>
  <si>
    <t>Ronexprirn</t>
  </si>
  <si>
    <t>University of Bristol</t>
  </si>
  <si>
    <t>ヤマハ バイク</t>
  </si>
  <si>
    <t>thecryptoimm.com</t>
  </si>
  <si>
    <t>siasearch.io</t>
  </si>
  <si>
    <t>Driving Simulation Association</t>
  </si>
  <si>
    <t>Website by AndiSites</t>
  </si>
  <si>
    <t>we4safety</t>
  </si>
  <si>
    <t>Reachauto</t>
  </si>
  <si>
    <t>Uisee Technology</t>
  </si>
  <si>
    <t>Applied Intuition</t>
  </si>
  <si>
    <t>Wichita State University</t>
  </si>
  <si>
    <t>Cainiao</t>
  </si>
  <si>
    <t>alexhitzinger.com</t>
  </si>
  <si>
    <t>Advanced Navigation Pty Ltd</t>
  </si>
  <si>
    <t>aashto.org</t>
  </si>
  <si>
    <t>AI Nautics</t>
  </si>
  <si>
    <t>AIRlabs</t>
  </si>
  <si>
    <t>American Public Works Association</t>
  </si>
  <si>
    <t>AECOM</t>
  </si>
  <si>
    <t>Alabama Trucking Association</t>
  </si>
  <si>
    <t>AirspaceLink</t>
  </si>
  <si>
    <t>ara</t>
  </si>
  <si>
    <t>Andrew Smart Consulting</t>
  </si>
  <si>
    <t>National Railroad Passenger Corporation</t>
  </si>
  <si>
    <t>Arcadis</t>
  </si>
  <si>
    <t>Annova Solutions</t>
  </si>
  <si>
    <t>Associated Press</t>
  </si>
  <si>
    <t>Autonomy Institute</t>
  </si>
  <si>
    <t>ADVANTAGE AUSTRIA</t>
  </si>
  <si>
    <t>ATSSA-American Traffic Safety Services Association</t>
  </si>
  <si>
    <t>ArcBest</t>
  </si>
  <si>
    <t>unmannedsystemsrc.com</t>
  </si>
  <si>
    <t>AVX Aircraft</t>
  </si>
  <si>
    <t>BNSF Railway Company</t>
  </si>
  <si>
    <t>Battelle</t>
  </si>
  <si>
    <t>Beveridge &amp; Diamond PC</t>
  </si>
  <si>
    <t>California State University San Marcos</t>
  </si>
  <si>
    <t>California</t>
  </si>
  <si>
    <t>GBNRTC</t>
  </si>
  <si>
    <t>The Boeing Company</t>
  </si>
  <si>
    <t>Capital Group</t>
  </si>
  <si>
    <t>Canscan</t>
  </si>
  <si>
    <t>cammisaconsulting.com</t>
  </si>
  <si>
    <t>Cambridge Systematics</t>
  </si>
  <si>
    <t>CDV - Transport Research Centre</t>
  </si>
  <si>
    <t>Challenger Point Engineering</t>
  </si>
  <si>
    <t>Center for Automotive Research</t>
  </si>
  <si>
    <t>Cavnue</t>
  </si>
  <si>
    <t>Central Florida Expressway Authority</t>
  </si>
  <si>
    <t>MCC CISDI 中冶赛迪</t>
  </si>
  <si>
    <t>Chronos Technology</t>
  </si>
  <si>
    <t>Cablenet Wireless</t>
  </si>
  <si>
    <t>Cherokee-Federal</t>
  </si>
  <si>
    <t>CNXMotion</t>
  </si>
  <si>
    <t>Cimarron Capital Partners, LLC</t>
  </si>
  <si>
    <t>Colorado Parks and Wildlife</t>
  </si>
  <si>
    <t>Chubb INA Holdings Inc</t>
  </si>
  <si>
    <t>City of Los Angeles</t>
  </si>
  <si>
    <t>Clemson University</t>
  </si>
  <si>
    <t>Crystal Group</t>
  </si>
  <si>
    <t>Corner Finance LLC</t>
  </si>
  <si>
    <t>Consiglio Nazionale delle Ricerche</t>
  </si>
  <si>
    <t>DiamondStream</t>
  </si>
  <si>
    <t>Custard Insurance Adjusters Inc</t>
  </si>
  <si>
    <t>Drone Delivery Canada</t>
  </si>
  <si>
    <t>Drive Engineering</t>
  </si>
  <si>
    <t>Defense Innovation Unit</t>
  </si>
  <si>
    <t>DroneView Technologies</t>
  </si>
  <si>
    <t>REIN Technologies (US)</t>
  </si>
  <si>
    <t>Embark Trucks</t>
  </si>
  <si>
    <t>Embry-Riddle Aeronautical University Inc</t>
  </si>
  <si>
    <t>EMPIC</t>
  </si>
  <si>
    <t>Electrical Consultants Inc</t>
  </si>
  <si>
    <t>Elevate Government Affairs</t>
  </si>
  <si>
    <t>National Defense University</t>
  </si>
  <si>
    <t>Epson</t>
  </si>
  <si>
    <t>Federal Aviation Administration</t>
  </si>
  <si>
    <t>Federalhillgroup</t>
  </si>
  <si>
    <t>FedEx</t>
  </si>
  <si>
    <t>Fort Valley State University</t>
  </si>
  <si>
    <t>Fund For Our Economic Future</t>
  </si>
  <si>
    <t>My Florida House</t>
  </si>
  <si>
    <t>Ferntech NZ</t>
  </si>
  <si>
    <t>First South Yorkshire &amp; Midlands</t>
  </si>
  <si>
    <t>FreightWaves</t>
  </si>
  <si>
    <t>Georgia Southern University</t>
  </si>
  <si>
    <t>Georgia Institute of Technology</t>
  </si>
  <si>
    <t>Holger Hassenpflug</t>
  </si>
  <si>
    <t>Greywale</t>
  </si>
  <si>
    <t>gophervc.com</t>
  </si>
  <si>
    <t>GMAK Global</t>
  </si>
  <si>
    <t>Gresham Smith</t>
  </si>
  <si>
    <t>HNTB Corporation</t>
  </si>
  <si>
    <t>Houma Terrebonne Airport</t>
  </si>
  <si>
    <t>Monarch Autonomous</t>
  </si>
  <si>
    <t>Houlihan Lokey, Inc.</t>
  </si>
  <si>
    <t>Husch Blackwell LLP</t>
  </si>
  <si>
    <t>UK Research and Innovation</t>
  </si>
  <si>
    <t>innovative-logistics.com</t>
  </si>
  <si>
    <t>icebreakerventures.com</t>
  </si>
  <si>
    <t>Governor of Illinois</t>
  </si>
  <si>
    <t>INNOVATION4MOBILITY</t>
  </si>
  <si>
    <t>Iconeproducts</t>
  </si>
  <si>
    <t>Intelligent Transportation Society of America</t>
  </si>
  <si>
    <t>Iowa Department of Transportation</t>
  </si>
  <si>
    <t>Insitu Inc</t>
  </si>
  <si>
    <t>NetCom</t>
  </si>
  <si>
    <t>Intermap Technologies Inc</t>
  </si>
  <si>
    <t>Commonwealth of Kentucky</t>
  </si>
  <si>
    <t>KVH Industries, Inc</t>
  </si>
  <si>
    <t>Kimley-Horn and Associates, Inc.</t>
  </si>
  <si>
    <t>Kansas State University</t>
  </si>
  <si>
    <t>Koop Insurance</t>
  </si>
  <si>
    <t>Kodiak</t>
  </si>
  <si>
    <t>Lumotive</t>
  </si>
  <si>
    <t>Lowe's</t>
  </si>
  <si>
    <t>Linse Capital</t>
  </si>
  <si>
    <t>Liberty Mutual</t>
  </si>
  <si>
    <t>Loudoun County</t>
  </si>
  <si>
    <t>Mdtrucking</t>
  </si>
  <si>
    <t>Maryland Public Service Commission</t>
  </si>
  <si>
    <t>State of Maryland</t>
  </si>
  <si>
    <t>MARCKCMetro</t>
  </si>
  <si>
    <t>Michael Baker International</t>
  </si>
  <si>
    <t>Meat &amp; Livestock Australia Limited</t>
  </si>
  <si>
    <t>METROPOLITAN AIRPORTS COMMISSION</t>
  </si>
  <si>
    <t>Minnesota</t>
  </si>
  <si>
    <t>NCARNational Center for Atmospheric Research</t>
  </si>
  <si>
    <t>nam</t>
  </si>
  <si>
    <t>National Association of State Aviation Officials</t>
  </si>
  <si>
    <t>Ncleg</t>
  </si>
  <si>
    <t>Norfolk Southern Corporation</t>
  </si>
  <si>
    <t>NCTCOGTransportation</t>
  </si>
  <si>
    <t>Nodeology</t>
  </si>
  <si>
    <t>Vejdirektoratet</t>
  </si>
  <si>
    <t>Owner-Operator Management Corporation Inc</t>
  </si>
  <si>
    <t>Orange County Government</t>
  </si>
  <si>
    <t>Ohio.gov</t>
  </si>
  <si>
    <t>Nuro Inc</t>
  </si>
  <si>
    <t>Oceaneering International, Inc.</t>
  </si>
  <si>
    <t>North Dakota State Government</t>
  </si>
  <si>
    <t>POCO Labs</t>
  </si>
  <si>
    <t>Racepoint Global Inc</t>
  </si>
  <si>
    <t>Perkins Coie LLP</t>
  </si>
  <si>
    <t>Peerless Media</t>
  </si>
  <si>
    <t>Quad Axis LLC</t>
  </si>
  <si>
    <t>Pima Community College</t>
  </si>
  <si>
    <t>PlusAI, Inc.</t>
  </si>
  <si>
    <t>R V C E</t>
  </si>
  <si>
    <t>PA.Gov</t>
  </si>
  <si>
    <t>Reason</t>
  </si>
  <si>
    <t>State of South Carolina</t>
  </si>
  <si>
    <t>RTX</t>
  </si>
  <si>
    <t>Raven’s Vue</t>
  </si>
  <si>
    <t>Rupprecht Consult</t>
  </si>
  <si>
    <t>Ryder System, Inc.</t>
  </si>
  <si>
    <t>Royal Bank of Canada</t>
  </si>
  <si>
    <t>Soliton Systems, Inc.</t>
  </si>
  <si>
    <t>Craig A. Cordova</t>
  </si>
  <si>
    <t>Carrier Global Corporation</t>
  </si>
  <si>
    <t>SBG Systems</t>
  </si>
  <si>
    <t>State Farm Mutual Automobile Insurance Company</t>
  </si>
  <si>
    <t>TEAMSTER</t>
  </si>
  <si>
    <t>Governor of California</t>
  </si>
  <si>
    <t>T2IA</t>
  </si>
  <si>
    <t>Texas A&amp;M University</t>
  </si>
  <si>
    <t>Tcistrategy</t>
  </si>
  <si>
    <t>Spartan</t>
  </si>
  <si>
    <t>Stantec Inc.</t>
  </si>
  <si>
    <t>Concerns Privacy</t>
  </si>
  <si>
    <t>texas.gov</t>
  </si>
  <si>
    <t>Topcon Corporation</t>
  </si>
  <si>
    <t>Torch Technologies</t>
  </si>
  <si>
    <t>Dakota County Technical College</t>
  </si>
  <si>
    <t>Texense Sensors</t>
  </si>
  <si>
    <t>Tran &amp; Associates</t>
  </si>
  <si>
    <t>Koti</t>
  </si>
  <si>
    <t>The Eastern Transportation Coalition</t>
  </si>
  <si>
    <t>Industry Dive</t>
  </si>
  <si>
    <t>Traxen</t>
  </si>
  <si>
    <t>Truckload Carriers Association, Inc.</t>
  </si>
  <si>
    <t>Trimble Inc.</t>
  </si>
  <si>
    <t>Travelers</t>
  </si>
  <si>
    <t>Texas Department of Transportation</t>
  </si>
  <si>
    <t>Allied Pilots Association</t>
  </si>
  <si>
    <t>UAV Hive</t>
  </si>
  <si>
    <t>University of Central Florida</t>
  </si>
  <si>
    <t>The University of Alabama</t>
  </si>
  <si>
    <t>Uvionix</t>
  </si>
  <si>
    <t>UL Research Institutes</t>
  </si>
  <si>
    <t>University of Nevada, Reno</t>
  </si>
  <si>
    <t>The University of Texas at El Paso</t>
  </si>
  <si>
    <t>United Parcel Service, Inc.</t>
  </si>
  <si>
    <t>wstip.org</t>
  </si>
  <si>
    <t>Verizon Data Services LLC</t>
  </si>
  <si>
    <t>WaveSense</t>
  </si>
  <si>
    <t>Virginia Tech</t>
  </si>
  <si>
    <t>Velociti</t>
  </si>
  <si>
    <t>State of Washington</t>
  </si>
  <si>
    <t>Virginia Economic Development Partnership</t>
  </si>
  <si>
    <t>York University</t>
  </si>
  <si>
    <t>WSP Global Inc.</t>
  </si>
  <si>
    <t>Wright Media</t>
  </si>
  <si>
    <t>Zollner Elektronik</t>
  </si>
  <si>
    <t>State of Wisconsin</t>
  </si>
  <si>
    <t>harbornet.com</t>
  </si>
  <si>
    <t>一般財団法人日本自動車研究所</t>
  </si>
  <si>
    <t>禾多科技 HoloMatic</t>
  </si>
  <si>
    <t>AUT University</t>
  </si>
  <si>
    <t>Hohai University</t>
  </si>
  <si>
    <t>Weather-It-Is</t>
  </si>
  <si>
    <t>Change Vision</t>
  </si>
  <si>
    <t>Frinksyn</t>
  </si>
  <si>
    <t>m-aerospace_2019</t>
  </si>
  <si>
    <t>Hongjingdrive</t>
  </si>
  <si>
    <t>forprospects.com</t>
  </si>
  <si>
    <t>Lumen</t>
  </si>
  <si>
    <t>SpringCloud×스프링클라우드</t>
  </si>
  <si>
    <t>invest-in-saarland.com</t>
  </si>
  <si>
    <t>incorperatedtechnologies.com</t>
  </si>
  <si>
    <t>senseauto.com</t>
  </si>
  <si>
    <t>iiisct.com</t>
  </si>
  <si>
    <t>smvic.com.cn</t>
  </si>
  <si>
    <t>Secureenergy</t>
  </si>
  <si>
    <t>The University of Iowa</t>
  </si>
  <si>
    <t>Spirent</t>
  </si>
  <si>
    <t>vitstudent.ac.in</t>
  </si>
  <si>
    <t>CIECA</t>
  </si>
  <si>
    <t>Gerber Collision &amp; Glass</t>
  </si>
  <si>
    <t>Stanford University</t>
  </si>
  <si>
    <t>Dsoft</t>
  </si>
  <si>
    <t>automotive.industries</t>
  </si>
  <si>
    <t>baeurle.de</t>
  </si>
  <si>
    <t>Structr</t>
  </si>
  <si>
    <t>66NM</t>
  </si>
  <si>
    <t>anariai.co</t>
  </si>
  <si>
    <t>RevoAI</t>
  </si>
  <si>
    <t>ROMAN ROADS</t>
  </si>
  <si>
    <t>ISEE</t>
  </si>
  <si>
    <t>Vantix</t>
  </si>
  <si>
    <t>Arrow Electronics, Inc.</t>
  </si>
  <si>
    <t>Lucid Group, Inc.</t>
  </si>
  <si>
    <t>The Private Office of Sheikh Saeed bin Ahmed Al Maktoum</t>
  </si>
  <si>
    <t>IM Motors</t>
  </si>
  <si>
    <t>Erdinast, Ben Nathan, Toledano &amp; Co.</t>
  </si>
  <si>
    <t>Mopedo</t>
  </si>
  <si>
    <t>rntbci.com</t>
  </si>
  <si>
    <t>guestpostzoomwings.com</t>
  </si>
  <si>
    <t>Alexander Hedlund</t>
  </si>
  <si>
    <t>Humanetics</t>
  </si>
  <si>
    <t>Salesforce, Inc.</t>
  </si>
  <si>
    <t>University of Liverpool</t>
  </si>
  <si>
    <t>Deutsche Postbank Group</t>
  </si>
  <si>
    <t>marsauto.io</t>
  </si>
  <si>
    <t>carissma.eu</t>
  </si>
  <si>
    <t>JOYNEXT</t>
  </si>
  <si>
    <t>Mindesk Inc</t>
  </si>
  <si>
    <t>Cninvestors</t>
  </si>
  <si>
    <t>FHDW - Fachhochschule der Wirtschaft</t>
  </si>
  <si>
    <t>innobase.cn</t>
  </si>
  <si>
    <t>TOYOTA GAZOO Racing Europe</t>
  </si>
  <si>
    <t>Gr-Europe</t>
  </si>
  <si>
    <t>Infiniq</t>
  </si>
  <si>
    <t>Zenseact</t>
  </si>
  <si>
    <t>Schaeffler</t>
  </si>
  <si>
    <t>Henrong Industrial Co.</t>
  </si>
  <si>
    <t>Counterpoint Technology Market Research</t>
  </si>
  <si>
    <t>Humanetics Innovative Solutions</t>
  </si>
  <si>
    <t>elements.</t>
  </si>
  <si>
    <t>CSAA</t>
  </si>
  <si>
    <t>Safety &amp; Security Review Africa</t>
  </si>
  <si>
    <t>McGill University</t>
  </si>
  <si>
    <t>University of Toronto</t>
  </si>
  <si>
    <t>Dilu Creaciones</t>
  </si>
  <si>
    <t>instrumentworld.com</t>
  </si>
  <si>
    <t>UGA School of Social Work</t>
  </si>
  <si>
    <t>Smart Eye</t>
  </si>
  <si>
    <t>MICLA Engineering &amp; Design</t>
  </si>
  <si>
    <t>rabbitAI</t>
  </si>
  <si>
    <t>ELEKS</t>
  </si>
  <si>
    <t>NOVELIC</t>
  </si>
  <si>
    <t>TERAKI</t>
  </si>
  <si>
    <t>Transpolis</t>
  </si>
  <si>
    <t>TNO</t>
  </si>
  <si>
    <t>wearbles.com</t>
  </si>
  <si>
    <t>StradVision, Inc.</t>
  </si>
  <si>
    <t>WEBER-HYDRAULIK GMBH</t>
  </si>
  <si>
    <t>Tofaş Türk Otomobil Fabrikası AŞ</t>
  </si>
  <si>
    <t>Deutsche Bahn</t>
  </si>
  <si>
    <t>LAKE FUSION Technologies</t>
  </si>
  <si>
    <t>intive</t>
  </si>
  <si>
    <t>Helix Technologies</t>
  </si>
  <si>
    <t>Digitalwerk</t>
  </si>
  <si>
    <t>Tata AutoComp Systems</t>
  </si>
  <si>
    <t>Bulgarian Virtual University</t>
  </si>
  <si>
    <t>FSD Fahrzeugsystemdaten</t>
  </si>
  <si>
    <t>HighTec EDV-Systeme GmbH</t>
  </si>
  <si>
    <t>Virtual Vehicle Research</t>
  </si>
  <si>
    <t>Wind River</t>
  </si>
  <si>
    <t>Paradox Cat</t>
  </si>
  <si>
    <t>hesigang.com</t>
  </si>
  <si>
    <t>g-ipt.com</t>
  </si>
  <si>
    <t>Elmos</t>
  </si>
  <si>
    <t>CROSS BORDER TECHNOLOGIES</t>
  </si>
  <si>
    <t>Intron Technology Holdings Limited</t>
  </si>
  <si>
    <t>MESSRING</t>
  </si>
  <si>
    <t>Honda Research Institute USA</t>
  </si>
  <si>
    <t>claas.com</t>
  </si>
  <si>
    <t>Dataloop</t>
  </si>
  <si>
    <t>NavInfo Europe B.V.</t>
  </si>
  <si>
    <t>MEKRAtronics</t>
  </si>
  <si>
    <t>Weights &amp; Biases</t>
  </si>
  <si>
    <t>AGC Inc.</t>
  </si>
  <si>
    <t>eSOL Co., Ltd.</t>
  </si>
  <si>
    <t>Momenta USA Inc</t>
  </si>
  <si>
    <t>RuggON Corporation</t>
  </si>
  <si>
    <t>Expleo Group</t>
  </si>
  <si>
    <t>Qamcom</t>
  </si>
  <si>
    <t>CTAG - Centro Tecnológico de Automoción de Galicia</t>
  </si>
  <si>
    <t>Segments.ai</t>
  </si>
  <si>
    <t>gmobis.com</t>
  </si>
  <si>
    <t>German Aerospace Center, DLR</t>
  </si>
  <si>
    <t>Bourns, Inc.</t>
  </si>
  <si>
    <t>Massive Analytic</t>
  </si>
  <si>
    <t>SyroCon</t>
  </si>
  <si>
    <t>Navya</t>
  </si>
  <si>
    <t>Carmeq</t>
  </si>
  <si>
    <t>ADASTEC</t>
  </si>
  <si>
    <t>Algolux</t>
  </si>
  <si>
    <t>Promptu</t>
  </si>
  <si>
    <t>Luxoft</t>
  </si>
  <si>
    <t>IABG</t>
  </si>
  <si>
    <t>FreeWire Technologies</t>
  </si>
  <si>
    <t>Torc Robotics Inc</t>
  </si>
  <si>
    <t>Imperial College London</t>
  </si>
  <si>
    <t>Altarac Leon System</t>
  </si>
  <si>
    <t>Fireflyautomatix</t>
  </si>
  <si>
    <t>CEC</t>
  </si>
  <si>
    <t>gpandm.com</t>
  </si>
  <si>
    <t>Neptune Group</t>
  </si>
  <si>
    <t>mvsys.org</t>
  </si>
  <si>
    <t>Eindhoven University of Technology</t>
  </si>
  <si>
    <t>Tremend</t>
  </si>
  <si>
    <t>University of Warwick</t>
  </si>
  <si>
    <t>Leane International</t>
  </si>
  <si>
    <t>mailbox.org</t>
  </si>
  <si>
    <t>IAE</t>
  </si>
  <si>
    <t>Uni Oldenburg</t>
  </si>
  <si>
    <t>DSTA Defence Science and Technology Agency</t>
  </si>
  <si>
    <t>Mappls</t>
  </si>
  <si>
    <t>WeRide.ai</t>
  </si>
  <si>
    <t>JSC NIIAS</t>
  </si>
  <si>
    <t>AVer Information Inc.圓展科技股份有限公司</t>
  </si>
  <si>
    <t>Porsche Engineering</t>
  </si>
  <si>
    <t>porsche-engineering.ro</t>
  </si>
  <si>
    <t>unl</t>
  </si>
  <si>
    <t>Luminar Technologies Inc.</t>
  </si>
  <si>
    <t>Xitadel</t>
  </si>
  <si>
    <t>Hongik University</t>
  </si>
  <si>
    <t>Beihang University</t>
  </si>
  <si>
    <t>DRolls Associates</t>
  </si>
  <si>
    <t>Jackabox</t>
  </si>
  <si>
    <t>AnteMotion</t>
  </si>
  <si>
    <t>Omnitracs LLC</t>
  </si>
  <si>
    <t>Wabtec Corporation</t>
  </si>
  <si>
    <t>RT-RK</t>
  </si>
  <si>
    <t>DeepScenario</t>
  </si>
  <si>
    <t>AEye</t>
  </si>
  <si>
    <t>Auto Care Association</t>
  </si>
  <si>
    <t>BASELABS</t>
  </si>
  <si>
    <t>Baraja</t>
  </si>
  <si>
    <t>Autobrains Technologies Ltd</t>
  </si>
  <si>
    <t>bertrandt</t>
  </si>
  <si>
    <t>Celeno</t>
  </si>
  <si>
    <t>Coast Autonomous LLC</t>
  </si>
  <si>
    <t>Codelab</t>
  </si>
  <si>
    <t>Cron AI</t>
  </si>
  <si>
    <t>Cruise.com Inc</t>
  </si>
  <si>
    <t>Commercial Vehicle Group</t>
  </si>
  <si>
    <t>Connected Vehicle Trade Association</t>
  </si>
  <si>
    <t>Dassault Systèmes</t>
  </si>
  <si>
    <t>DEKA Research &amp; Development</t>
  </si>
  <si>
    <t>Arizona State University</t>
  </si>
  <si>
    <t>EK Water Blocks</t>
  </si>
  <si>
    <t>École de technologie supérieure</t>
  </si>
  <si>
    <t>Teledyne FLIR LLC</t>
  </si>
  <si>
    <t>FLEX</t>
  </si>
  <si>
    <t>Untether AI</t>
  </si>
  <si>
    <t>Hana</t>
  </si>
  <si>
    <t>Hitachi Astemo</t>
  </si>
  <si>
    <t>HERE Technologies</t>
  </si>
  <si>
    <t>Horizon Robotics</t>
  </si>
  <si>
    <t>Important safety technologies</t>
  </si>
  <si>
    <t>Imagry</t>
  </si>
  <si>
    <t>IEE</t>
  </si>
  <si>
    <t>Jabil Inc</t>
  </si>
  <si>
    <t>iProcess</t>
  </si>
  <si>
    <t>Industrial Technology Research Institute</t>
  </si>
  <si>
    <t>Lumentum Operations LLC</t>
  </si>
  <si>
    <t>Kaiser Aluminum</t>
  </si>
  <si>
    <t>kko4safety.de</t>
  </si>
  <si>
    <t>Krubera Group</t>
  </si>
  <si>
    <t>LeddarTech</t>
  </si>
  <si>
    <t>MM Smart Me Up</t>
  </si>
  <si>
    <t>Mee</t>
  </si>
  <si>
    <t>ml.lv</t>
  </si>
  <si>
    <t>Murata Manufacturing Co., Ltd</t>
  </si>
  <si>
    <t>Motional AD Inc</t>
  </si>
  <si>
    <t>NODAR</t>
  </si>
  <si>
    <t>North American Lighting, Inc.</t>
  </si>
  <si>
    <t>Panda Training</t>
  </si>
  <si>
    <t>Rheinmetall</t>
  </si>
  <si>
    <t>Mirador Capital Partners</t>
  </si>
  <si>
    <t>Pony.ai</t>
  </si>
  <si>
    <t>Thompson Information ServicesTM</t>
  </si>
  <si>
    <t>powell.ca</t>
  </si>
  <si>
    <t>ARaymond</t>
  </si>
  <si>
    <t>Lig-net</t>
  </si>
  <si>
    <t>Samasource Impact Sourcing Inc</t>
  </si>
  <si>
    <t>Samasource Inc.</t>
  </si>
  <si>
    <t>Septentrio</t>
  </si>
  <si>
    <t>The Sanborn Library LLC</t>
  </si>
  <si>
    <t>thyssenkrupp AG</t>
  </si>
  <si>
    <t>Western Michigan University</t>
  </si>
  <si>
    <t>Wkm-Global</t>
  </si>
  <si>
    <t>impronova.com</t>
  </si>
  <si>
    <t>Wolf Greenfield</t>
  </si>
  <si>
    <t>hs-ruhrwest.de</t>
  </si>
  <si>
    <t>ESE</t>
  </si>
  <si>
    <t>b-plus</t>
  </si>
  <si>
    <t>Amazon</t>
  </si>
  <si>
    <t>OMNEX</t>
  </si>
  <si>
    <t>Autonomous Trucks from Locomation</t>
  </si>
  <si>
    <t>Puppet Inc</t>
  </si>
  <si>
    <t>AVSimulation</t>
  </si>
  <si>
    <t>Volvo</t>
  </si>
  <si>
    <t>AB Volvo</t>
  </si>
  <si>
    <t>Ibeo Automotive Systems</t>
  </si>
  <si>
    <t>Luxoft Holding Inc</t>
  </si>
  <si>
    <t>ai-consulting.ca</t>
  </si>
  <si>
    <t>ANGLO AMERICAN PLC</t>
  </si>
  <si>
    <t>Haultrax</t>
  </si>
  <si>
    <t>IPG Automotive USA Inc</t>
  </si>
  <si>
    <t>CRF</t>
  </si>
  <si>
    <t>PTV Group</t>
  </si>
  <si>
    <t>KAN Engineering</t>
  </si>
  <si>
    <t>Rockwell Collins</t>
  </si>
  <si>
    <t>rockdalesystems.com</t>
  </si>
  <si>
    <t>NEVS</t>
  </si>
  <si>
    <t>Silk-FAW Automotive</t>
  </si>
  <si>
    <t>U.S. Navy</t>
  </si>
  <si>
    <t>Unige</t>
  </si>
  <si>
    <t>Inceptio</t>
  </si>
  <si>
    <t>Ola Electric</t>
  </si>
  <si>
    <t>CVC Revenue Solutions</t>
  </si>
  <si>
    <t>GlobalData PLC</t>
  </si>
  <si>
    <t>Dcode</t>
  </si>
  <si>
    <t>Solution Link</t>
  </si>
  <si>
    <t>Shanghai Turing Information Techonolgy Co.</t>
  </si>
  <si>
    <t>Optimus Ride</t>
  </si>
  <si>
    <t>The best way to predict the future is to invent it.</t>
  </si>
  <si>
    <t>Autonomous Solutions Inc</t>
  </si>
  <si>
    <t>Outrider</t>
  </si>
  <si>
    <t>Honda Motor Co., Ltd.</t>
  </si>
  <si>
    <t>XOS Inc</t>
  </si>
  <si>
    <t>Liebherr</t>
  </si>
  <si>
    <t>Oxbotica</t>
  </si>
  <si>
    <t>4a Technology</t>
  </si>
  <si>
    <t>Ansys, Inc.</t>
  </si>
  <si>
    <t>aiMotive</t>
  </si>
  <si>
    <t>Technische Universität München</t>
  </si>
  <si>
    <t>sovani.tech</t>
  </si>
  <si>
    <t>AICC</t>
  </si>
  <si>
    <t>Nanyang Technological University</t>
  </si>
  <si>
    <t>Alibaba</t>
  </si>
  <si>
    <t>Piaggio El Salvador</t>
  </si>
  <si>
    <t>IsCham - Israeli Chamber of Commerce in China</t>
  </si>
  <si>
    <t>Wayve</t>
  </si>
  <si>
    <t>芯华章科技股份有限公司</t>
  </si>
  <si>
    <t>Nexar Inc</t>
  </si>
  <si>
    <t>Clounix</t>
  </si>
  <si>
    <t>MORAI</t>
  </si>
  <si>
    <t>Transdev, the mobility</t>
  </si>
  <si>
    <t>fortiss</t>
  </si>
  <si>
    <t>gemgroup.ch</t>
  </si>
  <si>
    <t>McMaster University</t>
  </si>
  <si>
    <t>Boliden</t>
  </si>
  <si>
    <t>Epiroc</t>
  </si>
  <si>
    <t>E-D-Agency</t>
  </si>
  <si>
    <t>Timeclock 365</t>
  </si>
  <si>
    <t>TÜV SÜD Auto Service GmbH</t>
  </si>
  <si>
    <t>Carota 科絡達</t>
  </si>
  <si>
    <t>Bacchus Capital Advisers</t>
  </si>
  <si>
    <t>Uglabs</t>
  </si>
  <si>
    <t>National Instruments Corporation</t>
  </si>
  <si>
    <t>Haier India</t>
  </si>
  <si>
    <t>PriceQuotes</t>
  </si>
  <si>
    <t>Foretellix</t>
  </si>
  <si>
    <t>dSPACE GmbH</t>
  </si>
  <si>
    <t>ABB</t>
  </si>
  <si>
    <t>ECOLE HAUTES ETUDES COMMERCIALES NORD</t>
  </si>
  <si>
    <t>resnick.me</t>
  </si>
  <si>
    <t>Technology &amp; Strategy</t>
  </si>
  <si>
    <t>Linkers</t>
  </si>
  <si>
    <t>onlineleadscenter.com</t>
  </si>
  <si>
    <t>New-Tech Magazine</t>
  </si>
  <si>
    <t>Huazhong University of Science &amp; Technology</t>
  </si>
  <si>
    <t>Polaris Inc.</t>
  </si>
  <si>
    <t>Zyberum</t>
  </si>
  <si>
    <t>Taiwania Capital</t>
  </si>
  <si>
    <t>University of Waterloo</t>
  </si>
  <si>
    <t>techie.group</t>
  </si>
  <si>
    <t>Chinaccs</t>
  </si>
  <si>
    <t>itemis</t>
  </si>
  <si>
    <t>Association for Uncrewed Vehicle Systems International</t>
  </si>
  <si>
    <t>Leonardo</t>
  </si>
  <si>
    <t>Polestar Automotive Holding UK PLC</t>
  </si>
  <si>
    <t>Rey Juan Carlos University</t>
  </si>
  <si>
    <t>Ivory</t>
  </si>
  <si>
    <t>Perella Weinberg Partners</t>
  </si>
  <si>
    <t>Humanising Autonomy Ltd</t>
  </si>
  <si>
    <t>Device Authority</t>
  </si>
  <si>
    <t>Behr-Hella Thermocontrol</t>
  </si>
  <si>
    <t>Gamil Design</t>
  </si>
  <si>
    <t>itemis AG</t>
  </si>
  <si>
    <t>expohousingsolution.com</t>
  </si>
  <si>
    <t>K1 Investment Management</t>
  </si>
  <si>
    <t>Universität Rostock</t>
  </si>
  <si>
    <t>yuertech.cn</t>
  </si>
  <si>
    <t>bankleumi.co.il</t>
  </si>
  <si>
    <t>RDW</t>
  </si>
  <si>
    <t>Gate-Ventures</t>
  </si>
  <si>
    <t>Traxión</t>
  </si>
  <si>
    <t>Valtech Mobility</t>
  </si>
  <si>
    <t>Sectrend</t>
  </si>
  <si>
    <t>Big idea</t>
  </si>
  <si>
    <t>Atlassian</t>
  </si>
  <si>
    <t>NIPPON SYSTEMWARE CO.,LTD.</t>
  </si>
  <si>
    <t>econdevelopment.org</t>
  </si>
  <si>
    <t>Viewpoint Project with Dennis Quaid</t>
  </si>
  <si>
    <t>commit-dev.com</t>
  </si>
  <si>
    <t>Strategy Insights</t>
  </si>
  <si>
    <t>New Tradition</t>
  </si>
  <si>
    <t>Skills Connection LLC</t>
  </si>
  <si>
    <t>bizkonnect.net</t>
  </si>
  <si>
    <t>CompuSystems Inc</t>
  </si>
  <si>
    <t>CyberTogether</t>
  </si>
  <si>
    <t>KOSTAL Careers</t>
  </si>
  <si>
    <t>Drexel Hamilton, LLC</t>
  </si>
  <si>
    <t>Developex</t>
  </si>
  <si>
    <t>U.S. Venture Partners</t>
  </si>
  <si>
    <t>The MathWorks, Inc.</t>
  </si>
  <si>
    <t>Michal Zilberberg</t>
  </si>
  <si>
    <t>GRC Outlook</t>
  </si>
  <si>
    <t>ISERD</t>
  </si>
  <si>
    <t>IoT ONE</t>
  </si>
  <si>
    <t>SurveyMonkey</t>
  </si>
  <si>
    <t>Choose Paris Region</t>
  </si>
  <si>
    <t>National Renewable Energy Laboratory</t>
  </si>
  <si>
    <t>Draexlmaier Automotive of America</t>
  </si>
  <si>
    <t>Virtual Mechanics</t>
  </si>
  <si>
    <t>Freshworks</t>
  </si>
  <si>
    <t>Deloitte China</t>
  </si>
  <si>
    <t>kaizeli.com</t>
  </si>
  <si>
    <t>Eventbrite</t>
  </si>
  <si>
    <t>Insights Success</t>
  </si>
  <si>
    <t>World Media Wire</t>
  </si>
  <si>
    <t>משרד הכלכלה והתעשייה</t>
  </si>
  <si>
    <t>MIW</t>
  </si>
  <si>
    <t>Cypago Security Ltd</t>
  </si>
  <si>
    <t>AISIN SEIKI Co.</t>
  </si>
  <si>
    <t>i5invest</t>
  </si>
  <si>
    <t>WardsAuto</t>
  </si>
  <si>
    <t>PitchBook Data</t>
  </si>
  <si>
    <t>Future</t>
  </si>
  <si>
    <t>Guggenheim Partners, LLC</t>
  </si>
  <si>
    <t>C-DATA</t>
  </si>
  <si>
    <t>DocuSign</t>
  </si>
  <si>
    <t>Jerusalem Municipality</t>
  </si>
  <si>
    <t>wearehumcapital.com</t>
  </si>
  <si>
    <t>Semcoindia</t>
  </si>
  <si>
    <t>Trend Micro Incorporated</t>
  </si>
  <si>
    <t>paprikap.com</t>
  </si>
  <si>
    <t>Whist</t>
  </si>
  <si>
    <t>Don Malloy</t>
  </si>
  <si>
    <t>jInternship</t>
  </si>
  <si>
    <t>TheFutureCats</t>
  </si>
  <si>
    <t>G2 Venture Partners</t>
  </si>
  <si>
    <t>Stanley Black &amp; Decker</t>
  </si>
  <si>
    <t>电子发烧友网</t>
  </si>
  <si>
    <t>holontours.co.il</t>
  </si>
  <si>
    <t>CEAT</t>
  </si>
  <si>
    <t>rpg.in</t>
  </si>
  <si>
    <t>GFT Ventures</t>
  </si>
  <si>
    <t>jenik.com</t>
  </si>
  <si>
    <t>ARMO</t>
  </si>
  <si>
    <t>Webb+Co</t>
  </si>
  <si>
    <t>SGE</t>
  </si>
  <si>
    <t>CLP Power Hong Kong Limited</t>
  </si>
  <si>
    <t>50-Pound Boson</t>
  </si>
  <si>
    <t>ZAT Group</t>
  </si>
  <si>
    <t>bochtec.com</t>
  </si>
  <si>
    <t>Lineo Solutions, Inc.</t>
  </si>
  <si>
    <t>Firstswissrealestateag</t>
  </si>
  <si>
    <t>Events Plus Inc.</t>
  </si>
  <si>
    <t>Boston-Investment</t>
  </si>
  <si>
    <t>Abeamconsultings</t>
  </si>
  <si>
    <t>Lynk &amp; Co</t>
  </si>
  <si>
    <t>MIMOS Berhad</t>
  </si>
  <si>
    <t>Atlas Mobility International</t>
  </si>
  <si>
    <t>NSFOCUS</t>
  </si>
  <si>
    <t>CB Insights</t>
  </si>
  <si>
    <t>adallon.com</t>
  </si>
  <si>
    <t>Optasia Wealth Management Ltd</t>
  </si>
  <si>
    <t>aizoOn Technology Consulting</t>
  </si>
  <si>
    <t>dotrustech.com</t>
  </si>
  <si>
    <t>ngpatent.it</t>
  </si>
  <si>
    <t>Monobank</t>
  </si>
  <si>
    <t>Media Outreach Ltd</t>
  </si>
  <si>
    <t>ntut.org.tw</t>
  </si>
  <si>
    <t>SIGIS</t>
  </si>
  <si>
    <t>ffxiv.cat</t>
  </si>
  <si>
    <t>steelbird.in</t>
  </si>
  <si>
    <t>한컴인텔리전스</t>
  </si>
  <si>
    <t>Hon Hai Precision Industry Co. Ltd..mw-parser-output .nobold{font-weight:normal}鴻海精密工業股份有限公司</t>
  </si>
  <si>
    <t>Chinese Culture University</t>
  </si>
  <si>
    <t>Airlitefinance</t>
  </si>
  <si>
    <t>Crediteyes Co.</t>
  </si>
  <si>
    <t>AI Global Media Ltd</t>
  </si>
  <si>
    <t>Stefanini</t>
  </si>
  <si>
    <t>University.com</t>
  </si>
  <si>
    <t>Bharat Innovation Fund</t>
  </si>
  <si>
    <t>Cranfield University</t>
  </si>
  <si>
    <t>GEM Global Emerging Markets</t>
  </si>
  <si>
    <t>Cornell Communications</t>
  </si>
  <si>
    <t>Brose</t>
  </si>
  <si>
    <t>LIFTT</t>
  </si>
  <si>
    <t>business.com</t>
  </si>
  <si>
    <t>L&amp;T Technology Services</t>
  </si>
  <si>
    <t>Towson University</t>
  </si>
  <si>
    <t>BPEX</t>
  </si>
  <si>
    <t>beydent.com</t>
  </si>
  <si>
    <t>Dominix-Solutions</t>
  </si>
  <si>
    <t>Western University</t>
  </si>
  <si>
    <t>china-icv.cn</t>
  </si>
  <si>
    <t>Hanwha Group</t>
  </si>
  <si>
    <t>auto-star.com.cn</t>
  </si>
  <si>
    <t>chinaskycloud.com</t>
  </si>
  <si>
    <t>Tech Mahindra Ltd</t>
  </si>
  <si>
    <t>dlcapitalchina.cn</t>
  </si>
  <si>
    <t>Lev Academic Center ( JCT )</t>
  </si>
  <si>
    <t>norskeagle.com</t>
  </si>
  <si>
    <t>Argus Cyber Security Ltd</t>
  </si>
  <si>
    <t>Nova</t>
  </si>
  <si>
    <t>SPRG</t>
  </si>
  <si>
    <t>chibaplanningoffice.jp</t>
  </si>
  <si>
    <t>Koenigsegg Automotive AB</t>
  </si>
  <si>
    <t>OSC Korea co.</t>
  </si>
  <si>
    <t>Silk Road Group</t>
  </si>
  <si>
    <t>Tech Writer כתב טכני</t>
  </si>
  <si>
    <t>docustar.co.il</t>
  </si>
  <si>
    <t>Sitem</t>
  </si>
  <si>
    <t>WPIC Marketing + Technologies</t>
  </si>
  <si>
    <t>forms-wizard.com</t>
  </si>
  <si>
    <t>PTL Group</t>
  </si>
  <si>
    <t>GateHub</t>
  </si>
  <si>
    <t>WorldFestival</t>
  </si>
  <si>
    <t>Papirus</t>
  </si>
  <si>
    <t>inteliq.com</t>
  </si>
  <si>
    <t>CertX</t>
  </si>
  <si>
    <t>InLinum</t>
  </si>
  <si>
    <t>Gerhard Großberger</t>
  </si>
  <si>
    <t>Wayne State University</t>
  </si>
  <si>
    <t>ATEEL</t>
  </si>
  <si>
    <t>cadence</t>
  </si>
  <si>
    <t>Vayyar Imaging Ltd.</t>
  </si>
  <si>
    <t>Mobility Lab</t>
  </si>
  <si>
    <t>ARION MEDIA SERVICES</t>
  </si>
  <si>
    <t>auldinfluence.com</t>
  </si>
  <si>
    <t>Barnard College</t>
  </si>
  <si>
    <t>Social5</t>
  </si>
  <si>
    <t>Broadcom Inc.</t>
  </si>
  <si>
    <t>Proton Technologies AG</t>
  </si>
  <si>
    <t>yonipro.com</t>
  </si>
  <si>
    <t>Beijing Jingwei Hirain Technologies Co., Inc.</t>
  </si>
  <si>
    <t>rampcatalyst.net</t>
  </si>
  <si>
    <t>Penguin Strategies</t>
  </si>
  <si>
    <t>Tongji University</t>
  </si>
  <si>
    <t>Enterprise Viewpoint</t>
  </si>
  <si>
    <t>Dhf</t>
  </si>
  <si>
    <t>Generis</t>
  </si>
  <si>
    <t>Globee Awards</t>
  </si>
  <si>
    <t>Info Security Products Guide</t>
  </si>
  <si>
    <t>Real-Time Innovations</t>
  </si>
  <si>
    <t>College of Engineering</t>
  </si>
  <si>
    <t>appengine.ai</t>
  </si>
  <si>
    <t>Information Security Media Group, Corp.</t>
  </si>
  <si>
    <t>Fast Company</t>
  </si>
  <si>
    <t>AccessPlus Communications Ltd</t>
  </si>
  <si>
    <t>The CyberWire</t>
  </si>
  <si>
    <t>Singapore Technologies Engineering Ltd</t>
  </si>
  <si>
    <t>Li Auto</t>
  </si>
  <si>
    <t>FutureBridge</t>
  </si>
  <si>
    <t>Goldfin</t>
  </si>
  <si>
    <t>University of Windsor</t>
  </si>
  <si>
    <t>Improvate</t>
  </si>
  <si>
    <t>Coventry University</t>
  </si>
  <si>
    <t>Prospectr Marketing Inc</t>
  </si>
  <si>
    <t>AUTOCRYPT</t>
  </si>
  <si>
    <t>ozrobotics.us</t>
  </si>
  <si>
    <t>Woven Planet</t>
  </si>
  <si>
    <t>מירב בניית אתרים</t>
  </si>
  <si>
    <t>ZEDEDA Inc</t>
  </si>
  <si>
    <t>Bangcle Security</t>
  </si>
  <si>
    <t>ANGOKA</t>
  </si>
  <si>
    <t>Tata Consultancy Services Ltd</t>
  </si>
  <si>
    <t>Tata Communications Limited</t>
  </si>
  <si>
    <t>Mazda Australia Pty Ltd</t>
  </si>
  <si>
    <t>Honda Europe Motorcycle S.R.L.</t>
  </si>
  <si>
    <t>South Motors Honda</t>
  </si>
  <si>
    <t>Hino Trucks</t>
  </si>
  <si>
    <t>GM Financial</t>
  </si>
  <si>
    <t>Maserati</t>
  </si>
  <si>
    <t>J21</t>
  </si>
  <si>
    <t>Southwest Research Institute</t>
  </si>
  <si>
    <t>University of Detroit Mercy</t>
  </si>
  <si>
    <t>Mitsubishi Electric Corp.</t>
  </si>
  <si>
    <t>Cyber Talent Search</t>
  </si>
  <si>
    <t>Green Hills Software LLC</t>
  </si>
  <si>
    <t>toyota-ims.com</t>
  </si>
  <si>
    <t>Alliance for Automotive Innovation</t>
  </si>
  <si>
    <t>Washtenaw Community College</t>
  </si>
  <si>
    <t>komatsuna.com</t>
  </si>
  <si>
    <t>Department of Homeland Security</t>
  </si>
  <si>
    <t>Transport Canada</t>
  </si>
  <si>
    <t>University of Memphis</t>
  </si>
  <si>
    <t>sws.com</t>
  </si>
  <si>
    <t>SRI</t>
  </si>
  <si>
    <t>TuSimple</t>
  </si>
  <si>
    <t>Mayer Brown</t>
  </si>
  <si>
    <t>Trustonic</t>
  </si>
  <si>
    <t>Oshkosh Corporation</t>
  </si>
  <si>
    <t>Argo AI</t>
  </si>
  <si>
    <t>Sumitomo Electric Wiring Systems</t>
  </si>
  <si>
    <t>JAMA</t>
  </si>
  <si>
    <t>Munich Re</t>
  </si>
  <si>
    <t>National Institute of Standards and Technology</t>
  </si>
  <si>
    <t>Xilinx</t>
  </si>
  <si>
    <t>Palo Alto Networks</t>
  </si>
  <si>
    <t>Capgemini</t>
  </si>
  <si>
    <t>Red Balloon Security</t>
  </si>
  <si>
    <t>Motor &amp; Equipment Manufacturers Association</t>
  </si>
  <si>
    <t>Yamaha Motor</t>
  </si>
  <si>
    <t>American Honda Motor Co., Inc</t>
  </si>
  <si>
    <t>Block Harbor Cybersecurity</t>
  </si>
  <si>
    <t>BG Networks,</t>
  </si>
  <si>
    <t>AT&amp;T Inc.</t>
  </si>
  <si>
    <t>Intel Corporation</t>
  </si>
  <si>
    <t>Seagate Technology</t>
  </si>
  <si>
    <t>AirFleet</t>
  </si>
  <si>
    <t>American Broadcasting Company</t>
  </si>
  <si>
    <t>Cybellum Ltd</t>
  </si>
  <si>
    <t>wwfl-uae.com</t>
  </si>
  <si>
    <t>Deloitte</t>
  </si>
  <si>
    <t>Anderson Law Firm</t>
  </si>
  <si>
    <t>University of California, Berkeley</t>
  </si>
  <si>
    <t>Teltonika</t>
  </si>
  <si>
    <t>Lambert &amp; Co.</t>
  </si>
  <si>
    <t>SHIFT Communications</t>
  </si>
  <si>
    <t>PANcomm</t>
  </si>
  <si>
    <t>Matter Communications Inc</t>
  </si>
  <si>
    <t>NIPPON TELEGRAPH AND TELEPHONE CORPORATION</t>
  </si>
  <si>
    <t>株式会社豆蔵</t>
  </si>
  <si>
    <t>o2owiz.com</t>
  </si>
  <si>
    <t>Zetta mini cam</t>
  </si>
  <si>
    <t>U.S. Department of Health and Human Services</t>
  </si>
  <si>
    <t>Eastronics</t>
  </si>
  <si>
    <t>feedly.email</t>
  </si>
  <si>
    <t>Wakeup Technology Pvt Ltd</t>
  </si>
  <si>
    <t>Group Marketing Services</t>
  </si>
  <si>
    <t>CNH Industrial</t>
  </si>
  <si>
    <t>larah.com</t>
  </si>
  <si>
    <t>Isnotspam</t>
  </si>
  <si>
    <t>Spectrum Management Equity Inc</t>
  </si>
  <si>
    <t>Aardvark Israel</t>
  </si>
  <si>
    <t>Usaneers GmbH</t>
  </si>
  <si>
    <t>The Hebrew University of Jerusalem</t>
  </si>
  <si>
    <t>jooble.com</t>
  </si>
  <si>
    <t>vladneste.com</t>
  </si>
  <si>
    <t>Eberspächer Group</t>
  </si>
  <si>
    <t>E-motec</t>
  </si>
  <si>
    <t>Automotive Thinking</t>
  </si>
  <si>
    <t>Checkmarx.com</t>
  </si>
  <si>
    <t>Alliance Renault-Nissan-Mitsubishi</t>
  </si>
  <si>
    <t>Baker Gauges India Private Limited,Viman Nagar,Pune</t>
  </si>
  <si>
    <t>mclaren-automotive-ltd</t>
  </si>
  <si>
    <t>Avaada Group</t>
  </si>
  <si>
    <t>ajit coatiingspvt ltd</t>
  </si>
  <si>
    <t>Trans-Matic Mfg. Co</t>
  </si>
  <si>
    <t>EFI Automotive</t>
  </si>
  <si>
    <t>AUTOIN BY FERI - SOCIETA  PER AZIONI</t>
  </si>
  <si>
    <t>C&amp;S ELECTRIC LTD.</t>
  </si>
  <si>
    <t>Deland Kia/Bill Bryan Kia</t>
  </si>
  <si>
    <t>Inventaa LED Innovation Pvt. Ltd.</t>
  </si>
  <si>
    <t>VE Commercial Vehicles</t>
  </si>
  <si>
    <t>Steel Strips Wheels Limited</t>
  </si>
  <si>
    <t>Hero MotoCorp Ltd</t>
  </si>
  <si>
    <t>Mahanagar Gas Limited, Mumbai</t>
  </si>
  <si>
    <t>Vivere Di Dividendi</t>
  </si>
  <si>
    <t>HIAL SERVICES PRIVATE LIMITED</t>
  </si>
  <si>
    <t>ADM Group</t>
  </si>
  <si>
    <t>bms-engineering-s-rl</t>
  </si>
  <si>
    <t>Ashok Leyland</t>
  </si>
  <si>
    <t>Merit Automotive Electronics Systems., S.L.U.</t>
  </si>
  <si>
    <t>Escorts Limited</t>
  </si>
  <si>
    <t>B G Fastening &amp; Engineering Industries Pvt Ltd, INDIA</t>
  </si>
  <si>
    <t>SVPL</t>
  </si>
  <si>
    <t>Autoline Industries Limited</t>
  </si>
  <si>
    <t>Climax Overseas Pvt Ltd</t>
  </si>
  <si>
    <t>Marketing Interest Group (MIG)</t>
  </si>
  <si>
    <t>DELFINGEN</t>
  </si>
  <si>
    <t>MINTH Group Ltd.</t>
  </si>
  <si>
    <t>B2X Care Solutions</t>
  </si>
  <si>
    <t>Uttam Galva Steels Ltd.</t>
  </si>
  <si>
    <t>Mega Motors Services Ambikapur</t>
  </si>
  <si>
    <t>.</t>
  </si>
  <si>
    <t>JCB India Ltd.</t>
  </si>
  <si>
    <t>JPL Associates</t>
  </si>
  <si>
    <t>NAVJIVAN HYUNDAI</t>
  </si>
  <si>
    <t>GS AUTO INTERNATIONAL LTD</t>
  </si>
  <si>
    <t>bridgestoneemia</t>
  </si>
  <si>
    <t>Northstar elements</t>
  </si>
  <si>
    <t>Happiest Minds Technologies</t>
  </si>
  <si>
    <t>Aditya Auto Products &amp; Engineering (I) Pvt Ltd</t>
  </si>
  <si>
    <t>Fleetguard Filters Pvt. Ltd.</t>
  </si>
  <si>
    <t>Reverie Language Technologies</t>
  </si>
  <si>
    <t>Gordon Murray Design</t>
  </si>
  <si>
    <t>Netlogic Solutions</t>
  </si>
  <si>
    <t>KSPG Automotive India Private Limited</t>
  </si>
  <si>
    <t>GITAM AUTOMOTIVE CLUB</t>
  </si>
  <si>
    <t>Silvera Automotive Solutions</t>
  </si>
  <si>
    <t>Global Goodwill Ambassadors (GGA)</t>
  </si>
  <si>
    <t>Life care hospital and trouma centre robertsganj</t>
  </si>
  <si>
    <t>Lakhani Armaan Group</t>
  </si>
  <si>
    <t>Compass India Support Services Pvt. Ltd.,</t>
  </si>
  <si>
    <t>Symantec</t>
  </si>
  <si>
    <t>Spark Minda Technical Center</t>
  </si>
  <si>
    <t>Varroc</t>
  </si>
  <si>
    <t>현대자동차</t>
  </si>
  <si>
    <t>Sanden Vikas India Pvt. Ltd.</t>
  </si>
  <si>
    <t>Lorom India Corporation Pvt. Ltd.</t>
  </si>
  <si>
    <t>BYKMO</t>
  </si>
  <si>
    <t>Infosys</t>
  </si>
  <si>
    <t>P+Z Engineering GmbH</t>
  </si>
  <si>
    <t>Software AG</t>
  </si>
  <si>
    <t>Self-employed</t>
  </si>
  <si>
    <t>MG Motor India Pvt. Ltd.</t>
  </si>
  <si>
    <t>Adani Solar</t>
  </si>
  <si>
    <t>EX-ISRO-ISAC</t>
  </si>
  <si>
    <t>IDM SAP SD FUNCTIONAL</t>
  </si>
  <si>
    <t>SIAC-SKH INDIA CABS MFG. PVT. LTD.</t>
  </si>
  <si>
    <t>VNS Industrial Technologies</t>
  </si>
  <si>
    <t>Danlaw Technologies India Ltd</t>
  </si>
  <si>
    <t>Pi Square Technologies</t>
  </si>
  <si>
    <t>PCA-MOTORS</t>
  </si>
  <si>
    <t>AirplaneCare.com</t>
  </si>
  <si>
    <t>Jardine Lloyd Thompson India (JLT India)</t>
  </si>
  <si>
    <t>3Polis Limited</t>
  </si>
  <si>
    <t>Marquardt India Pvt. Ltd</t>
  </si>
  <si>
    <t>Piaggio Vehicles Pvt. Ltd.</t>
  </si>
  <si>
    <t>JBF PETROCHEMICALS LIMITED</t>
  </si>
  <si>
    <t>mazzucconi-group</t>
  </si>
  <si>
    <t>IL&amp;FS CLUSTER DEVELOPMENT INITIATIVE LIMITED</t>
  </si>
  <si>
    <t>Commonwealth Bank</t>
  </si>
  <si>
    <t>JK Technosoft Limited.</t>
  </si>
  <si>
    <t>reworld-media</t>
  </si>
  <si>
    <t>Saera Electric Auto Pvt. Ltd.</t>
  </si>
  <si>
    <t>Jamna Auto Industries Ltd.</t>
  </si>
  <si>
    <t>Genpact India Pvt.Ltd.</t>
  </si>
  <si>
    <t>Bihar Institute Of Law - India</t>
  </si>
  <si>
    <t>Automotive Robotics</t>
  </si>
  <si>
    <t>Moxie</t>
  </si>
  <si>
    <t>Car Software Org</t>
  </si>
  <si>
    <t>JATCO France SAS</t>
  </si>
  <si>
    <t>ClearMotion</t>
  </si>
  <si>
    <t>Sintex BAPL Ltd</t>
  </si>
  <si>
    <t>DEKRA</t>
  </si>
  <si>
    <t>Penn Engineered Solutions Ltd</t>
  </si>
  <si>
    <t>Maruti Suzuki India Limited</t>
  </si>
  <si>
    <t>MyFavTutorIndia</t>
  </si>
  <si>
    <t>ATS-ELGI Limited</t>
  </si>
  <si>
    <t>Sonata Software</t>
  </si>
  <si>
    <t>PC Solutions</t>
  </si>
  <si>
    <t>Gabriel India Limited</t>
  </si>
  <si>
    <t>Freelance</t>
  </si>
  <si>
    <t>Larsen &amp; Toubro</t>
  </si>
  <si>
    <t>SUN Mobility</t>
  </si>
  <si>
    <t>JPMorgan Chase &amp; Co.</t>
  </si>
  <si>
    <t>TAIKISHA ENGINEERING INDIA PVT LTD- Electrical and Automation Division</t>
  </si>
  <si>
    <t>Supalign</t>
  </si>
  <si>
    <t>Tenneco Inc.</t>
  </si>
  <si>
    <t>Huf india Pvt Ltd</t>
  </si>
  <si>
    <t>Shakti Sustainable Energy Foundation</t>
  </si>
  <si>
    <t>Sona Comstar</t>
  </si>
  <si>
    <t>TrusTrace</t>
  </si>
  <si>
    <t>BRC STAR OPC Pvt Ltd</t>
  </si>
  <si>
    <t>Clickway Software IT</t>
  </si>
  <si>
    <t>Neosym Industry Limited</t>
  </si>
  <si>
    <t>CREAT UNO MINDA</t>
  </si>
  <si>
    <t>National Dairy Development Board</t>
  </si>
  <si>
    <t>Recently Super Annuated as Head QA Tata Motors PVBU ,seeking engagement in Auto/Engg Domain</t>
  </si>
  <si>
    <t>Polyplastics Industries India Pvt Ltd</t>
  </si>
  <si>
    <t>Ingersoll Rand</t>
  </si>
  <si>
    <t>Currently Seeking new opportunities and challenges</t>
  </si>
  <si>
    <t>Outline Systems India Pvt Ltd</t>
  </si>
  <si>
    <t>KLT Automotive &amp; Tubular Products Ltd</t>
  </si>
  <si>
    <t>nanosys</t>
  </si>
  <si>
    <t>TRAC Automotive Solutions</t>
  </si>
  <si>
    <t>Cognizant</t>
  </si>
  <si>
    <t>gruoa k2</t>
  </si>
  <si>
    <t>MicroNova</t>
  </si>
  <si>
    <t>Sila Group</t>
  </si>
  <si>
    <t>Indian Automotive JV</t>
  </si>
  <si>
    <t>Speedy Equipement Manufacturing LLP</t>
  </si>
  <si>
    <t>Autel Intelligent Technology Co (LTD)</t>
  </si>
  <si>
    <t>Hatsun Agro Product Ltd</t>
  </si>
  <si>
    <t>Classic Mould and dies</t>
  </si>
  <si>
    <t>Da Vinci Engineering GmbH</t>
  </si>
  <si>
    <t>Crevavi Engineering Solutions Pvt.Ltd.</t>
  </si>
  <si>
    <t>VDL Bus &amp; Coach bv</t>
  </si>
  <si>
    <t>Oetiker Group</t>
  </si>
  <si>
    <t>Hinduja Tech Limited</t>
  </si>
  <si>
    <t>SG Auto Assist - Emergency Car Breakdown</t>
  </si>
  <si>
    <t>Indian Navy</t>
  </si>
  <si>
    <t>BROSE INDIA AUTOMOTIVE SYSTEMS PRIVATE LIMITED</t>
  </si>
  <si>
    <t>Freelancer.com</t>
  </si>
  <si>
    <t>International tractors limited</t>
  </si>
  <si>
    <t>Vecmocon Technologies Pvt. Ltd.</t>
  </si>
  <si>
    <t>Iveco Bus</t>
  </si>
  <si>
    <t>Cts</t>
  </si>
  <si>
    <t>MSX INTERNATIONAL LIMITED</t>
  </si>
  <si>
    <t>vscc.org.tw</t>
  </si>
  <si>
    <t>HubSpot, Inc.</t>
  </si>
  <si>
    <t>Gartner</t>
  </si>
  <si>
    <t>Indraprastha Institute of Information Technology Delhi</t>
  </si>
  <si>
    <t>pennengineeredsolutions.co.uk</t>
  </si>
  <si>
    <t>SMU-DE</t>
  </si>
  <si>
    <t>Avaada Energy Pvt Ltd</t>
  </si>
  <si>
    <t>acemsrve.com</t>
  </si>
  <si>
    <t>Bharat Heavy Electricals Limited</t>
  </si>
  <si>
    <t>Kiekert AG</t>
  </si>
  <si>
    <t>DesignTech Systems</t>
  </si>
  <si>
    <t>aspectcoatings.com</t>
  </si>
  <si>
    <t>Triple Bottom Line Ltd</t>
  </si>
  <si>
    <t>braack-online.de</t>
  </si>
  <si>
    <t>ART SpA</t>
  </si>
  <si>
    <t>Markets and Markets</t>
  </si>
  <si>
    <t>BWT Racing Point F1 Team</t>
  </si>
  <si>
    <t>grupposila.com</t>
  </si>
  <si>
    <t>TIALEA</t>
  </si>
  <si>
    <t>Capstone Financial Group</t>
  </si>
  <si>
    <t>mailhec.com</t>
  </si>
  <si>
    <t>Ottopia</t>
  </si>
  <si>
    <t>Boaz Barzily Law Office</t>
  </si>
  <si>
    <t>Providence</t>
  </si>
  <si>
    <t>Boston Consulting Group, Inc.</t>
  </si>
  <si>
    <t>General Atlantic LLC</t>
  </si>
  <si>
    <t>Cta-Tech</t>
  </si>
  <si>
    <t>Professional Development Group II Inc</t>
  </si>
  <si>
    <t>Skylake Capital</t>
  </si>
  <si>
    <t>Jonas Software</t>
  </si>
  <si>
    <t>Road Ventures</t>
  </si>
  <si>
    <t>Costa Norte &amp; Co.</t>
  </si>
  <si>
    <t>הראל הרץ</t>
  </si>
  <si>
    <t>Made in Jerusalem</t>
  </si>
  <si>
    <t>CAERI</t>
  </si>
  <si>
    <t>Automotive World</t>
  </si>
  <si>
    <t>MAN Truck &amp; Bus SE</t>
  </si>
  <si>
    <t>furtas.net</t>
  </si>
  <si>
    <t>RECARO Aircraft Seating</t>
  </si>
  <si>
    <t>Waymo LLC</t>
  </si>
  <si>
    <t>Zoox</t>
  </si>
  <si>
    <t>Škoda Auto</t>
  </si>
  <si>
    <t>Navistar, Inc</t>
  </si>
  <si>
    <t>lyft</t>
  </si>
  <si>
    <t>Uber Technologies, Inc.</t>
  </si>
  <si>
    <t>Aurora</t>
  </si>
  <si>
    <t>Webnet-It</t>
  </si>
  <si>
    <t>Science Applications International Corporation</t>
  </si>
  <si>
    <t>Crazy Egg Inc</t>
  </si>
  <si>
    <t>Lusha</t>
  </si>
  <si>
    <t>SSON</t>
  </si>
  <si>
    <t>Global database</t>
  </si>
  <si>
    <t>BBB Industries</t>
  </si>
  <si>
    <t>Carminga</t>
  </si>
  <si>
    <t>DigiTall Paris</t>
  </si>
  <si>
    <t>IDAN-Drive</t>
  </si>
  <si>
    <t>German Autolabs</t>
  </si>
  <si>
    <t>Foamotive Japan</t>
  </si>
  <si>
    <t>Akka Technologies</t>
  </si>
  <si>
    <t>Ionity</t>
  </si>
  <si>
    <t>Monroe Multinational Group</t>
  </si>
  <si>
    <t>Be'eri print</t>
  </si>
  <si>
    <t>WABCO</t>
  </si>
  <si>
    <t>Realthingks-Automotive</t>
  </si>
  <si>
    <t>パブコ</t>
  </si>
  <si>
    <t>Galvion Ltd</t>
  </si>
  <si>
    <t>e:fs TechHub</t>
  </si>
  <si>
    <t>Dow Inc.</t>
  </si>
  <si>
    <t>VANTEC CORPORATION</t>
  </si>
  <si>
    <t>yemin-family.com</t>
  </si>
  <si>
    <t>pix.co.il</t>
  </si>
  <si>
    <t>Marriott International, Inc.</t>
  </si>
  <si>
    <t>Rolling</t>
  </si>
  <si>
    <t>University of Bath</t>
  </si>
  <si>
    <t>mot.gov.il</t>
  </si>
  <si>
    <t>EDAG Group</t>
  </si>
  <si>
    <t>Sonceboz</t>
  </si>
  <si>
    <t>ITEC</t>
  </si>
  <si>
    <t>Irdeto</t>
  </si>
  <si>
    <t>ITT Inc.</t>
  </si>
  <si>
    <t>Xena Networks</t>
  </si>
  <si>
    <t>bmwtechoffice.co.il</t>
  </si>
  <si>
    <t>Nexteer</t>
  </si>
  <si>
    <t>Tweddle Group Inc</t>
  </si>
  <si>
    <t>TÜV-Verband</t>
  </si>
  <si>
    <t>U.S. Department of Transportation</t>
  </si>
  <si>
    <t>HUB Security</t>
  </si>
  <si>
    <t>Ayalon Highways</t>
  </si>
  <si>
    <t>tvnavi.ru</t>
  </si>
  <si>
    <t>UTAC Japan</t>
  </si>
  <si>
    <t>Gadz org</t>
  </si>
  <si>
    <t>University of Houston</t>
  </si>
  <si>
    <t>Aston Martin Lagonda Ltd</t>
  </si>
  <si>
    <t>Speciale Invest</t>
  </si>
  <si>
    <t>Dukosi</t>
  </si>
  <si>
    <t>Yihang Intelligent</t>
  </si>
  <si>
    <t>apmaiac.ca</t>
  </si>
  <si>
    <t>kasle.net</t>
  </si>
  <si>
    <t>white-motion.com</t>
  </si>
  <si>
    <t>einziel.com</t>
  </si>
  <si>
    <t>rcglogistics.com</t>
  </si>
  <si>
    <t>Applus IDIADA</t>
  </si>
  <si>
    <t>Chief Vehicle Rentals Ltd</t>
  </si>
  <si>
    <t>modusop.co.uk</t>
  </si>
  <si>
    <t>Proeza Ventures</t>
  </si>
  <si>
    <t>Strategy Analytics is now TechInsights</t>
  </si>
  <si>
    <t>IPC</t>
  </si>
  <si>
    <t>TVS Motor Company Limited</t>
  </si>
  <si>
    <t>maale-adumim.co.il</t>
  </si>
  <si>
    <t>K&amp;CO</t>
  </si>
  <si>
    <t>AVITAL &amp; SHIRA</t>
  </si>
  <si>
    <t>Israel Airport Authority</t>
  </si>
  <si>
    <t>Giladi Capital</t>
  </si>
  <si>
    <t>3 Print Prices</t>
  </si>
  <si>
    <t>AutoLeadStar</t>
  </si>
  <si>
    <t>Tech Market Now -</t>
  </si>
  <si>
    <t>Fabrinet Co., Ltd.</t>
  </si>
  <si>
    <t>VAYU Personalberatung</t>
  </si>
  <si>
    <t>Microsemi Corporation</t>
  </si>
  <si>
    <t>Hearst Television, Inc.</t>
  </si>
  <si>
    <t>High Sec Labs</t>
  </si>
  <si>
    <t>eventconnpro.com</t>
  </si>
  <si>
    <t>informationleads.com</t>
  </si>
  <si>
    <t>Intentico</t>
  </si>
  <si>
    <t>Consumex Productions</t>
  </si>
  <si>
    <t>Simless</t>
  </si>
  <si>
    <t>Limited', 'Starda Mould Co., Limited</t>
  </si>
  <si>
    <t>Huber Group -</t>
  </si>
  <si>
    <t>ARCCORE - a Vector</t>
  </si>
  <si>
    <t>The Works Displays &amp; Exhibits</t>
  </si>
  <si>
    <t>Bonsaicapital</t>
  </si>
  <si>
    <t>LSLiDAR</t>
  </si>
  <si>
    <t>Autoliv Inc</t>
  </si>
  <si>
    <t>Toka</t>
  </si>
  <si>
    <t>ProRescue Mexico</t>
  </si>
  <si>
    <t>wenglobal.org</t>
  </si>
  <si>
    <t>noamrisk</t>
  </si>
  <si>
    <t>CYOSS</t>
  </si>
  <si>
    <t>BUSINESS FRANCE</t>
  </si>
  <si>
    <t>Valens Semiconductor Ltd</t>
  </si>
  <si>
    <t>UMS Institute 普昱传媒集团</t>
  </si>
  <si>
    <t>Silicon Valley Bank</t>
  </si>
  <si>
    <t>spaceroboticschallenge.com</t>
  </si>
  <si>
    <t>Pan Asia Technical Automotive Center Co.</t>
  </si>
  <si>
    <t>ThisPlay</t>
  </si>
  <si>
    <t>NTECHCON</t>
  </si>
  <si>
    <t>Beijing Topsec Network Security Technology</t>
  </si>
  <si>
    <t>Microsoft</t>
  </si>
  <si>
    <t>BlueRed Partners</t>
  </si>
  <si>
    <t>Chris Voss</t>
  </si>
  <si>
    <t>R Bhargav &amp; Associates</t>
  </si>
  <si>
    <t>Chip 1 Exchange</t>
  </si>
  <si>
    <t>Thales Group</t>
  </si>
  <si>
    <t>Kaspersky</t>
  </si>
  <si>
    <t>Franklin Printing</t>
  </si>
  <si>
    <t>Quality Guest Post</t>
  </si>
  <si>
    <t>erm.co.il</t>
  </si>
  <si>
    <t>Magma Venture Partners</t>
  </si>
  <si>
    <t>Sacumen</t>
  </si>
  <si>
    <t>Didi Chuxing</t>
  </si>
  <si>
    <t>TTTech</t>
  </si>
  <si>
    <t>MCM Japan Co., Ltd.</t>
  </si>
  <si>
    <t>Next Gear Ventures</t>
  </si>
  <si>
    <t>CLD PR</t>
  </si>
  <si>
    <t>Rolls-Royce</t>
  </si>
  <si>
    <t>GZ Capital, Inc.</t>
  </si>
  <si>
    <t>Pegasi Media Group</t>
  </si>
  <si>
    <t>exselling.net</t>
  </si>
  <si>
    <t>motormindz</t>
  </si>
  <si>
    <t>bentley.co.uk</t>
  </si>
  <si>
    <t>Reliance Industries Limited</t>
  </si>
  <si>
    <t>i-o-p.co</t>
  </si>
  <si>
    <t>Qualcomm Ventures</t>
  </si>
  <si>
    <t>Barak-Print</t>
  </si>
  <si>
    <t>קונדיטוריה בן עמי</t>
  </si>
  <si>
    <t>amdan</t>
  </si>
  <si>
    <t>Alumni Association 8200</t>
  </si>
  <si>
    <t>Z.Design·Branding&amp;Digital : מיתוג ודיגיטל</t>
  </si>
  <si>
    <t>OTHER</t>
  </si>
  <si>
    <t>GENIVI Alliance</t>
  </si>
  <si>
    <t>Libero</t>
  </si>
  <si>
    <t>Content Curator (Editorial Content Research &amp; Concept) - Freelancer</t>
  </si>
  <si>
    <t>Join us technologies</t>
  </si>
  <si>
    <t>Arilou Technologies</t>
  </si>
  <si>
    <t>MIT</t>
  </si>
  <si>
    <t>JTEKT Corporation</t>
  </si>
  <si>
    <t>Ateios Inc</t>
  </si>
  <si>
    <t>IAV GmbH</t>
  </si>
  <si>
    <t>Ricardo PLC</t>
  </si>
  <si>
    <t>GreatWallMotors</t>
  </si>
  <si>
    <t>MAHLE International GmbH</t>
  </si>
  <si>
    <t>TESLA, INC.</t>
  </si>
  <si>
    <t>Elbit Systems Ltd</t>
  </si>
  <si>
    <t>ALTEN Group</t>
  </si>
  <si>
    <t>HendrickCars.com</t>
  </si>
  <si>
    <t>Wheelers Family Auto Group</t>
  </si>
  <si>
    <t>US Army</t>
  </si>
  <si>
    <t>University at Buffalo</t>
  </si>
  <si>
    <t>HESAI</t>
  </si>
  <si>
    <t>MicroFuzzy GmbH</t>
  </si>
  <si>
    <t>BYTON</t>
  </si>
  <si>
    <t>visteon</t>
  </si>
  <si>
    <t>Contemporary Amperex Technology</t>
  </si>
  <si>
    <t>Savari Inc</t>
  </si>
  <si>
    <t>Arbe</t>
  </si>
  <si>
    <t>Matrickz</t>
  </si>
  <si>
    <t>CO-EX-Tex. A divison of Magna Exteriors</t>
  </si>
  <si>
    <t>The Goodyear Tire &amp; Rubber Company</t>
  </si>
  <si>
    <t>GECOM Corporation</t>
  </si>
  <si>
    <t>Michelin Group</t>
  </si>
  <si>
    <t>Dynamic Manufacturing</t>
  </si>
  <si>
    <t>NIPPON SEIKI CO.,LTD.</t>
  </si>
  <si>
    <t>Methodica Technologies</t>
  </si>
  <si>
    <t>Vitesco Technologies</t>
  </si>
  <si>
    <t>sapa-superior-auto-parts-always</t>
  </si>
  <si>
    <t>PATEO</t>
  </si>
  <si>
    <t>Shanghai Zongmu Technology Co. Ltd.</t>
  </si>
  <si>
    <t>Elomria Group Future of Automotive Global Firm</t>
  </si>
  <si>
    <t>Land Transport Authority (LTA) Singapore</t>
  </si>
  <si>
    <t>KPIT</t>
  </si>
  <si>
    <t>JATO Dynamics Ltd</t>
  </si>
  <si>
    <t>The University of Texas at Austin</t>
  </si>
  <si>
    <t>SEG Automotive</t>
  </si>
  <si>
    <t>Ronal Group</t>
  </si>
  <si>
    <t>HCL Technologies Limited</t>
  </si>
  <si>
    <t>Indian Institute of Technology Delhi</t>
  </si>
  <si>
    <t>TÜV Rheinland</t>
  </si>
  <si>
    <t>Goodridge</t>
  </si>
  <si>
    <t>BASF SE</t>
  </si>
  <si>
    <t>TRATON GROUP</t>
  </si>
  <si>
    <t>CLAAS</t>
  </si>
  <si>
    <t>Atrios Consulting</t>
  </si>
  <si>
    <t>CyGov - Intelligent Cyber Security</t>
  </si>
  <si>
    <t>Cooper-Standard Holdings Inc</t>
  </si>
  <si>
    <t>Galgotia College</t>
  </si>
  <si>
    <t>Mercedes-Benz</t>
  </si>
  <si>
    <t>Cummins Inc</t>
  </si>
  <si>
    <t>komma</t>
  </si>
  <si>
    <t>Emerge VC</t>
  </si>
  <si>
    <t>Rivian Automotive</t>
  </si>
  <si>
    <t>365LMS</t>
  </si>
  <si>
    <t>AutoFacets</t>
  </si>
  <si>
    <t>GILBERT EMERGENCY VEHICLE SALES &amp; SERVICE INC.</t>
  </si>
  <si>
    <t>Adient plc</t>
  </si>
  <si>
    <t>Hemraj Consulting</t>
  </si>
  <si>
    <t>Cox Automotive Inc</t>
  </si>
  <si>
    <t>Autonomy</t>
  </si>
  <si>
    <t>Thecalibertech</t>
  </si>
  <si>
    <t>QMGC</t>
  </si>
  <si>
    <t>vca.gov.uk</t>
  </si>
  <si>
    <t>Mailfence</t>
  </si>
  <si>
    <t>Dura Automotive Systems LLC</t>
  </si>
  <si>
    <t>Motherson Innovations</t>
  </si>
  <si>
    <t>SBD Automotive Ltd</t>
  </si>
  <si>
    <t>Albelissa People</t>
  </si>
  <si>
    <t>exxternity.de</t>
  </si>
  <si>
    <t>GUARDKNOX</t>
  </si>
  <si>
    <t>Internet Device", 'None</t>
  </si>
  <si>
    <t>DRP Solutions</t>
  </si>
  <si>
    <t>Questar Auto Technologies</t>
  </si>
  <si>
    <t>Sonatus Inc</t>
  </si>
  <si>
    <t>GMV</t>
  </si>
  <si>
    <t>Tactile Mobility Ltd</t>
  </si>
  <si>
    <t>Technical University of Munich</t>
  </si>
  <si>
    <t>3B Data Security</t>
  </si>
  <si>
    <t>CYRES Consulting</t>
  </si>
  <si>
    <t>Ministry of Foreign Affairs of the Hellenic Republic</t>
  </si>
  <si>
    <t>Innoviz Technologies</t>
  </si>
  <si>
    <t>APMA</t>
  </si>
  <si>
    <t>ON Semiconductor</t>
  </si>
  <si>
    <t>gorothschild.com</t>
  </si>
  <si>
    <t>kams.co.uk</t>
  </si>
  <si>
    <t>AC/DC_net</t>
  </si>
  <si>
    <t>NNG</t>
  </si>
  <si>
    <t>RWTH Aachen University</t>
  </si>
  <si>
    <t>TAPA Transported Asset Protection Association</t>
  </si>
  <si>
    <t>Qibus</t>
  </si>
  <si>
    <t>PGUB Management Consultants</t>
  </si>
  <si>
    <t>Automotive Security Research Group</t>
  </si>
  <si>
    <t>preh.de</t>
  </si>
  <si>
    <t>Exida LLC</t>
  </si>
  <si>
    <t>Helsinki Business Hub</t>
  </si>
  <si>
    <t>ESCP</t>
  </si>
  <si>
    <t>REE Automotive Ltd</t>
  </si>
  <si>
    <t>intrunk</t>
  </si>
  <si>
    <t>KEYper Systems</t>
  </si>
  <si>
    <t>bbonen.com</t>
  </si>
  <si>
    <t>MEXT</t>
  </si>
  <si>
    <t>Lettuce Entertain You</t>
  </si>
  <si>
    <t>RegNet Solutions</t>
  </si>
  <si>
    <t>SecureThings</t>
  </si>
  <si>
    <t>phantomauto.com</t>
  </si>
  <si>
    <t>AD Knight</t>
  </si>
  <si>
    <t>Gross Law Firm - GKH</t>
  </si>
  <si>
    <t>linkties(リンクタイズ株式会社)|フォーブス ジャパンを発行するメディアカンパニー</t>
  </si>
  <si>
    <t>Pi-Square Technologies LLC</t>
  </si>
  <si>
    <t>OrgChartHub</t>
  </si>
  <si>
    <t>GCA Altium</t>
  </si>
  <si>
    <t>GCA Advisors LLC</t>
  </si>
  <si>
    <t>Service GTG</t>
  </si>
  <si>
    <t>Wavestone</t>
  </si>
  <si>
    <t>Stifel Financial Corp.</t>
  </si>
  <si>
    <t>OTAinfo</t>
  </si>
  <si>
    <t>Pratt &amp; Miller Engineering</t>
  </si>
  <si>
    <t>evkinetics.com</t>
  </si>
  <si>
    <t>Michigan Technological University</t>
  </si>
  <si>
    <t>Asahi Kasei Corporation</t>
  </si>
  <si>
    <t>wmksafetysolutions.com</t>
  </si>
  <si>
    <t>AIAG</t>
  </si>
  <si>
    <t>IN Venture</t>
  </si>
  <si>
    <t>PwC</t>
  </si>
  <si>
    <t>Mobileye Global Inc.</t>
  </si>
  <si>
    <t>JVP</t>
  </si>
  <si>
    <t>The Peres Center for Peace and Innovation</t>
  </si>
  <si>
    <t>entreecapital.vc</t>
  </si>
  <si>
    <t>Ira Ginzburg</t>
  </si>
  <si>
    <t>Brief.</t>
  </si>
  <si>
    <t>DaMa Studio</t>
  </si>
  <si>
    <t>Dov Abramson Studio</t>
  </si>
  <si>
    <t>pyi.co.il</t>
  </si>
  <si>
    <t>sivan-group.com</t>
  </si>
  <si>
    <t>Emerald Technology Ventures</t>
  </si>
  <si>
    <t>Manta Ray</t>
  </si>
  <si>
    <t>missionbluecapital.com</t>
  </si>
  <si>
    <t>Airbus Ventures</t>
  </si>
  <si>
    <t>SPDG</t>
  </si>
  <si>
    <t>M12 Microsoft's Venture Fund</t>
  </si>
  <si>
    <t>Hanaco Ventures</t>
  </si>
  <si>
    <t>AGP LLC</t>
  </si>
  <si>
    <t>Guberman Group</t>
  </si>
  <si>
    <t>NanoLock Security</t>
  </si>
  <si>
    <t>Eventecs</t>
  </si>
  <si>
    <t>360 Capital</t>
  </si>
  <si>
    <t>ExpansionVC</t>
  </si>
  <si>
    <t>Insight Partners</t>
  </si>
  <si>
    <t>FaxNet</t>
  </si>
  <si>
    <t>TU-Automotive</t>
  </si>
  <si>
    <t>MizMaa Ventures</t>
  </si>
  <si>
    <t>Ibex Investors LLC</t>
  </si>
  <si>
    <t>JAL Ventures</t>
  </si>
  <si>
    <t>BGV</t>
  </si>
  <si>
    <t>SGInnovate</t>
  </si>
  <si>
    <t>SK HYNIX INC.</t>
  </si>
  <si>
    <t>Magenta Venture Partners</t>
  </si>
  <si>
    <t>LG Technology Ventures</t>
  </si>
  <si>
    <t>zahav.net.il</t>
  </si>
  <si>
    <t>pgh.co.il</t>
  </si>
  <si>
    <t>gitv</t>
  </si>
  <si>
    <t>TTTech Auto</t>
  </si>
  <si>
    <t>Venrock</t>
  </si>
  <si>
    <t>SAMSUNG</t>
  </si>
  <si>
    <t>sc-il-cvc.com</t>
  </si>
  <si>
    <t>Generation.e</t>
  </si>
  <si>
    <t>Eight Roads</t>
  </si>
  <si>
    <t>ofek.vc</t>
  </si>
  <si>
    <t>Nineteen-Events</t>
  </si>
  <si>
    <t>Xinergy Global</t>
  </si>
  <si>
    <t>PR Hacker</t>
  </si>
  <si>
    <t>People &amp; Computers</t>
  </si>
  <si>
    <t>Informa</t>
  </si>
  <si>
    <t>kingsroommedia.com</t>
  </si>
  <si>
    <t>NTT</t>
  </si>
  <si>
    <t>ABI Research</t>
  </si>
  <si>
    <t>MoreVC</t>
  </si>
  <si>
    <t>Champel Capital</t>
  </si>
  <si>
    <t>cbg.uk.com</t>
  </si>
  <si>
    <t>Asian Trucker Media Sdn Bhd</t>
  </si>
  <si>
    <t>DHL</t>
  </si>
  <si>
    <t>shoreham-services.com</t>
  </si>
  <si>
    <t>Thomson Reuters</t>
  </si>
  <si>
    <t>Automotive News</t>
  </si>
  <si>
    <t>Porsche Automobil Holding SE</t>
  </si>
  <si>
    <t>PR Newswire</t>
  </si>
  <si>
    <t>Software Sources</t>
  </si>
  <si>
    <t>K2 Global Communications</t>
  </si>
  <si>
    <t>Wee BranDesign</t>
  </si>
  <si>
    <t>AccorHotels</t>
  </si>
  <si>
    <t>Claridge</t>
  </si>
  <si>
    <t>LONDON INTERNATIONAL EXHIBITION CENTRE PLC</t>
  </si>
  <si>
    <t>Hitachi Ventures</t>
  </si>
  <si>
    <t>Restar Holdings Co., Ltd.</t>
  </si>
  <si>
    <t>Hino Motors</t>
  </si>
  <si>
    <t>global.komatsu</t>
  </si>
  <si>
    <t>Denso Ten Limited</t>
  </si>
  <si>
    <t>NIKKAN KOGYO SHIMBUN,LTD.</t>
  </si>
  <si>
    <t>Harman/Becker Automotive Systems</t>
  </si>
  <si>
    <t>FOURIN,Inc.</t>
  </si>
  <si>
    <t>CEIPIEMONTE s.c.p.a.</t>
  </si>
  <si>
    <t>Optibus</t>
  </si>
  <si>
    <t>McKinsey &amp; Company</t>
  </si>
  <si>
    <t>BrightTALK Ltd</t>
  </si>
  <si>
    <t>Haaretz</t>
  </si>
  <si>
    <t>shell</t>
  </si>
  <si>
    <t>Tohmatsu &amp; Co.</t>
  </si>
  <si>
    <t>NTT DATA Corporation</t>
  </si>
  <si>
    <t>Mahindra &amp; Mahindra Ltd</t>
  </si>
  <si>
    <t>TOKAIRIKA,CO, LTD</t>
  </si>
  <si>
    <t>mindagroup.com</t>
  </si>
  <si>
    <t>NASA</t>
  </si>
  <si>
    <t>Rothschild &amp; Co SCA</t>
  </si>
  <si>
    <t>Cision</t>
  </si>
  <si>
    <t>KPMG International Cooperative</t>
  </si>
  <si>
    <t>Propel Strategic Communications</t>
  </si>
  <si>
    <t>Antenna</t>
  </si>
  <si>
    <t>nordvpnbusiness.com</t>
  </si>
  <si>
    <t>Nexvision Technologies</t>
  </si>
  <si>
    <t>CyberDB</t>
  </si>
  <si>
    <t>Ericsson</t>
  </si>
  <si>
    <t>MobilityXlab</t>
  </si>
  <si>
    <t>Dell</t>
  </si>
  <si>
    <t>arazim Navigation Systems</t>
  </si>
  <si>
    <t>dafdefet</t>
  </si>
  <si>
    <t>ארזים</t>
  </si>
  <si>
    <t>Accenture</t>
  </si>
  <si>
    <t>GOV.UK</t>
  </si>
  <si>
    <t>Sdg Site</t>
  </si>
  <si>
    <t>Credit Suisse</t>
  </si>
  <si>
    <t>TP Research</t>
  </si>
  <si>
    <t>גאדג'טשופ</t>
  </si>
  <si>
    <t>University of Michigan</t>
  </si>
  <si>
    <t>SafetyDetective</t>
  </si>
  <si>
    <t>FAKTOR 3</t>
  </si>
  <si>
    <t>italia-israel.com</t>
  </si>
  <si>
    <t>IMI Exhibits</t>
  </si>
  <si>
    <t>Volume 11 Marketing, Inc.</t>
  </si>
  <si>
    <t>Metro Exhibits</t>
  </si>
  <si>
    <t>Startup Grind Inc</t>
  </si>
  <si>
    <t>TRW Aftermarket</t>
  </si>
  <si>
    <t>Innovation Endeavors</t>
  </si>
  <si>
    <t>Nautilus Venture Partners</t>
  </si>
  <si>
    <t>Autotech Ventures</t>
  </si>
  <si>
    <t>toby.co.il</t>
  </si>
  <si>
    <t>VDI e.V.</t>
  </si>
  <si>
    <t>KORIL-RDF</t>
  </si>
  <si>
    <t>Keysight Technologies</t>
  </si>
  <si>
    <t>Bendix Corporation</t>
  </si>
  <si>
    <t>IOActive, Inc.</t>
  </si>
  <si>
    <t>Mitsubishi Cement</t>
  </si>
  <si>
    <t>Consumer Technology Association</t>
  </si>
  <si>
    <t>xpograph</t>
  </si>
  <si>
    <t>Terrapinn Holdings Pty Ltd</t>
  </si>
  <si>
    <t>Sensations Worldwide B.V.</t>
  </si>
  <si>
    <t>Stripes LLC</t>
  </si>
  <si>
    <t>BTWN EXHIBITS</t>
  </si>
  <si>
    <t>Ortra</t>
  </si>
  <si>
    <t>Nordtree</t>
  </si>
  <si>
    <t>www.srm.co.il</t>
  </si>
  <si>
    <t>J-QuAD DYNAMICS</t>
  </si>
  <si>
    <t>MassChallenge</t>
  </si>
  <si>
    <t>Subaru Corporation</t>
  </si>
  <si>
    <t>Nexus Communication SA</t>
  </si>
  <si>
    <t>nisko.co.il</t>
  </si>
  <si>
    <t>beiman-cohen-biran</t>
  </si>
  <si>
    <t>Radware Ltd.</t>
  </si>
  <si>
    <t>HALLA</t>
  </si>
  <si>
    <t>FEV North America Inc</t>
  </si>
  <si>
    <t>Arm, inc</t>
  </si>
  <si>
    <t>richardgotch.com</t>
  </si>
  <si>
    <t>avi-systems.eu</t>
  </si>
  <si>
    <t>Gold n' Links</t>
  </si>
  <si>
    <t>Ascend Capital Partners</t>
  </si>
  <si>
    <t>S&amp;P Global Inc.</t>
  </si>
  <si>
    <t>Edison Awards</t>
  </si>
  <si>
    <t>Metuka</t>
  </si>
  <si>
    <t>IBM International Business Machines Corporation</t>
  </si>
  <si>
    <t>dynamics.vc</t>
  </si>
  <si>
    <t>Bloomberg LP</t>
  </si>
  <si>
    <t>Detroit Regional Partnership</t>
  </si>
  <si>
    <t>Hessen.de</t>
  </si>
  <si>
    <t>Lulop.com</t>
  </si>
  <si>
    <t>IPM AG - Institute for Production Management</t>
  </si>
  <si>
    <t>procuremarketingleads.com</t>
  </si>
  <si>
    <t>evenson</t>
  </si>
  <si>
    <t>רשות החדשנות</t>
  </si>
  <si>
    <t>Weber Shandwick</t>
  </si>
  <si>
    <t>Texas Instruments Incorporated</t>
  </si>
  <si>
    <t>גרפוס פרינט</t>
  </si>
  <si>
    <t>Academic Language Experts</t>
  </si>
  <si>
    <t>Verband der Automobilindustrie e.V.German Association of the Automotive Industry</t>
  </si>
  <si>
    <t>root studio</t>
  </si>
  <si>
    <t>we.CONECT Global Leaders</t>
  </si>
  <si>
    <t>Fraunhofer-Gesellschaft</t>
  </si>
  <si>
    <t>Debby Group</t>
  </si>
  <si>
    <t>Women in Mobility</t>
  </si>
  <si>
    <t>Rimon Cohen &amp; Co. PR &amp; Digital Marketing</t>
  </si>
  <si>
    <t>Fujitsu Ltd</t>
  </si>
  <si>
    <t>Messe Frankfurt</t>
  </si>
  <si>
    <t>G.A.T.I</t>
  </si>
  <si>
    <t>VanWien Media</t>
  </si>
  <si>
    <t>Openers</t>
  </si>
  <si>
    <t>株式会社ケーアイエヌ</t>
  </si>
  <si>
    <t>gexhibits.com</t>
  </si>
  <si>
    <t>Yigal Arnon &amp; Co. - 'יגאל ארנון ושות</t>
  </si>
  <si>
    <t>武蔵精密工業株式会社</t>
  </si>
  <si>
    <t>AZAPA株式会社</t>
  </si>
  <si>
    <t>テクノプロ</t>
  </si>
  <si>
    <t>Suzuki Motor Corp</t>
  </si>
  <si>
    <t>MACNICA, Inc.</t>
  </si>
  <si>
    <t>SAIPS</t>
  </si>
  <si>
    <t>JVCKENWOOD Corporation</t>
  </si>
  <si>
    <t>AISIN AW</t>
  </si>
  <si>
    <t>Stockholms universitet</t>
  </si>
  <si>
    <t>AXA</t>
  </si>
  <si>
    <t>ACTIA Telecom S.A</t>
  </si>
  <si>
    <t>ITK Engineering</t>
  </si>
  <si>
    <t>secunet Security Networks</t>
  </si>
  <si>
    <t>MARQUARDT MÉXICO</t>
  </si>
  <si>
    <t>Honda R&amp;D Europe</t>
  </si>
  <si>
    <t>Veoneer Inc</t>
  </si>
  <si>
    <t>Molex LLC</t>
  </si>
  <si>
    <t>mizuho-bk.co.jp</t>
  </si>
  <si>
    <t>DNV</t>
  </si>
  <si>
    <t>segula.fr</t>
  </si>
  <si>
    <t>ETAS</t>
  </si>
  <si>
    <t>Thatcham</t>
  </si>
  <si>
    <t>Toyota Motor</t>
  </si>
  <si>
    <t>GEELY</t>
  </si>
  <si>
    <t>evercoreisi.com</t>
  </si>
  <si>
    <t>Frost &amp; Sullivan</t>
  </si>
  <si>
    <t>Brodmann17</t>
  </si>
  <si>
    <t>Redstone</t>
  </si>
  <si>
    <t>Toyota Motor Europe</t>
  </si>
  <si>
    <t>CSI S.p.A.</t>
  </si>
  <si>
    <t>Sumitomo Electric Industries Ltd.</t>
  </si>
  <si>
    <t>ttcil.com</t>
  </si>
  <si>
    <t>HELLA Ventures</t>
  </si>
  <si>
    <t>DACA-I</t>
  </si>
  <si>
    <t>t-y.co</t>
  </si>
  <si>
    <t>Intesa Sanpaolo</t>
  </si>
  <si>
    <t>Drake Star</t>
  </si>
  <si>
    <t>Mizuho Corporate Bank</t>
  </si>
  <si>
    <t>TURIN TECH Forward Engineering</t>
  </si>
  <si>
    <t>Roland Berger</t>
  </si>
  <si>
    <t>orix.jp</t>
  </si>
  <si>
    <t>Translink Capital</t>
  </si>
  <si>
    <t>Okaya &amp; Co., Ltd.</t>
  </si>
  <si>
    <t>Zenuity</t>
  </si>
  <si>
    <t>Jmf Solutions</t>
  </si>
  <si>
    <t>Hyundai MOBIS</t>
  </si>
  <si>
    <t>TD Cowen</t>
  </si>
  <si>
    <t>The Allstate Corporation</t>
  </si>
  <si>
    <t>HORIBA</t>
  </si>
  <si>
    <t>Garrett Motion</t>
  </si>
  <si>
    <t>vakrat.com</t>
  </si>
  <si>
    <t>alliance-rnm.biz</t>
  </si>
  <si>
    <t>Panasonic Avionics Corporation</t>
  </si>
  <si>
    <t>Ficosa</t>
  </si>
  <si>
    <t>NEC Canada Inc</t>
  </si>
  <si>
    <t>Onboard Ventures</t>
  </si>
  <si>
    <t>Viscom</t>
  </si>
  <si>
    <t>BorgWarner Inc.</t>
  </si>
  <si>
    <t>Lamborghini</t>
  </si>
  <si>
    <t>SEAT</t>
  </si>
  <si>
    <t>Cruise LLC</t>
  </si>
  <si>
    <t>Beyond1435</t>
  </si>
  <si>
    <t>Bp P.l.c.</t>
  </si>
  <si>
    <t>creion.ventures</t>
  </si>
  <si>
    <t>Fontinalis Partners</t>
  </si>
  <si>
    <t>InMotion Ventures</t>
  </si>
  <si>
    <t>TOYOTA MOTOR INSURANCE COMPANY</t>
  </si>
  <si>
    <t>ŠKODA AUTO DigiLab</t>
  </si>
  <si>
    <t>Scania Group</t>
  </si>
  <si>
    <t>SAIC USA Inc</t>
  </si>
  <si>
    <t>IRT SystemX</t>
  </si>
  <si>
    <t>Aleph</t>
  </si>
  <si>
    <t>PSA</t>
  </si>
  <si>
    <t>Lubinski Group</t>
  </si>
  <si>
    <t>Groupe PSA</t>
  </si>
  <si>
    <t>Nissan Technical Centre Europe</t>
  </si>
  <si>
    <t>Mazda Motor Corporation</t>
  </si>
  <si>
    <t>NTT Communications Corporation</t>
  </si>
  <si>
    <t>Mitsubishi Motors</t>
  </si>
  <si>
    <t>GulfHRA</t>
  </si>
  <si>
    <t>ATC-A</t>
  </si>
  <si>
    <t>alstomgroup.com</t>
  </si>
  <si>
    <t>Tri-Ad</t>
  </si>
  <si>
    <t>Jefferies LLC</t>
  </si>
  <si>
    <t>YL Ventures</t>
  </si>
  <si>
    <t>F6S</t>
  </si>
  <si>
    <t>OMRON corporation</t>
  </si>
  <si>
    <t>Ozem</t>
  </si>
  <si>
    <t>Telechips Inc.</t>
  </si>
  <si>
    <t>MONDIAL.TECH</t>
  </si>
  <si>
    <t>Donatelo Promotional Display</t>
  </si>
  <si>
    <t>Geektime גיקטיים</t>
  </si>
  <si>
    <t>GeekMedia</t>
  </si>
  <si>
    <t>mobilityil.com</t>
  </si>
  <si>
    <t>Walla! Communications</t>
  </si>
  <si>
    <t>ha-mifal.co.il</t>
  </si>
  <si>
    <t>iprintd.com</t>
  </si>
  <si>
    <t>Marvell Technology, Inc.</t>
  </si>
  <si>
    <t>www.megaboard.co.il</t>
  </si>
  <si>
    <t>tsmcl</t>
  </si>
  <si>
    <t>Red Herring</t>
  </si>
  <si>
    <t>ThunderSoft</t>
  </si>
  <si>
    <t>Motorola Solutions, Inc.</t>
  </si>
  <si>
    <t>transformit.tech</t>
  </si>
  <si>
    <t>Awacs</t>
  </si>
  <si>
    <t>AMC PROMOTION</t>
  </si>
  <si>
    <t>Connectors Studio</t>
  </si>
  <si>
    <t>autoindustry.us</t>
  </si>
  <si>
    <t>JustWe Green Initiative Investment</t>
  </si>
  <si>
    <t>Union Group</t>
  </si>
  <si>
    <t>Agam Leaderim - אגם לידרים</t>
  </si>
  <si>
    <t>Cisco Systems, Inc.</t>
  </si>
  <si>
    <t>A&amp;G Partners</t>
  </si>
  <si>
    <t>intelligentinfrastructure.eu</t>
  </si>
  <si>
    <t>Beyond Mobility</t>
  </si>
  <si>
    <t>Upstream Security</t>
  </si>
  <si>
    <t>STMicroelectronics</t>
  </si>
  <si>
    <t>BMW i Ventures</t>
  </si>
  <si>
    <t>Pitango</t>
  </si>
  <si>
    <t>Techbrücke</t>
  </si>
  <si>
    <t>Senovo</t>
  </si>
  <si>
    <t>DXC Technology</t>
  </si>
  <si>
    <t>AHK</t>
  </si>
  <si>
    <t>Hailo</t>
  </si>
  <si>
    <t>Solera</t>
  </si>
  <si>
    <t>Hewlett Packard Enterprise Company</t>
  </si>
  <si>
    <t>D11Z.Ventures</t>
  </si>
  <si>
    <t>born2grow</t>
  </si>
  <si>
    <t>HP Inc.</t>
  </si>
  <si>
    <t>advanced business events SAS</t>
  </si>
  <si>
    <t>מכון התקנים הישראלי - The Standards Institution of Israel</t>
  </si>
  <si>
    <t>Renesas Electronics America Inc</t>
  </si>
  <si>
    <t>MTU</t>
  </si>
  <si>
    <t>Webasto</t>
  </si>
  <si>
    <t>UK Israel Tech Hub</t>
  </si>
  <si>
    <t>israeltrade.gov.il</t>
  </si>
  <si>
    <t>AUTOSAR</t>
  </si>
  <si>
    <t>Eldan</t>
  </si>
  <si>
    <t>Rider</t>
  </si>
  <si>
    <t>TechFounders</t>
  </si>
  <si>
    <t>ahkisrael.co.il</t>
  </si>
  <si>
    <t>Hella</t>
  </si>
  <si>
    <t>SL Global Consulting</t>
  </si>
  <si>
    <t>CIP Holding</t>
  </si>
  <si>
    <t>pulsmacher</t>
  </si>
  <si>
    <t>Pioneers.io</t>
  </si>
  <si>
    <t>DAF Trucks NV</t>
  </si>
  <si>
    <t>internationaloffice.bayern</t>
  </si>
  <si>
    <t>Invest in Bavaria</t>
  </si>
  <si>
    <t>Discoperi</t>
  </si>
  <si>
    <t>IDNEO</t>
  </si>
  <si>
    <t>JLR (Jaguar Land Rover)</t>
  </si>
  <si>
    <t>Active Communications International - Europe</t>
  </si>
  <si>
    <t>Toyota Tsusho Corporation</t>
  </si>
  <si>
    <t>ITsMine</t>
  </si>
  <si>
    <t>Production Map</t>
  </si>
  <si>
    <t>UltraRent</t>
  </si>
  <si>
    <t>Magna International Inc</t>
  </si>
  <si>
    <t>Startup Mannheim</t>
  </si>
  <si>
    <t>Mannheim</t>
  </si>
  <si>
    <t>MHP Management- und IT-Beratung</t>
  </si>
  <si>
    <t>luminarygc.com</t>
  </si>
  <si>
    <t>גלאי תקשורת ויחסי ציבור</t>
  </si>
  <si>
    <t>website</t>
  </si>
  <si>
    <t>Evercore Inc</t>
  </si>
  <si>
    <t>Created by Winsite כל הזכויות שמורות 2017</t>
  </si>
  <si>
    <t>Bezeq The Israeli Telecommunication Corp Ltd..mw-parser-output .script-hebrew,.mw-parser-output .script-Hebr{font-family:"SBL Hebrew","SBL BibLit","Taamey Ashkenaz","Taamey Frank CLM","Frank Ruehl CLM","Ezra SIL","Ezra SIL SR","Keter Aram Tsova","Taamey David CLM","Keter YG","Shofar","David CLM","Hadasim CLM","Simple CLM","Nachlieli",Cardo,Alef,"Noto Serif Hebrew","Noto Sans Hebrew","David Libre",David,"Times New Roman",Gisha,Arial,FreeSerif,FreeSans}בזק, החברה הישראלית לתקשורת בע"מ</t>
  </si>
  <si>
    <t>Mobile Group</t>
  </si>
  <si>
    <t>Pointer Telocation Ltd</t>
  </si>
  <si>
    <t>Lear Corporation</t>
  </si>
  <si>
    <t>Auto-ISAC</t>
  </si>
  <si>
    <t>Atsmon</t>
  </si>
  <si>
    <t>The Linux Foundation</t>
  </si>
  <si>
    <t>Aptiv PLC</t>
  </si>
  <si>
    <t>OCO Global</t>
  </si>
  <si>
    <t>Webroot LLC</t>
  </si>
  <si>
    <t>Germany Trade &amp; Invest</t>
  </si>
  <si>
    <t>Landmark Ventures</t>
  </si>
  <si>
    <t>Maniv Mobility</t>
  </si>
  <si>
    <t>Wolfe Research</t>
  </si>
  <si>
    <t>DENSO</t>
  </si>
  <si>
    <t>Pure Michigan</t>
  </si>
  <si>
    <t>Toyota Research Institute Inc</t>
  </si>
  <si>
    <t>NIO Capital</t>
  </si>
  <si>
    <t>Sony Group</t>
  </si>
  <si>
    <t>OMERS Ventures</t>
  </si>
  <si>
    <t>UL Solutions Inc</t>
  </si>
  <si>
    <t>Angel Business Communications Ltd</t>
  </si>
  <si>
    <t>Florian Schweer</t>
  </si>
  <si>
    <t>TT Network Integration US</t>
  </si>
  <si>
    <t>MIXER.WORK</t>
  </si>
  <si>
    <t>Kapsch</t>
  </si>
  <si>
    <t>Tata Group</t>
  </si>
  <si>
    <t>Cybertech</t>
  </si>
  <si>
    <t>IsraelDefense</t>
  </si>
  <si>
    <t>Next47</t>
  </si>
  <si>
    <t>Messe München</t>
  </si>
  <si>
    <t>Axis Innovation</t>
  </si>
  <si>
    <t>LG Electronics</t>
  </si>
  <si>
    <t>Innogy SE</t>
  </si>
  <si>
    <t>Drive TLV</t>
  </si>
  <si>
    <t>リード エグジビション ジャパン 広報部</t>
  </si>
  <si>
    <t>IXDen</t>
  </si>
  <si>
    <t>Google</t>
  </si>
  <si>
    <t>TA Venture Holding Ltd</t>
  </si>
  <si>
    <t>isits</t>
  </si>
  <si>
    <t>ISDEF Expo</t>
  </si>
  <si>
    <t>Labs/02</t>
  </si>
  <si>
    <t>Ernst &amp; Young Nederland LLP</t>
  </si>
  <si>
    <t>Atreo</t>
  </si>
  <si>
    <t>Meirovitch Public Relations</t>
  </si>
  <si>
    <t>we-are-sunbow</t>
  </si>
  <si>
    <t>Panasonic Corporation of North America</t>
  </si>
  <si>
    <t>Aster</t>
  </si>
  <si>
    <t>PrimeManyone</t>
  </si>
  <si>
    <t>Mitsui Sumitomo Insurance</t>
  </si>
  <si>
    <t>MS&amp;AD VENTURES</t>
  </si>
  <si>
    <t>Hebrew University of Jerusalem</t>
  </si>
  <si>
    <t>Deere &amp; Company</t>
  </si>
  <si>
    <t>Million Steps Inc</t>
  </si>
  <si>
    <t>MITechNews</t>
  </si>
  <si>
    <t>ICV</t>
  </si>
  <si>
    <t>Zenzic</t>
  </si>
  <si>
    <t>ici.org.il</t>
  </si>
  <si>
    <t>nxp semiconductors</t>
  </si>
  <si>
    <t>I.J. Business Do</t>
  </si>
  <si>
    <t>Digital Innovators</t>
  </si>
  <si>
    <t>sharon orian</t>
  </si>
  <si>
    <t>wix</t>
  </si>
  <si>
    <t>Gulffirm</t>
  </si>
  <si>
    <t>Kia Corporation</t>
  </si>
  <si>
    <t>NewsWatch TV</t>
  </si>
  <si>
    <t>OurCrowd</t>
  </si>
  <si>
    <t>LinkedIn</t>
  </si>
  <si>
    <t>Plastic Omnium</t>
  </si>
  <si>
    <t>Collision Conf</t>
  </si>
  <si>
    <t>Airbus S.A.S.</t>
  </si>
  <si>
    <t>Vayomar</t>
  </si>
  <si>
    <t>Robert Bosch GmbH</t>
  </si>
  <si>
    <t>IQPC</t>
  </si>
  <si>
    <t>TAMID Group</t>
  </si>
  <si>
    <t>Evolution</t>
  </si>
  <si>
    <t>jakore</t>
  </si>
  <si>
    <t>Sompo Holdings</t>
  </si>
  <si>
    <t>AYR</t>
  </si>
  <si>
    <t>Regulus Cyber</t>
  </si>
  <si>
    <t>Tri Plus</t>
  </si>
  <si>
    <t>Check Point Software Technologies Ltd.</t>
  </si>
  <si>
    <t>Volvo Group</t>
  </si>
  <si>
    <t>Huawei Technologies Co., Ltd</t>
  </si>
  <si>
    <t>Silicon Gears</t>
  </si>
  <si>
    <t>Kaholo</t>
  </si>
  <si>
    <t>VizibleZone</t>
  </si>
  <si>
    <t>IntellAct</t>
  </si>
  <si>
    <t>QuantLR</t>
  </si>
  <si>
    <t>jerusalemtechjobs.com</t>
  </si>
  <si>
    <t>Tel Aviv University</t>
  </si>
  <si>
    <t>Infineon Technologies</t>
  </si>
  <si>
    <t>Viola Ventures</t>
  </si>
  <si>
    <t>EUROFORUM Deutschland</t>
  </si>
  <si>
    <t>Handelsblatt Media Group</t>
  </si>
  <si>
    <t>sncentral.org</t>
  </si>
  <si>
    <t>AVL</t>
  </si>
  <si>
    <t>Synopsys, Inc.</t>
  </si>
  <si>
    <t>Plug and Play Tech Center</t>
  </si>
  <si>
    <t>JSR Comp</t>
  </si>
  <si>
    <t>Inkod</t>
  </si>
  <si>
    <t>Toyota North America</t>
  </si>
  <si>
    <t>porschedigitallab.com</t>
  </si>
  <si>
    <t>Altran</t>
  </si>
  <si>
    <t>Renault Group</t>
  </si>
  <si>
    <t>BlackBerry Limited</t>
  </si>
  <si>
    <t>Freeman</t>
  </si>
  <si>
    <t>Israel Innovation</t>
  </si>
  <si>
    <t>SAE International</t>
  </si>
  <si>
    <t>Gbtil</t>
  </si>
  <si>
    <t>jp.honda</t>
  </si>
  <si>
    <t>Mitsubishi Corporation</t>
  </si>
  <si>
    <t>Honda Innovations</t>
  </si>
  <si>
    <t>studionmore.com</t>
  </si>
  <si>
    <t>C2A Security</t>
  </si>
  <si>
    <t>DRÄXLMAIER Group</t>
  </si>
  <si>
    <t>Elektrobit</t>
  </si>
  <si>
    <t>General Motors Company</t>
  </si>
  <si>
    <t>Ford Motor Company</t>
  </si>
  <si>
    <t>Daimler AG</t>
  </si>
  <si>
    <t>CATERPILLAR INC.</t>
  </si>
  <si>
    <t>champ.co.il</t>
  </si>
  <si>
    <t>Audi</t>
  </si>
  <si>
    <t>AID (Autonomous intelligent driving)</t>
  </si>
  <si>
    <t>Faurecia</t>
  </si>
  <si>
    <t>Prime Minister of Israel</t>
  </si>
  <si>
    <t>Konnect with the Volkswagen Group</t>
  </si>
  <si>
    <t>Volkswagen</t>
  </si>
  <si>
    <t>Israel Export</t>
  </si>
  <si>
    <t>Commercial Accounts</t>
  </si>
  <si>
    <t>Status</t>
  </si>
  <si>
    <t xml:space="preserve">Executive Owner </t>
  </si>
  <si>
    <t>Sales Manager</t>
  </si>
  <si>
    <t>Account/Customer Success Manager</t>
  </si>
  <si>
    <t>Renewal/Upsell</t>
  </si>
  <si>
    <t>IVECO</t>
  </si>
  <si>
    <t>Triumph</t>
  </si>
  <si>
    <t>New Sale</t>
  </si>
  <si>
    <t>Rivian VW</t>
  </si>
  <si>
    <t>Notes</t>
  </si>
  <si>
    <t>During 2026, as the sales team builds up also in Europe, there might be changes in ownerships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</si>
</sst>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yyyy\-mm\-dd\ hh:mm"/>
    <numFmt numFmtId="165" formatCode="_(* #,##0_);_(* \(#,##0\);_(* &quot;-&quot;??_);_(@_)"/>
  </numFmts>
  <fonts count="15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313131"/>
      <name val="Calibri"/>
      <family val="2"/>
    </font>
    <font>
      <u/>
      <sz val="12"/>
      <color theme="10"/>
      <name val="Calibri"/>
      <family val="2"/>
    </font>
    <font>
      <sz val="12"/>
      <color rgb="FFFF0000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2" applyFont="1" applyFill="1" applyBorder="1" applyAlignment="1">
      <alignment horizontal="center"/>
    </xf>
    <xf numFmtId="6" fontId="10" fillId="0" borderId="1" xfId="1" applyNumberFormat="1" applyFont="1" applyBorder="1" applyAlignment="1">
      <alignment horizontal="center"/>
    </xf>
    <xf numFmtId="3" fontId="10" fillId="0" borderId="1" xfId="1" applyNumberFormat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164" fontId="4" fillId="2" borderId="5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9" fontId="4" fillId="2" borderId="1" xfId="0" applyNumberFormat="1" applyFont="1" applyFill="1" applyBorder="1" applyAlignment="1">
      <alignment vertical="center" wrapText="1"/>
    </xf>
    <xf numFmtId="9" fontId="5" fillId="2" borderId="1" xfId="0" applyNumberFormat="1" applyFont="1" applyFill="1" applyBorder="1" applyAlignment="1">
      <alignment vertical="center" wrapText="1"/>
    </xf>
    <xf numFmtId="165" fontId="4" fillId="2" borderId="1" xfId="0" applyNumberFormat="1" applyFont="1" applyFill="1" applyBorder="1" applyAlignment="1">
      <alignment vertical="center" wrapText="1"/>
    </xf>
    <xf numFmtId="165" fontId="6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5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8" fontId="14" fillId="0" borderId="0" xfId="0" applyNumberFormat="1" applyFont="1" applyAlignment="1">
      <alignment vertical="center" wrapText="1"/>
    </xf>
    <xf numFmtId="38" fontId="4" fillId="0" borderId="1" xfId="0" applyNumberFormat="1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vertical="center" wrapText="1"/>
    </xf>
    <xf numFmtId="164" fontId="5" fillId="0" borderId="6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9" fontId="5" fillId="0" borderId="3" xfId="0" applyNumberFormat="1" applyFont="1" applyBorder="1" applyAlignment="1">
      <alignment vertical="center" wrapText="1"/>
    </xf>
    <xf numFmtId="165" fontId="4" fillId="0" borderId="3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9" fontId="13" fillId="2" borderId="1" xfId="0" applyNumberFormat="1" applyFont="1" applyFill="1" applyBorder="1" applyAlignment="1">
      <alignment vertical="center" wrapText="1"/>
    </xf>
    <xf numFmtId="164" fontId="5" fillId="0" borderId="5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164" fontId="5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165" fontId="13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Hyperlink 2" xfId="2" xr:uid="{EE476DDC-E321-D848-B423-3B0309FB16BA}"/>
    <cellStyle name="Normal" xfId="0" builtinId="0"/>
    <cellStyle name="Normal 2" xfId="1" xr:uid="{AAC23EA8-DC71-2E49-8A60-04E4B37EC15F}"/>
  </cellStyles>
  <dxfs count="3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5" formatCode="_(* #,##0_);_(* \(#,##0\);_(* &quot;-&quot;??_);_(@_)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5" formatCode="_(* #,##0_);_(* \(#,##0\);_(* &quot;-&quot;??_);_(@_)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5" formatCode="_(* #,##0_);_(* \(#,##0\);_(* &quot;-&quot;??_);_(@_)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D3147-937F-8D49-9701-3BDD8E427B63}" name="Table1" displayName="Table1" ref="A1:V142" totalsRowShown="0" headerRowDxfId="33" dataDxfId="32" headerRowBorderDxfId="30" tableBorderDxfId="31" totalsRowBorderDxfId="29">
  <autoFilter ref="A1:V142" xr:uid="{095D3147-937F-8D49-9701-3BDD8E427B63}"/>
  <tableColumns count="22">
    <tableColumn id="1" xr3:uid="{DE711295-EF6D-6B4C-B0D9-263423B358C9}" name="Quarter to Close" dataDxfId="28"/>
    <tableColumn id="2" xr3:uid="{E2D0F3BB-8EA6-1B4D-9D93-EDCB38793E57}" name="Deal Name" dataDxfId="27"/>
    <tableColumn id="20" xr3:uid="{2C8D9D2C-F4DE-6843-8B5F-CE5F817973FA}" name="Deal Owner" dataDxfId="26"/>
    <tableColumn id="21" xr3:uid="{0A130DA9-BFD4-B44A-B762-BD1041192A2E}" name="Deal Type" dataDxfId="25"/>
    <tableColumn id="4" xr3:uid="{6920CB0C-FDCE-7B48-835D-9CB9B0B57887}" name="Deal Stage" dataDxfId="24"/>
    <tableColumn id="18" xr3:uid="{D5A51F65-401F-E44C-B892-DB3D1E5A446B}" name="First Modules to be purchased (EVSec BASE is Mandatory)" dataDxfId="23"/>
    <tableColumn id="19" xr3:uid="{01A599DA-A522-DF40-8D14-109AF0454879}" name="Vertical" dataDxfId="22"/>
    <tableColumn id="17" xr3:uid="{2D9FE09B-B7E0-4E2A-8851-F4189A10654A}" name="Region" dataDxfId="21"/>
    <tableColumn id="22" xr3:uid="{49F2E6D5-D81A-9D40-BD7B-C9B926467688}" name="Auto Probability (by deal stage)" dataDxfId="20">
      <calculatedColumnFormula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calculatedColumnFormula>
    </tableColumn>
    <tableColumn id="6" xr3:uid="{44BC1CE8-E43E-F24F-8F03-DFFBC181A0FF}" name="Conservative Probability" dataDxfId="19"/>
    <tableColumn id="7" xr3:uid="{75FC40AC-3CAB-AA4E-BB08-3D33965226A7}" name="Total Amount" dataDxfId="18">
      <calculatedColumnFormula>Table1[[#This Row],[Recurring Amount]]+Table1[[#This Row],[Non Recurring Amount]]</calculatedColumnFormula>
    </tableColumn>
    <tableColumn id="8" xr3:uid="{746786C7-3970-7E4F-BEC8-83D6B21EDB49}" name="Recurring Amount" dataDxfId="17"/>
    <tableColumn id="9" xr3:uid="{2A1CDA07-9A47-0C46-B198-14C528E54286}" name="Non Recurring Amount" dataDxfId="16"/>
    <tableColumn id="10" xr3:uid="{6F6A816F-4761-8D4E-A86F-8EEF89C377D7}" name="Recurring Deal" dataDxfId="15"/>
    <tableColumn id="15" xr3:uid="{2406574F-7E3F-432D-90B7-F60D5D56A320}" name="#" dataDxfId="14"/>
    <tableColumn id="16" xr3:uid="{2FE04956-10C9-4F9F-B55E-910617A4917D}" name="Weighted Amount Conservative " dataDxfId="13">
      <calculatedColumnFormula>Table1[[#This Row],[Total Amount]]*Table1[[#This Row],[Conservative Probability]]</calculatedColumnFormula>
    </tableColumn>
    <tableColumn id="12" xr3:uid="{75661EED-A003-DE4A-BF03-F0C92DE855DA}" name="Expected Booking 2026" dataDxfId="12"/>
    <tableColumn id="13" xr3:uid="{4D381ACA-F518-2843-AC32-D8C48EAE63F8}" name="Expected Booking 2028" dataDxfId="11"/>
    <tableColumn id="14" xr3:uid="{07220326-487D-6246-B82E-2221B4050934}" name="Expected Booking 2029" dataDxfId="10"/>
    <tableColumn id="3" xr3:uid="{0A42F6BF-3D0C-4EC8-B0E2-EF0E6E81CEDA}" name="Expected Booking 2030" dataDxfId="9"/>
    <tableColumn id="11" xr3:uid="{0C542D81-A002-4842-AF23-C2B00F9F6E61}" name="Expected Booking 2031" dataDxfId="8"/>
    <tableColumn id="5" xr3:uid="{AAAA5DE3-5648-4443-8612-5846BCF169E4}" name="Note" dataDxfId="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5D16F6-821D-7B40-9F6B-32EB8A73B13E}" name="Table2" displayName="Table2" ref="A1:E18" totalsRowShown="0" headerRowDxfId="6" dataDxfId="5">
  <autoFilter ref="A1:E18" xr:uid="{C95D16F6-821D-7B40-9F6B-32EB8A73B13E}"/>
  <tableColumns count="5">
    <tableColumn id="1" xr3:uid="{ABD8DFDC-B2FA-554F-8322-B5CC64AE0172}" name="Commercial Accounts" dataDxfId="4"/>
    <tableColumn id="4" xr3:uid="{A0CA4816-C167-8D4E-93FC-D7D39A76FDB6}" name="Status" dataDxfId="3"/>
    <tableColumn id="2" xr3:uid="{673EC435-6EB9-C44F-965F-8379130FCB74}" name="Executive Owner " dataDxfId="2"/>
    <tableColumn id="5" xr3:uid="{3642345A-C4AB-4F40-90BF-7F194B69AD7E}" name="Sales Manager" dataDxfId="1"/>
    <tableColumn id="3" xr3:uid="{DCF3929F-BF21-9D4A-8AF1-359FD93F21B1}" name="Account/Customer Success Manager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icaldesignandoutsourcing.com/2023-Medical-Design-and-Outsourcing-BIG-100/hologic/" TargetMode="External"/><Relationship Id="rId21" Type="http://schemas.openxmlformats.org/officeDocument/2006/relationships/hyperlink" Target="https://www.medicaldesignandoutsourcing.com/2023-Medical-Design-and-Outsourcing-BIG-100/terumo-largest-medical-device-companies/" TargetMode="External"/><Relationship Id="rId42" Type="http://schemas.openxmlformats.org/officeDocument/2006/relationships/hyperlink" Target="https://www.medicaldesignandoutsourcing.com/2023-Medical-Design-and-Outsourcing-BIG-100/demant-hearing-healthcare-segment/" TargetMode="External"/><Relationship Id="rId47" Type="http://schemas.openxmlformats.org/officeDocument/2006/relationships/hyperlink" Target="https://www.medicaldesignandoutsourcing.com/2023-Medical-Design-and-Outsourcing-BIG-100/icu-medical/" TargetMode="External"/><Relationship Id="rId63" Type="http://schemas.openxmlformats.org/officeDocument/2006/relationships/hyperlink" Target="https://www.medicaldesignandoutsourcing.com/2023-Medical-Design-and-Outsourcing-BIG-100/haemonetics/" TargetMode="External"/><Relationship Id="rId68" Type="http://schemas.openxmlformats.org/officeDocument/2006/relationships/hyperlink" Target="https://www.medicaldesignandoutsourcing.com/2023-Medical-Design-and-Outsourcing-BIG-100/konica-minolta-healthcare-segment/" TargetMode="External"/><Relationship Id="rId2" Type="http://schemas.openxmlformats.org/officeDocument/2006/relationships/hyperlink" Target="https://www.medicaldesignandoutsourcing.com/2023-Medical-Design-and-Outsourcing-BIG-100/johnson-johnson-medtech-largest-medical-device-companies/" TargetMode="External"/><Relationship Id="rId16" Type="http://schemas.openxmlformats.org/officeDocument/2006/relationships/hyperlink" Target="https://www.medicaldesignandoutsourcing.com/2023-Medical-Design-and-Outsourcing-BIG-100/alcon-largest-medical-device-companies/" TargetMode="External"/><Relationship Id="rId29" Type="http://schemas.openxmlformats.org/officeDocument/2006/relationships/hyperlink" Target="https://www.medicaldesignandoutsourcing.com/2023-Medical-Design-and-Outsourcing-BIG-100/dentsply-sirona/" TargetMode="External"/><Relationship Id="rId11" Type="http://schemas.openxmlformats.org/officeDocument/2006/relationships/hyperlink" Target="https://www.medicaldesignandoutsourcing.com/2023-Medical-Design-and-Outsourcing-BIG-100/bd-medical-and-interventional-segments/" TargetMode="External"/><Relationship Id="rId24" Type="http://schemas.openxmlformats.org/officeDocument/2006/relationships/hyperlink" Target="https://www.medicaldesignandoutsourcing.com/2023-Medical-Design-and-Outsourcing-BIG-100/smith-nephew-largest-medical-device-companies/" TargetMode="External"/><Relationship Id="rId32" Type="http://schemas.openxmlformats.org/officeDocument/2006/relationships/hyperlink" Target="https://www.medicaldesignandoutsourcing.com/2023-Medical-Design-and-Outsourcing-BIG-100/align-technology/" TargetMode="External"/><Relationship Id="rId37" Type="http://schemas.openxmlformats.org/officeDocument/2006/relationships/hyperlink" Target="https://www.medicaldesignandoutsourcing.com/2023-Medical-Design-and-Outsourcing-BIG-100/coloplast/" TargetMode="External"/><Relationship Id="rId40" Type="http://schemas.openxmlformats.org/officeDocument/2006/relationships/hyperlink" Target="https://www.medicaldesignandoutsourcing.com/2023-Medical-Design-and-Outsourcing-BIG-100/getinge/" TargetMode="External"/><Relationship Id="rId45" Type="http://schemas.openxmlformats.org/officeDocument/2006/relationships/hyperlink" Target="https://www.medicaldesignandoutsourcing.com/2023-Medical-Design-and-Outsourcing-BIG-100/ws-audiology/" TargetMode="External"/><Relationship Id="rId53" Type="http://schemas.openxmlformats.org/officeDocument/2006/relationships/hyperlink" Target="https://www.medicaldesignandoutsourcing.com/2023-Medical-Design-and-Outsourcing-BIG-100/carl-zeiss-meditec/" TargetMode="External"/><Relationship Id="rId58" Type="http://schemas.openxmlformats.org/officeDocument/2006/relationships/hyperlink" Target="https://www.medicaldesignandoutsourcing.com/2023-Medical-Design-and-Outsourcing-BIG-100/enovis/" TargetMode="External"/><Relationship Id="rId66" Type="http://schemas.openxmlformats.org/officeDocument/2006/relationships/hyperlink" Target="https://www.medicaldesignandoutsourcing.com/2023-Medical-Design-and-Outsourcing-BIG-100/embecta/" TargetMode="External"/><Relationship Id="rId5" Type="http://schemas.openxmlformats.org/officeDocument/2006/relationships/hyperlink" Target="https://www.medicaldesignandoutsourcing.com/2023-Medical-Design-and-Outsourcing-BIG-100/royal-philips-largest-medical-device-companies/" TargetMode="External"/><Relationship Id="rId61" Type="http://schemas.openxmlformats.org/officeDocument/2006/relationships/hyperlink" Target="https://www.medicaldesignandoutsourcing.com/2023-Medical-Design-and-Outsourcing-BIG-100/insulet/" TargetMode="External"/><Relationship Id="rId19" Type="http://schemas.openxmlformats.org/officeDocument/2006/relationships/hyperlink" Target="https://www.medicaldesignandoutsourcing.com/2023-Medical-Design-and-Outsourcing-BIG-100/zimmer-biomet-largest-medical-device-companies/" TargetMode="External"/><Relationship Id="rId14" Type="http://schemas.openxmlformats.org/officeDocument/2006/relationships/hyperlink" Target="https://www.medicaldesignandoutsourcing.com/2023-Medical-Design-and-Outsourcing-BIG-100/owens-minor-largest-medical-device-companies/" TargetMode="External"/><Relationship Id="rId22" Type="http://schemas.openxmlformats.org/officeDocument/2006/relationships/hyperlink" Target="https://www.medicaldesignandoutsourcing.com/2023-Medical-Design-and-Outsourcing-BIG-100/intuitive-surgical-largest-medical-device-companies/" TargetMode="External"/><Relationship Id="rId27" Type="http://schemas.openxmlformats.org/officeDocument/2006/relationships/hyperlink" Target="https://www.medicaldesignandoutsourcing.com/2023-Medical-Design-and-Outsourcing-BIG-100/mindray/" TargetMode="External"/><Relationship Id="rId30" Type="http://schemas.openxmlformats.org/officeDocument/2006/relationships/hyperlink" Target="https://www.medicaldesignandoutsourcing.com/2023-Medical-Design-and-Outsourcing-BIG-100/sonova/" TargetMode="External"/><Relationship Id="rId35" Type="http://schemas.openxmlformats.org/officeDocument/2006/relationships/hyperlink" Target="https://www.medicaldesignandoutsourcing.com/2023-Medical-Design-and-Outsourcing-BIG-100/cooper-cos/" TargetMode="External"/><Relationship Id="rId43" Type="http://schemas.openxmlformats.org/officeDocument/2006/relationships/hyperlink" Target="https://www.medicaldesignandoutsourcing.com/2023-Medical-Design-and-Outsourcing-BIG-100/envista/" TargetMode="External"/><Relationship Id="rId48" Type="http://schemas.openxmlformats.org/officeDocument/2006/relationships/hyperlink" Target="https://www.medicaldesignandoutsourcing.com/2023-Medical-Design-and-Outsourcing-BIG-100/amplifon/" TargetMode="External"/><Relationship Id="rId56" Type="http://schemas.openxmlformats.org/officeDocument/2006/relationships/hyperlink" Target="https://www.medicaldesignandoutsourcing.com/2023-Medical-Design-and-Outsourcing-BIG-100/elekta/" TargetMode="External"/><Relationship Id="rId64" Type="http://schemas.openxmlformats.org/officeDocument/2006/relationships/hyperlink" Target="https://www.medicaldesignandoutsourcing.com/2023-Medical-Design-and-Outsourcing-BIG-100/merit-medical-systems/" TargetMode="External"/><Relationship Id="rId69" Type="http://schemas.openxmlformats.org/officeDocument/2006/relationships/hyperlink" Target="https://www.medicaldesignandoutsourcing.com/2023-Medical-Design-and-Outsourcing-BIG-100/conmed/" TargetMode="External"/><Relationship Id="rId8" Type="http://schemas.openxmlformats.org/officeDocument/2006/relationships/hyperlink" Target="https://www.medicaldesignandoutsourcing.com/2023-Medical-Design-and-Outsourcing-BIG-100/cardinal-health-medical-segment/" TargetMode="External"/><Relationship Id="rId51" Type="http://schemas.openxmlformats.org/officeDocument/2006/relationships/hyperlink" Target="https://www.medicaldesignandoutsourcing.com/2023-Medical-Design-and-Outsourcing-BIG-100/convatec/" TargetMode="External"/><Relationship Id="rId72" Type="http://schemas.openxmlformats.org/officeDocument/2006/relationships/hyperlink" Target="https://www.medicaldesignandoutsourcing.com/2023-Medical-Design-and-Outsourcing-BIG-100/livanova/" TargetMode="External"/><Relationship Id="rId3" Type="http://schemas.openxmlformats.org/officeDocument/2006/relationships/hyperlink" Target="https://www.medicaldesignandoutsourcing.com/2023-Medical-Design-and-Outsourcing-BIG-100/siemens-healthineers-largest-medical-device-companies/" TargetMode="External"/><Relationship Id="rId12" Type="http://schemas.openxmlformats.org/officeDocument/2006/relationships/hyperlink" Target="https://www.medicaldesignandoutsourcing.com/2023-Medical-Design-and-Outsourcing-BIG-100/boston-scientific-largest-medical-device-companies/" TargetMode="External"/><Relationship Id="rId17" Type="http://schemas.openxmlformats.org/officeDocument/2006/relationships/hyperlink" Target="https://www.medicaldesignandoutsourcing.com/2023-Medical-Design-and-Outsourcing-BIG-100/3m-healthcare-largest-medical-device-companies/" TargetMode="External"/><Relationship Id="rId25" Type="http://schemas.openxmlformats.org/officeDocument/2006/relationships/hyperlink" Target="https://www.medicaldesignandoutsourcing.com/2023-Medical-Design-and-Outsourcing-BIG-100/steris-largest-medical-device-companies/" TargetMode="External"/><Relationship Id="rId33" Type="http://schemas.openxmlformats.org/officeDocument/2006/relationships/hyperlink" Target="https://www.medicaldesignandoutsourcing.com/2023-Medical-Design-and-Outsourcing-BIG-100/hoya-life-care-segment/" TargetMode="External"/><Relationship Id="rId38" Type="http://schemas.openxmlformats.org/officeDocument/2006/relationships/hyperlink" Target="https://www.medicaldesignandoutsourcing.com/2023-Medical-Design-and-Outsourcing-BIG-100/dexcom/" TargetMode="External"/><Relationship Id="rId46" Type="http://schemas.openxmlformats.org/officeDocument/2006/relationships/hyperlink" Target="https://www.medicaldesignandoutsourcing.com/2023-Medical-Design-and-Outsourcing-BIG-100/paul-hartmann/" TargetMode="External"/><Relationship Id="rId59" Type="http://schemas.openxmlformats.org/officeDocument/2006/relationships/hyperlink" Target="https://www.medicaldesignandoutsourcing.com/2023-Medical-Design-and-Outsourcing-BIG-100/integra-lifesciences/" TargetMode="External"/><Relationship Id="rId67" Type="http://schemas.openxmlformats.org/officeDocument/2006/relationships/hyperlink" Target="https://www.medicaldesignandoutsourcing.com/2023-Medical-Design-and-Outsourcing-BIG-100/omron-healthcare/" TargetMode="External"/><Relationship Id="rId20" Type="http://schemas.openxmlformats.org/officeDocument/2006/relationships/hyperlink" Target="https://www.medicaldesignandoutsourcing.com/2023-Medical-Design-and-Outsourcing-BIG-100/olympus-largest-medical-device-companies/" TargetMode="External"/><Relationship Id="rId41" Type="http://schemas.openxmlformats.org/officeDocument/2006/relationships/hyperlink" Target="https://www.medicaldesignandoutsourcing.com/2023-Medical-Design-and-Outsourcing-BIG-100/teleflex/" TargetMode="External"/><Relationship Id="rId54" Type="http://schemas.openxmlformats.org/officeDocument/2006/relationships/hyperlink" Target="https://www.medicaldesignandoutsourcing.com/2023-Medical-Design-and-Outsourcing-BIG-100/hu-group/" TargetMode="External"/><Relationship Id="rId62" Type="http://schemas.openxmlformats.org/officeDocument/2006/relationships/hyperlink" Target="https://www.medicaldesignandoutsourcing.com/2023-Medical-Design-and-Outsourcing-BIG-100/nuvasive/" TargetMode="External"/><Relationship Id="rId70" Type="http://schemas.openxmlformats.org/officeDocument/2006/relationships/hyperlink" Target="https://www.medicaldesignandoutsourcing.com/2023-Medical-Design-and-Outsourcing-BIG-100/fukuda-denshi/" TargetMode="External"/><Relationship Id="rId1" Type="http://schemas.openxmlformats.org/officeDocument/2006/relationships/hyperlink" Target="https://www.medicaldesignandoutsourcing.com/2023-Medical-Design-and-Outsourcing-BIG-100/medtronic-largest-medical-device-companies/" TargetMode="External"/><Relationship Id="rId6" Type="http://schemas.openxmlformats.org/officeDocument/2006/relationships/hyperlink" Target="https://www.medicaldesignandoutsourcing.com/2023-Medical-Design-and-Outsourcing-BIG-100/stryker-largest-medical-device-companies/" TargetMode="External"/><Relationship Id="rId15" Type="http://schemas.openxmlformats.org/officeDocument/2006/relationships/hyperlink" Target="https://www.medicaldesignandoutsourcing.com/2023-Medical-Design-and-Outsourcing-BIG-100/b-braun-largest-medical-device-companies/" TargetMode="External"/><Relationship Id="rId23" Type="http://schemas.openxmlformats.org/officeDocument/2006/relationships/hyperlink" Target="https://www.medicaldesignandoutsourcing.com/2023-Medical-Design-and-Outsourcing-BIG-100/edwards-lifesciences-largest-medical-device-companies/" TargetMode="External"/><Relationship Id="rId28" Type="http://schemas.openxmlformats.org/officeDocument/2006/relationships/hyperlink" Target="https://www.medicaldesignandoutsourcing.com/2023-Medical-Design-and-Outsourcing-BIG-100/fresenius-medical-care-healthcare-products/" TargetMode="External"/><Relationship Id="rId36" Type="http://schemas.openxmlformats.org/officeDocument/2006/relationships/hyperlink" Target="https://www.medicaldesignandoutsourcing.com/2023-Medical-Design-and-Outsourcing-BIG-100/nipro-medical-segment/" TargetMode="External"/><Relationship Id="rId49" Type="http://schemas.openxmlformats.org/officeDocument/2006/relationships/hyperlink" Target="https://www.medicaldesignandoutsourcing.com/2023-Medical-Design-and-Outsourcing-BIG-100/straumann/" TargetMode="External"/><Relationship Id="rId57" Type="http://schemas.openxmlformats.org/officeDocument/2006/relationships/hyperlink" Target="https://www.medicaldesignandoutsourcing.com/2023-Medical-Design-and-Outsourcing-BIG-100/nihon-kohden/" TargetMode="External"/><Relationship Id="rId10" Type="http://schemas.openxmlformats.org/officeDocument/2006/relationships/hyperlink" Target="https://www.medicaldesignandoutsourcing.com/2023-Medical-Design-and-Outsourcing-BIG-100/abbott-medical-device-segment/" TargetMode="External"/><Relationship Id="rId31" Type="http://schemas.openxmlformats.org/officeDocument/2006/relationships/hyperlink" Target="https://www.medicaldesignandoutsourcing.com/2023-Medical-Design-and-Outsourcing-BIG-100/canon-medical/" TargetMode="External"/><Relationship Id="rId44" Type="http://schemas.openxmlformats.org/officeDocument/2006/relationships/hyperlink" Target="https://www.medicaldesignandoutsourcing.com/2023-Medical-Design-and-Outsourcing-BIG-100/bruker/" TargetMode="External"/><Relationship Id="rId52" Type="http://schemas.openxmlformats.org/officeDocument/2006/relationships/hyperlink" Target="https://www.medicaldesignandoutsourcing.com/2023-Medical-Design-and-Outsourcing-BIG-100/masimo/" TargetMode="External"/><Relationship Id="rId60" Type="http://schemas.openxmlformats.org/officeDocument/2006/relationships/hyperlink" Target="https://www.medicaldesignandoutsourcing.com/2023-Medical-Design-and-Outsourcing-BIG-100/integer/" TargetMode="External"/><Relationship Id="rId65" Type="http://schemas.openxmlformats.org/officeDocument/2006/relationships/hyperlink" Target="https://www.medicaldesignandoutsourcing.com/2023-Medical-Design-and-Outsourcing-BIG-100/cochlear/" TargetMode="External"/><Relationship Id="rId73" Type="http://schemas.openxmlformats.org/officeDocument/2006/relationships/hyperlink" Target="https://www.medicaldesignandoutsourcing.com/2023-Medical-Design-and-Outsourcing-BIG-100/fisher-paykel-healthcare/" TargetMode="External"/><Relationship Id="rId4" Type="http://schemas.openxmlformats.org/officeDocument/2006/relationships/hyperlink" Target="https://www.medicaldesignandoutsourcing.com/2023-Medical-Design-and-Outsourcing-BIG-100/medline-industries-largest-medical-device-companies/" TargetMode="External"/><Relationship Id="rId9" Type="http://schemas.openxmlformats.org/officeDocument/2006/relationships/hyperlink" Target="https://www.medicaldesignandoutsourcing.com/2023-Medical-Design-and-Outsourcing-BIG-100/baxter-largest-medical-device-companies/" TargetMode="External"/><Relationship Id="rId13" Type="http://schemas.openxmlformats.org/officeDocument/2006/relationships/hyperlink" Target="https://www.medicaldesignandoutsourcing.com/2023-Medical-Design-and-Outsourcing-BIG-100/henry-schein-largest-medical-device-companies/" TargetMode="External"/><Relationship Id="rId18" Type="http://schemas.openxmlformats.org/officeDocument/2006/relationships/hyperlink" Target="https://www.medicaldesignandoutsourcing.com/2023-Medical-Design-and-Outsourcing-BIG-100/fujifilm-holdings-healthcare-largest-medical-device-companies/" TargetMode="External"/><Relationship Id="rId39" Type="http://schemas.openxmlformats.org/officeDocument/2006/relationships/hyperlink" Target="https://www.medicaldesignandoutsourcing.com/2023-Medical-Design-and-Outsourcing-BIG-100/bio-rad/" TargetMode="External"/><Relationship Id="rId34" Type="http://schemas.openxmlformats.org/officeDocument/2006/relationships/hyperlink" Target="https://www.medicaldesignandoutsourcing.com/2023-Medical-Design-and-Outsourcing-BIG-100/resmed/" TargetMode="External"/><Relationship Id="rId50" Type="http://schemas.openxmlformats.org/officeDocument/2006/relationships/hyperlink" Target="https://www.medicaldesignandoutsourcing.com/2023-Medical-Design-and-Outsourcing-BIG-100/cook-medical/" TargetMode="External"/><Relationship Id="rId55" Type="http://schemas.openxmlformats.org/officeDocument/2006/relationships/hyperlink" Target="https://www.medicaldesignandoutsourcing.com/2023-Medical-Design-and-Outsourcing-BIG-100/drager-medical-division/" TargetMode="External"/><Relationship Id="rId7" Type="http://schemas.openxmlformats.org/officeDocument/2006/relationships/hyperlink" Target="https://www.medicaldesignandoutsourcing.com/2023-Medical-Design-and-Outsourcing-BIG-100/ge-healthcare-largest-medical-device-companies/" TargetMode="External"/><Relationship Id="rId71" Type="http://schemas.openxmlformats.org/officeDocument/2006/relationships/hyperlink" Target="https://www.medicaldesignandoutsourcing.com/2023-Medical-Design-and-Outsourcing-BIG-100/globus-medical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5"/>
  <sheetViews>
    <sheetView zoomScaleNormal="100" workbookViewId="0">
      <pane xSplit="2" ySplit="1" topLeftCell="C48" activePane="bottomRight" state="frozen"/>
      <selection pane="bottomRight" activeCell="B14" sqref="B14"/>
      <selection pane="bottomLeft" activeCell="A2" sqref="A2"/>
      <selection pane="topRight" activeCell="C1" sqref="C1"/>
    </sheetView>
  </sheetViews>
  <sheetFormatPr defaultColWidth="8.85546875" defaultRowHeight="15.95"/>
  <cols>
    <col min="1" max="1" width="21" style="40" customWidth="1"/>
    <col min="2" max="2" width="65.85546875" style="40" bestFit="1" customWidth="1"/>
    <col min="3" max="4" width="31.28515625" style="40" customWidth="1"/>
    <col min="5" max="5" width="27.7109375" style="40" customWidth="1"/>
    <col min="6" max="6" width="91" style="40" hidden="1" customWidth="1"/>
    <col min="7" max="7" width="15.42578125" style="40" hidden="1" customWidth="1"/>
    <col min="8" max="9" width="16" style="40" hidden="1" customWidth="1"/>
    <col min="10" max="10" width="20.85546875" style="40" customWidth="1"/>
    <col min="11" max="11" width="22" style="40" customWidth="1"/>
    <col min="12" max="12" width="17.85546875" style="40" bestFit="1" customWidth="1"/>
    <col min="13" max="13" width="17.42578125" style="40" customWidth="1"/>
    <col min="14" max="14" width="20.28515625" style="40" customWidth="1"/>
    <col min="15" max="15" width="11.42578125" style="40" customWidth="1"/>
    <col min="16" max="16" width="13.42578125" style="40" customWidth="1"/>
    <col min="17" max="17" width="31" style="40" customWidth="1"/>
    <col min="18" max="21" width="24.42578125" style="40" bestFit="1" customWidth="1"/>
    <col min="22" max="22" width="66.42578125" style="40" bestFit="1" customWidth="1"/>
    <col min="23" max="16384" width="8.85546875" style="40"/>
  </cols>
  <sheetData>
    <row r="1" spans="1:22" ht="5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</row>
    <row r="2" spans="1:22">
      <c r="A2" s="41"/>
      <c r="B2" s="42"/>
      <c r="C2" s="42"/>
      <c r="D2" s="42"/>
      <c r="E2" s="42"/>
      <c r="F2" s="42"/>
      <c r="G2" s="42"/>
      <c r="H2" s="42"/>
      <c r="I2" s="43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2" s="44"/>
      <c r="K2" s="45">
        <f>Table1[[#This Row],[Recurring Amount]]+Table1[[#This Row],[Non Recurring Amount]]</f>
        <v>0</v>
      </c>
      <c r="L2" s="45"/>
      <c r="M2" s="45"/>
      <c r="N2" s="29"/>
      <c r="O2" s="29"/>
      <c r="P2" s="30"/>
      <c r="Q2" s="45"/>
      <c r="R2" s="45"/>
      <c r="S2" s="46"/>
      <c r="T2" s="43"/>
      <c r="U2" s="45"/>
      <c r="V2" s="47"/>
    </row>
    <row r="3" spans="1:22" ht="17.100000000000001">
      <c r="A3" s="48" t="s">
        <v>22</v>
      </c>
      <c r="B3" s="49" t="s">
        <v>23</v>
      </c>
      <c r="C3" s="47" t="s">
        <v>24</v>
      </c>
      <c r="D3" s="47" t="s">
        <v>25</v>
      </c>
      <c r="E3" s="47" t="s">
        <v>26</v>
      </c>
      <c r="F3" s="50"/>
      <c r="G3" s="50" t="s">
        <v>27</v>
      </c>
      <c r="H3" s="50" t="s">
        <v>28</v>
      </c>
      <c r="I3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3" s="51">
        <v>1</v>
      </c>
      <c r="K3" s="52">
        <f>Table1[[#This Row],[Recurring Amount]]+Table1[[#This Row],[Non Recurring Amount]]</f>
        <v>125000</v>
      </c>
      <c r="L3" s="53">
        <v>125000</v>
      </c>
      <c r="M3" s="52">
        <v>0</v>
      </c>
      <c r="N3" s="31"/>
      <c r="O3" s="31"/>
      <c r="P3" s="32">
        <f>Table1[[#This Row],[Total Amount]]*Table1[[#This Row],[Conservative Probability]]</f>
        <v>125000</v>
      </c>
      <c r="Q3" s="52"/>
      <c r="R3" s="52"/>
      <c r="S3" s="52"/>
      <c r="T3" s="52"/>
      <c r="U3" s="52"/>
      <c r="V3" s="47"/>
    </row>
    <row r="4" spans="1:22" s="55" customFormat="1" ht="17.100000000000001">
      <c r="A4" s="48" t="s">
        <v>22</v>
      </c>
      <c r="B4" s="49" t="s">
        <v>29</v>
      </c>
      <c r="C4" s="47" t="s">
        <v>24</v>
      </c>
      <c r="D4" s="47" t="s">
        <v>30</v>
      </c>
      <c r="E4" s="47" t="s">
        <v>31</v>
      </c>
      <c r="F4" s="50" t="s">
        <v>32</v>
      </c>
      <c r="G4" s="50" t="s">
        <v>33</v>
      </c>
      <c r="H4" s="50" t="s">
        <v>28</v>
      </c>
      <c r="I4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" s="51">
        <v>0.9</v>
      </c>
      <c r="K4" s="52">
        <f>Table1[[#This Row],[Recurring Amount]]+Table1[[#This Row],[Non Recurring Amount]]</f>
        <v>250000</v>
      </c>
      <c r="L4" s="52">
        <v>0</v>
      </c>
      <c r="M4" s="54">
        <v>250000</v>
      </c>
      <c r="N4" s="31"/>
      <c r="O4" s="31"/>
      <c r="P4" s="32">
        <f>Table1[[#This Row],[Total Amount]]*Table1[[#This Row],[Conservative Probability]]</f>
        <v>225000</v>
      </c>
      <c r="Q4" s="52"/>
      <c r="R4" s="52"/>
      <c r="S4" s="52"/>
      <c r="T4" s="52"/>
      <c r="U4" s="52"/>
      <c r="V4" s="47"/>
    </row>
    <row r="5" spans="1:22" ht="27.95" customHeight="1">
      <c r="A5" s="48" t="s">
        <v>22</v>
      </c>
      <c r="B5" s="47" t="s">
        <v>34</v>
      </c>
      <c r="C5" s="47" t="s">
        <v>35</v>
      </c>
      <c r="D5" s="47" t="s">
        <v>30</v>
      </c>
      <c r="E5" s="47" t="s">
        <v>31</v>
      </c>
      <c r="F5" s="50" t="s">
        <v>36</v>
      </c>
      <c r="G5" s="50" t="s">
        <v>37</v>
      </c>
      <c r="H5" s="47" t="s">
        <v>38</v>
      </c>
      <c r="I5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5" s="51">
        <v>0.9</v>
      </c>
      <c r="K5" s="52">
        <f>Table1[[#This Row],[Recurring Amount]]+Table1[[#This Row],[Non Recurring Amount]]</f>
        <v>94000</v>
      </c>
      <c r="L5" s="52">
        <v>94000</v>
      </c>
      <c r="M5" s="52">
        <v>0</v>
      </c>
      <c r="N5" s="31"/>
      <c r="O5" s="31"/>
      <c r="P5" s="32">
        <f>Table1[[#This Row],[Total Amount]]*Table1[[#This Row],[Conservative Probability]]</f>
        <v>84600</v>
      </c>
      <c r="Q5" s="52"/>
      <c r="R5" s="52"/>
      <c r="S5" s="52"/>
      <c r="T5" s="52"/>
      <c r="U5" s="52"/>
      <c r="V5" s="47"/>
    </row>
    <row r="6" spans="1:22" s="55" customFormat="1" ht="17.100000000000001">
      <c r="A6" s="48" t="s">
        <v>22</v>
      </c>
      <c r="B6" s="49" t="s">
        <v>39</v>
      </c>
      <c r="C6" s="47" t="s">
        <v>24</v>
      </c>
      <c r="D6" s="47" t="s">
        <v>40</v>
      </c>
      <c r="E6" s="47" t="s">
        <v>31</v>
      </c>
      <c r="F6" s="50" t="s">
        <v>32</v>
      </c>
      <c r="G6" s="50" t="s">
        <v>33</v>
      </c>
      <c r="H6" s="50" t="s">
        <v>28</v>
      </c>
      <c r="I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6" s="51">
        <v>0.9</v>
      </c>
      <c r="K6" s="52">
        <f>Table1[[#This Row],[Recurring Amount]]+Table1[[#This Row],[Non Recurring Amount]]</f>
        <v>150000</v>
      </c>
      <c r="L6" s="52">
        <v>0</v>
      </c>
      <c r="M6" s="57">
        <v>150000</v>
      </c>
      <c r="N6" s="31"/>
      <c r="O6" s="31"/>
      <c r="P6" s="32">
        <f>Table1[[#This Row],[Total Amount]]*Table1[[#This Row],[Conservative Probability]]</f>
        <v>135000</v>
      </c>
      <c r="Q6" s="52"/>
      <c r="R6" s="52"/>
      <c r="S6" s="52"/>
      <c r="T6" s="52"/>
      <c r="U6" s="52"/>
      <c r="V6" s="47"/>
    </row>
    <row r="7" spans="1:22" ht="17.100000000000001">
      <c r="A7" s="48" t="s">
        <v>22</v>
      </c>
      <c r="B7" s="47" t="s">
        <v>41</v>
      </c>
      <c r="C7" s="47" t="s">
        <v>24</v>
      </c>
      <c r="D7" s="47" t="s">
        <v>30</v>
      </c>
      <c r="E7" s="47" t="s">
        <v>31</v>
      </c>
      <c r="F7" s="50"/>
      <c r="G7" s="50" t="s">
        <v>33</v>
      </c>
      <c r="H7" s="47" t="s">
        <v>28</v>
      </c>
      <c r="I7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7" s="51">
        <v>0.5</v>
      </c>
      <c r="K7" s="52">
        <f>Table1[[#This Row],[Recurring Amount]]+Table1[[#This Row],[Non Recurring Amount]]</f>
        <v>23900</v>
      </c>
      <c r="L7" s="58">
        <v>23900</v>
      </c>
      <c r="M7" s="52">
        <v>0</v>
      </c>
      <c r="N7" s="31"/>
      <c r="O7" s="31"/>
      <c r="P7" s="32">
        <f>Table1[[#This Row],[Total Amount]]*Table1[[#This Row],[Conservative Probability]]</f>
        <v>11950</v>
      </c>
      <c r="Q7" s="52"/>
      <c r="R7" s="52"/>
      <c r="S7" s="52"/>
      <c r="T7" s="52"/>
      <c r="U7" s="52"/>
      <c r="V7" s="47"/>
    </row>
    <row r="8" spans="1:22" ht="17.100000000000001">
      <c r="A8" s="48" t="s">
        <v>22</v>
      </c>
      <c r="B8" s="47" t="s">
        <v>42</v>
      </c>
      <c r="C8" s="47" t="s">
        <v>24</v>
      </c>
      <c r="D8" s="47" t="s">
        <v>30</v>
      </c>
      <c r="E8" s="47" t="s">
        <v>31</v>
      </c>
      <c r="F8" s="50"/>
      <c r="G8" s="50" t="s">
        <v>27</v>
      </c>
      <c r="H8" s="47" t="s">
        <v>28</v>
      </c>
      <c r="I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8" s="51">
        <v>0.5</v>
      </c>
      <c r="K8" s="52">
        <f>Table1[[#This Row],[Recurring Amount]]+Table1[[#This Row],[Non Recurring Amount]]</f>
        <v>23900</v>
      </c>
      <c r="L8" s="59">
        <v>23900</v>
      </c>
      <c r="M8" s="52">
        <v>0</v>
      </c>
      <c r="N8" s="31"/>
      <c r="O8" s="31"/>
      <c r="P8" s="32">
        <f>Table1[[#This Row],[Total Amount]]*Table1[[#This Row],[Conservative Probability]]</f>
        <v>11950</v>
      </c>
      <c r="Q8" s="52"/>
      <c r="R8" s="52"/>
      <c r="S8" s="52"/>
      <c r="T8" s="52"/>
      <c r="U8" s="52"/>
      <c r="V8" s="47"/>
    </row>
    <row r="9" spans="1:22" ht="17.100000000000001">
      <c r="A9" s="48" t="s">
        <v>22</v>
      </c>
      <c r="B9" s="60" t="s">
        <v>43</v>
      </c>
      <c r="C9" s="47" t="s">
        <v>24</v>
      </c>
      <c r="D9" s="47" t="s">
        <v>30</v>
      </c>
      <c r="E9" s="47" t="s">
        <v>31</v>
      </c>
      <c r="F9" s="50"/>
      <c r="G9" s="50" t="s">
        <v>27</v>
      </c>
      <c r="H9" s="47" t="s">
        <v>28</v>
      </c>
      <c r="I9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9" s="51">
        <v>0.5</v>
      </c>
      <c r="K9" s="52">
        <f>Table1[[#This Row],[Recurring Amount]]+Table1[[#This Row],[Non Recurring Amount]]</f>
        <v>9900</v>
      </c>
      <c r="L9" s="59">
        <v>9900</v>
      </c>
      <c r="M9" s="52">
        <v>0</v>
      </c>
      <c r="N9" s="31"/>
      <c r="O9" s="31"/>
      <c r="P9" s="32">
        <f>Table1[[#This Row],[Total Amount]]*Table1[[#This Row],[Conservative Probability]]</f>
        <v>4950</v>
      </c>
      <c r="Q9" s="52"/>
      <c r="R9" s="52"/>
      <c r="S9" s="52"/>
      <c r="T9" s="52"/>
      <c r="U9" s="52"/>
      <c r="V9" s="47"/>
    </row>
    <row r="10" spans="1:22" ht="17.100000000000001">
      <c r="A10" s="48" t="s">
        <v>22</v>
      </c>
      <c r="B10" s="47" t="s">
        <v>44</v>
      </c>
      <c r="C10" s="47" t="s">
        <v>24</v>
      </c>
      <c r="D10" s="47" t="s">
        <v>30</v>
      </c>
      <c r="E10" s="47" t="s">
        <v>31</v>
      </c>
      <c r="F10" s="50"/>
      <c r="G10" s="50" t="s">
        <v>27</v>
      </c>
      <c r="H10" s="47" t="s">
        <v>28</v>
      </c>
      <c r="I10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0" s="51">
        <v>0.5</v>
      </c>
      <c r="K10" s="52">
        <f>Table1[[#This Row],[Recurring Amount]]+Table1[[#This Row],[Non Recurring Amount]]</f>
        <v>42000</v>
      </c>
      <c r="L10" s="59">
        <v>42000</v>
      </c>
      <c r="M10" s="52">
        <v>0</v>
      </c>
      <c r="N10" s="31"/>
      <c r="O10" s="31"/>
      <c r="P10" s="32">
        <f>Table1[[#This Row],[Total Amount]]*Table1[[#This Row],[Conservative Probability]]</f>
        <v>21000</v>
      </c>
      <c r="Q10" s="52"/>
      <c r="R10" s="52"/>
      <c r="S10" s="52"/>
      <c r="T10" s="52"/>
      <c r="U10" s="52"/>
      <c r="V10" s="47"/>
    </row>
    <row r="11" spans="1:22" ht="17.100000000000001">
      <c r="A11" s="48" t="s">
        <v>22</v>
      </c>
      <c r="B11" s="47" t="s">
        <v>45</v>
      </c>
      <c r="C11" s="47" t="s">
        <v>35</v>
      </c>
      <c r="D11" s="47" t="s">
        <v>40</v>
      </c>
      <c r="E11" s="47" t="s">
        <v>31</v>
      </c>
      <c r="F11" s="50" t="s">
        <v>46</v>
      </c>
      <c r="G11" s="50" t="s">
        <v>37</v>
      </c>
      <c r="H11" s="47" t="s">
        <v>38</v>
      </c>
      <c r="I11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" s="51">
        <v>0.5</v>
      </c>
      <c r="K11" s="52">
        <f>Table1[[#This Row],[Recurring Amount]]+Table1[[#This Row],[Non Recurring Amount]]</f>
        <v>480000</v>
      </c>
      <c r="L11" s="52">
        <v>400000</v>
      </c>
      <c r="M11" s="52">
        <v>80000</v>
      </c>
      <c r="N11" s="31"/>
      <c r="O11" s="31"/>
      <c r="P11" s="32">
        <f>Table1[[#This Row],[Total Amount]]*Table1[[#This Row],[Conservative Probability]]</f>
        <v>240000</v>
      </c>
      <c r="Q11" s="52"/>
      <c r="R11" s="52"/>
      <c r="S11" s="52"/>
      <c r="T11" s="52"/>
      <c r="U11" s="52"/>
      <c r="V11" s="47"/>
    </row>
    <row r="12" spans="1:22" ht="17.100000000000001">
      <c r="A12" s="48" t="s">
        <v>22</v>
      </c>
      <c r="B12" s="47" t="s">
        <v>47</v>
      </c>
      <c r="C12" s="47" t="s">
        <v>35</v>
      </c>
      <c r="D12" s="47" t="s">
        <v>40</v>
      </c>
      <c r="E12" s="47" t="s">
        <v>31</v>
      </c>
      <c r="F12" s="50" t="s">
        <v>48</v>
      </c>
      <c r="G12" s="50" t="s">
        <v>37</v>
      </c>
      <c r="H12" s="47" t="s">
        <v>38</v>
      </c>
      <c r="I12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2" s="51">
        <v>0.5</v>
      </c>
      <c r="K12" s="52">
        <f>Table1[[#This Row],[Recurring Amount]]+Table1[[#This Row],[Non Recurring Amount]]</f>
        <v>300000</v>
      </c>
      <c r="L12" s="52">
        <v>300000</v>
      </c>
      <c r="M12" s="52">
        <v>0</v>
      </c>
      <c r="N12" s="31"/>
      <c r="O12" s="31"/>
      <c r="P12" s="32">
        <f>Table1[[#This Row],[Total Amount]]*Table1[[#This Row],[Conservative Probability]]</f>
        <v>150000</v>
      </c>
      <c r="Q12" s="52"/>
      <c r="R12" s="52"/>
      <c r="S12" s="52"/>
      <c r="T12" s="52"/>
      <c r="U12" s="52"/>
      <c r="V12" s="47"/>
    </row>
    <row r="13" spans="1:22" ht="17.100000000000001">
      <c r="A13" s="48" t="s">
        <v>22</v>
      </c>
      <c r="B13" s="47" t="s">
        <v>49</v>
      </c>
      <c r="C13" s="47" t="s">
        <v>35</v>
      </c>
      <c r="D13" s="47" t="s">
        <v>50</v>
      </c>
      <c r="E13" s="47" t="s">
        <v>31</v>
      </c>
      <c r="F13" s="50" t="s">
        <v>51</v>
      </c>
      <c r="G13" s="50" t="s">
        <v>37</v>
      </c>
      <c r="H13" s="47" t="s">
        <v>38</v>
      </c>
      <c r="I13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3" s="51">
        <v>0.5</v>
      </c>
      <c r="K13" s="52">
        <f>Table1[[#This Row],[Recurring Amount]]+Table1[[#This Row],[Non Recurring Amount]]</f>
        <v>48000</v>
      </c>
      <c r="L13" s="52">
        <v>48000</v>
      </c>
      <c r="M13" s="52">
        <v>0</v>
      </c>
      <c r="N13" s="31"/>
      <c r="O13" s="31"/>
      <c r="P13" s="32">
        <f>Table1[[#This Row],[Total Amount]]*Table1[[#This Row],[Conservative Probability]]</f>
        <v>24000</v>
      </c>
      <c r="Q13" s="52"/>
      <c r="R13" s="52"/>
      <c r="S13" s="52"/>
      <c r="T13" s="52"/>
      <c r="U13" s="52"/>
      <c r="V13" s="47"/>
    </row>
    <row r="14" spans="1:22" ht="17.100000000000001">
      <c r="A14" s="48" t="s">
        <v>22</v>
      </c>
      <c r="B14" s="47" t="s">
        <v>52</v>
      </c>
      <c r="C14" s="47" t="s">
        <v>53</v>
      </c>
      <c r="D14" s="47" t="s">
        <v>50</v>
      </c>
      <c r="E14" s="50" t="s">
        <v>31</v>
      </c>
      <c r="F14" s="50" t="s">
        <v>51</v>
      </c>
      <c r="G14" s="47" t="s">
        <v>37</v>
      </c>
      <c r="H14" s="50" t="s">
        <v>28</v>
      </c>
      <c r="I14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4" s="51">
        <v>0.5</v>
      </c>
      <c r="K14" s="52">
        <f>Table1[[#This Row],[Recurring Amount]]+Table1[[#This Row],[Non Recurring Amount]]</f>
        <v>105000</v>
      </c>
      <c r="L14" s="53">
        <v>105000</v>
      </c>
      <c r="M14" s="52">
        <v>0</v>
      </c>
      <c r="N14" s="31"/>
      <c r="O14" s="31"/>
      <c r="P14" s="32">
        <f>Table1[[#This Row],[Total Amount]]*Table1[[#This Row],[Conservative Probability]]</f>
        <v>52500</v>
      </c>
      <c r="Q14" s="52"/>
      <c r="R14" s="52"/>
      <c r="S14" s="52"/>
      <c r="T14" s="52"/>
      <c r="U14" s="52"/>
      <c r="V14" s="47"/>
    </row>
    <row r="15" spans="1:22" ht="17.100000000000001">
      <c r="A15" s="48" t="s">
        <v>22</v>
      </c>
      <c r="B15" s="49" t="s">
        <v>54</v>
      </c>
      <c r="C15" s="47" t="s">
        <v>24</v>
      </c>
      <c r="D15" s="47" t="s">
        <v>55</v>
      </c>
      <c r="E15" s="47" t="s">
        <v>31</v>
      </c>
      <c r="F15" s="50" t="s">
        <v>56</v>
      </c>
      <c r="G15" s="50" t="s">
        <v>37</v>
      </c>
      <c r="H15" s="50" t="s">
        <v>28</v>
      </c>
      <c r="I15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5" s="51">
        <v>0.5</v>
      </c>
      <c r="K15" s="52">
        <f>Table1[[#This Row],[Recurring Amount]]+Table1[[#This Row],[Non Recurring Amount]]</f>
        <v>10000</v>
      </c>
      <c r="L15" s="52">
        <v>0</v>
      </c>
      <c r="M15" s="57">
        <v>10000</v>
      </c>
      <c r="N15" s="31"/>
      <c r="O15" s="31"/>
      <c r="P15" s="32">
        <f>Table1[[#This Row],[Total Amount]]*Table1[[#This Row],[Conservative Probability]]</f>
        <v>5000</v>
      </c>
      <c r="Q15" s="52"/>
      <c r="R15" s="52"/>
      <c r="S15" s="52"/>
      <c r="T15" s="52"/>
      <c r="U15" s="52"/>
      <c r="V15" s="47"/>
    </row>
    <row r="16" spans="1:22" ht="18" customHeight="1">
      <c r="A16" s="48" t="s">
        <v>22</v>
      </c>
      <c r="B16" s="49" t="s">
        <v>57</v>
      </c>
      <c r="C16" s="47" t="s">
        <v>24</v>
      </c>
      <c r="D16" s="47" t="s">
        <v>40</v>
      </c>
      <c r="E16" s="47" t="s">
        <v>58</v>
      </c>
      <c r="F16" s="50" t="s">
        <v>59</v>
      </c>
      <c r="G16" s="50" t="s">
        <v>27</v>
      </c>
      <c r="H16" s="50" t="s">
        <v>28</v>
      </c>
      <c r="I1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6" s="51">
        <v>0.35</v>
      </c>
      <c r="K16" s="52">
        <f>Table1[[#This Row],[Recurring Amount]]+Table1[[#This Row],[Non Recurring Amount]]</f>
        <v>200000</v>
      </c>
      <c r="L16" s="52">
        <v>0</v>
      </c>
      <c r="M16" s="53">
        <v>200000</v>
      </c>
      <c r="N16" s="31"/>
      <c r="O16" s="31"/>
      <c r="P16" s="32">
        <f>Table1[[#This Row],[Total Amount]]*Table1[[#This Row],[Conservative Probability]]</f>
        <v>70000</v>
      </c>
      <c r="Q16" s="52"/>
      <c r="R16" s="52"/>
      <c r="S16" s="52"/>
      <c r="T16" s="52"/>
      <c r="U16" s="52"/>
      <c r="V16" s="47"/>
    </row>
    <row r="17" spans="1:22" ht="17.100000000000001">
      <c r="A17" s="48" t="s">
        <v>22</v>
      </c>
      <c r="B17" s="49" t="s">
        <v>60</v>
      </c>
      <c r="C17" s="47" t="s">
        <v>24</v>
      </c>
      <c r="D17" s="47" t="s">
        <v>55</v>
      </c>
      <c r="E17" s="47" t="s">
        <v>58</v>
      </c>
      <c r="F17" s="50"/>
      <c r="G17" s="50" t="s">
        <v>27</v>
      </c>
      <c r="H17" s="50" t="s">
        <v>28</v>
      </c>
      <c r="I17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7" s="51">
        <v>0.35</v>
      </c>
      <c r="K17" s="52">
        <f>Table1[[#This Row],[Recurring Amount]]+Table1[[#This Row],[Non Recurring Amount]]</f>
        <v>10000</v>
      </c>
      <c r="L17" s="52">
        <v>0</v>
      </c>
      <c r="M17" s="53">
        <v>10000</v>
      </c>
      <c r="N17" s="31"/>
      <c r="O17" s="31"/>
      <c r="P17" s="32">
        <f>Table1[[#This Row],[Total Amount]]*Table1[[#This Row],[Conservative Probability]]</f>
        <v>3500</v>
      </c>
      <c r="Q17" s="52"/>
      <c r="R17" s="52"/>
      <c r="S17" s="52"/>
      <c r="T17" s="52"/>
      <c r="U17" s="52"/>
      <c r="V17" s="47"/>
    </row>
    <row r="18" spans="1:22" ht="17.100000000000001">
      <c r="A18" s="48" t="s">
        <v>22</v>
      </c>
      <c r="B18" s="49" t="s">
        <v>61</v>
      </c>
      <c r="C18" s="47" t="s">
        <v>24</v>
      </c>
      <c r="D18" s="47" t="s">
        <v>55</v>
      </c>
      <c r="E18" s="47" t="s">
        <v>58</v>
      </c>
      <c r="F18" s="50"/>
      <c r="G18" s="50" t="s">
        <v>27</v>
      </c>
      <c r="H18" s="50" t="s">
        <v>28</v>
      </c>
      <c r="I1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8" s="51">
        <v>0.35</v>
      </c>
      <c r="K18" s="52">
        <f>Table1[[#This Row],[Recurring Amount]]+Table1[[#This Row],[Non Recurring Amount]]</f>
        <v>50000</v>
      </c>
      <c r="L18" s="52">
        <v>0</v>
      </c>
      <c r="M18" s="57">
        <v>50000</v>
      </c>
      <c r="N18" s="31"/>
      <c r="O18" s="31"/>
      <c r="P18" s="32">
        <f>Table1[[#This Row],[Total Amount]]*Table1[[#This Row],[Conservative Probability]]</f>
        <v>17500</v>
      </c>
      <c r="Q18" s="52"/>
      <c r="R18" s="52"/>
      <c r="S18" s="52"/>
      <c r="T18" s="52"/>
      <c r="U18" s="52"/>
      <c r="V18" s="47"/>
    </row>
    <row r="19" spans="1:22" ht="17.100000000000001">
      <c r="A19" s="48" t="s">
        <v>22</v>
      </c>
      <c r="B19" s="49" t="s">
        <v>62</v>
      </c>
      <c r="C19" s="47" t="s">
        <v>24</v>
      </c>
      <c r="D19" s="47" t="s">
        <v>55</v>
      </c>
      <c r="E19" s="47" t="s">
        <v>58</v>
      </c>
      <c r="F19" s="50"/>
      <c r="G19" s="50" t="s">
        <v>37</v>
      </c>
      <c r="H19" s="50" t="s">
        <v>28</v>
      </c>
      <c r="I19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9" s="51">
        <v>0.35</v>
      </c>
      <c r="K19" s="52">
        <f>Table1[[#This Row],[Recurring Amount]]+Table1[[#This Row],[Non Recurring Amount]]</f>
        <v>15000</v>
      </c>
      <c r="L19" s="52">
        <v>0</v>
      </c>
      <c r="M19" s="57">
        <v>15000</v>
      </c>
      <c r="N19" s="31"/>
      <c r="O19" s="31"/>
      <c r="P19" s="32">
        <f>Table1[[#This Row],[Total Amount]]*Table1[[#This Row],[Conservative Probability]]</f>
        <v>5250</v>
      </c>
      <c r="Q19" s="52"/>
      <c r="R19" s="52"/>
      <c r="S19" s="52"/>
      <c r="T19" s="52"/>
      <c r="U19" s="52"/>
      <c r="V19" s="47"/>
    </row>
    <row r="20" spans="1:22" ht="17.100000000000001">
      <c r="A20" s="48" t="s">
        <v>22</v>
      </c>
      <c r="B20" s="49" t="s">
        <v>63</v>
      </c>
      <c r="C20" s="47" t="s">
        <v>24</v>
      </c>
      <c r="D20" s="47" t="s">
        <v>30</v>
      </c>
      <c r="E20" s="47" t="s">
        <v>64</v>
      </c>
      <c r="F20" s="50"/>
      <c r="G20" s="50" t="s">
        <v>27</v>
      </c>
      <c r="H20" s="50" t="s">
        <v>28</v>
      </c>
      <c r="I20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0" s="51">
        <v>0.25</v>
      </c>
      <c r="K20" s="52">
        <f>Table1[[#This Row],[Recurring Amount]]+Table1[[#This Row],[Non Recurring Amount]]</f>
        <v>20000</v>
      </c>
      <c r="L20" s="54">
        <v>20000</v>
      </c>
      <c r="M20" s="52">
        <v>0</v>
      </c>
      <c r="N20" s="31"/>
      <c r="O20" s="31"/>
      <c r="P20" s="32">
        <f>Table1[[#This Row],[Total Amount]]*Table1[[#This Row],[Conservative Probability]]</f>
        <v>5000</v>
      </c>
      <c r="Q20" s="52"/>
      <c r="R20" s="52"/>
      <c r="S20" s="52"/>
      <c r="T20" s="52"/>
      <c r="U20" s="52"/>
      <c r="V20" s="47"/>
    </row>
    <row r="21" spans="1:22" ht="17.100000000000001">
      <c r="A21" s="48" t="s">
        <v>22</v>
      </c>
      <c r="B21" s="47" t="s">
        <v>65</v>
      </c>
      <c r="C21" s="47" t="s">
        <v>35</v>
      </c>
      <c r="D21" s="47" t="s">
        <v>40</v>
      </c>
      <c r="E21" s="47" t="s">
        <v>64</v>
      </c>
      <c r="F21" s="50" t="s">
        <v>56</v>
      </c>
      <c r="G21" s="50" t="s">
        <v>37</v>
      </c>
      <c r="H21" s="47" t="s">
        <v>38</v>
      </c>
      <c r="I21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1" s="51">
        <v>0.25</v>
      </c>
      <c r="K21" s="52">
        <f>Table1[[#This Row],[Recurring Amount]]+Table1[[#This Row],[Non Recurring Amount]]</f>
        <v>15000</v>
      </c>
      <c r="L21" s="52">
        <v>0</v>
      </c>
      <c r="M21" s="52">
        <v>15000</v>
      </c>
      <c r="N21" s="31"/>
      <c r="O21" s="31"/>
      <c r="P21" s="32">
        <f>Table1[[#This Row],[Total Amount]]*Table1[[#This Row],[Conservative Probability]]</f>
        <v>3750</v>
      </c>
      <c r="Q21" s="52"/>
      <c r="R21" s="52"/>
      <c r="S21" s="52"/>
      <c r="T21" s="52"/>
      <c r="U21" s="52"/>
      <c r="V21" s="47"/>
    </row>
    <row r="22" spans="1:22" ht="18.95" customHeight="1">
      <c r="A22" s="48" t="s">
        <v>22</v>
      </c>
      <c r="B22" s="47" t="s">
        <v>66</v>
      </c>
      <c r="C22" s="47" t="s">
        <v>35</v>
      </c>
      <c r="D22" s="47" t="s">
        <v>67</v>
      </c>
      <c r="E22" s="47" t="s">
        <v>64</v>
      </c>
      <c r="F22" s="50" t="s">
        <v>68</v>
      </c>
      <c r="G22" s="50" t="s">
        <v>37</v>
      </c>
      <c r="H22" s="47" t="s">
        <v>69</v>
      </c>
      <c r="I22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2" s="51">
        <v>0.25</v>
      </c>
      <c r="K22" s="52">
        <f>Table1[[#This Row],[Recurring Amount]]+Table1[[#This Row],[Non Recurring Amount]]</f>
        <v>100000</v>
      </c>
      <c r="L22" s="52">
        <v>0</v>
      </c>
      <c r="M22" s="52">
        <v>100000</v>
      </c>
      <c r="N22" s="31"/>
      <c r="O22" s="31"/>
      <c r="P22" s="32">
        <f>Table1[[#This Row],[Total Amount]]*Table1[[#This Row],[Conservative Probability]]</f>
        <v>25000</v>
      </c>
      <c r="Q22" s="52"/>
      <c r="R22" s="52"/>
      <c r="S22" s="52"/>
      <c r="T22" s="52"/>
      <c r="U22" s="52"/>
      <c r="V22" s="47"/>
    </row>
    <row r="23" spans="1:22" ht="17.100000000000001">
      <c r="A23" s="48" t="s">
        <v>22</v>
      </c>
      <c r="B23" s="47" t="s">
        <v>70</v>
      </c>
      <c r="C23" s="47" t="s">
        <v>35</v>
      </c>
      <c r="D23" s="47" t="s">
        <v>67</v>
      </c>
      <c r="E23" s="47" t="s">
        <v>64</v>
      </c>
      <c r="F23" s="50" t="s">
        <v>51</v>
      </c>
      <c r="G23" s="50" t="s">
        <v>37</v>
      </c>
      <c r="H23" s="47" t="s">
        <v>38</v>
      </c>
      <c r="I23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3" s="51">
        <v>0.25</v>
      </c>
      <c r="K23" s="52">
        <f>Table1[[#This Row],[Recurring Amount]]+Table1[[#This Row],[Non Recurring Amount]]</f>
        <v>95000</v>
      </c>
      <c r="L23" s="52">
        <v>0</v>
      </c>
      <c r="M23" s="52">
        <v>95000</v>
      </c>
      <c r="N23" s="31"/>
      <c r="O23" s="31"/>
      <c r="P23" s="32">
        <f>Table1[[#This Row],[Total Amount]]*Table1[[#This Row],[Conservative Probability]]</f>
        <v>23750</v>
      </c>
      <c r="Q23" s="52"/>
      <c r="R23" s="52"/>
      <c r="S23" s="52"/>
      <c r="T23" s="52"/>
      <c r="U23" s="52"/>
      <c r="V23" s="47"/>
    </row>
    <row r="24" spans="1:22" ht="17.100000000000001">
      <c r="A24" s="48" t="s">
        <v>22</v>
      </c>
      <c r="B24" s="50" t="s">
        <v>71</v>
      </c>
      <c r="C24" s="50" t="s">
        <v>35</v>
      </c>
      <c r="D24" s="50" t="s">
        <v>55</v>
      </c>
      <c r="E24" s="50" t="s">
        <v>64</v>
      </c>
      <c r="F24" s="50" t="s">
        <v>72</v>
      </c>
      <c r="G24" s="47" t="s">
        <v>37</v>
      </c>
      <c r="H24" s="47" t="s">
        <v>38</v>
      </c>
      <c r="I24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4" s="51">
        <v>0.25</v>
      </c>
      <c r="K24" s="52">
        <f>Table1[[#This Row],[Recurring Amount]]+Table1[[#This Row],[Non Recurring Amount]]</f>
        <v>30000</v>
      </c>
      <c r="L24" s="52">
        <v>0</v>
      </c>
      <c r="M24" s="61">
        <v>30000</v>
      </c>
      <c r="N24" s="31"/>
      <c r="O24" s="31"/>
      <c r="P24" s="32">
        <f>Table1[[#This Row],[Total Amount]]*Table1[[#This Row],[Conservative Probability]]</f>
        <v>7500</v>
      </c>
      <c r="Q24" s="52"/>
      <c r="R24" s="52"/>
      <c r="S24" s="52"/>
      <c r="T24" s="52"/>
      <c r="U24" s="52"/>
      <c r="V24" s="47"/>
    </row>
    <row r="25" spans="1:22" ht="17.100000000000001">
      <c r="A25" s="48" t="s">
        <v>22</v>
      </c>
      <c r="B25" s="49" t="s">
        <v>73</v>
      </c>
      <c r="C25" s="47" t="s">
        <v>24</v>
      </c>
      <c r="D25" s="47" t="s">
        <v>55</v>
      </c>
      <c r="E25" s="47" t="s">
        <v>74</v>
      </c>
      <c r="F25" s="50"/>
      <c r="G25" s="50" t="s">
        <v>33</v>
      </c>
      <c r="H25" s="50" t="s">
        <v>28</v>
      </c>
      <c r="I25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25" s="51">
        <v>0.25</v>
      </c>
      <c r="K25" s="52">
        <f>Table1[[#This Row],[Recurring Amount]]+Table1[[#This Row],[Non Recurring Amount]]</f>
        <v>25000</v>
      </c>
      <c r="L25" s="52">
        <v>0</v>
      </c>
      <c r="M25" s="57">
        <v>25000</v>
      </c>
      <c r="N25" s="31"/>
      <c r="O25" s="31"/>
      <c r="P25" s="32">
        <f>Table1[[#This Row],[Total Amount]]*Table1[[#This Row],[Conservative Probability]]</f>
        <v>6250</v>
      </c>
      <c r="Q25" s="52"/>
      <c r="R25" s="52"/>
      <c r="S25" s="52"/>
      <c r="T25" s="52"/>
      <c r="U25" s="52"/>
      <c r="V25" s="47"/>
    </row>
    <row r="26" spans="1:22" ht="41.25" customHeight="1">
      <c r="A26" s="48" t="s">
        <v>22</v>
      </c>
      <c r="B26" s="49" t="s">
        <v>75</v>
      </c>
      <c r="C26" s="47" t="s">
        <v>24</v>
      </c>
      <c r="D26" s="47" t="s">
        <v>55</v>
      </c>
      <c r="E26" s="50" t="s">
        <v>64</v>
      </c>
      <c r="F26" s="50"/>
      <c r="G26" s="50" t="s">
        <v>27</v>
      </c>
      <c r="H26" s="50" t="s">
        <v>28</v>
      </c>
      <c r="I2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6" s="51">
        <v>0.25</v>
      </c>
      <c r="K26" s="52">
        <f>Table1[[#This Row],[Recurring Amount]]+Table1[[#This Row],[Non Recurring Amount]]</f>
        <v>25000</v>
      </c>
      <c r="L26" s="52">
        <v>0</v>
      </c>
      <c r="M26" s="57">
        <v>25000</v>
      </c>
      <c r="N26" s="31"/>
      <c r="O26" s="31"/>
      <c r="P26" s="32">
        <f>Table1[[#This Row],[Total Amount]]*Table1[[#This Row],[Conservative Probability]]</f>
        <v>6250</v>
      </c>
      <c r="Q26" s="52"/>
      <c r="R26" s="52"/>
      <c r="S26" s="52"/>
      <c r="T26" s="52"/>
      <c r="U26" s="52"/>
      <c r="V26" s="47"/>
    </row>
    <row r="27" spans="1:22" ht="17.100000000000001">
      <c r="A27" s="48" t="s">
        <v>22</v>
      </c>
      <c r="B27" s="49" t="s">
        <v>76</v>
      </c>
      <c r="C27" s="47" t="s">
        <v>24</v>
      </c>
      <c r="D27" s="47" t="s">
        <v>55</v>
      </c>
      <c r="E27" s="50" t="s">
        <v>64</v>
      </c>
      <c r="F27" s="50"/>
      <c r="G27" s="50" t="s">
        <v>27</v>
      </c>
      <c r="H27" s="50" t="s">
        <v>28</v>
      </c>
      <c r="I27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7" s="51">
        <v>0.25</v>
      </c>
      <c r="K27" s="52">
        <f>Table1[[#This Row],[Recurring Amount]]+Table1[[#This Row],[Non Recurring Amount]]</f>
        <v>25000</v>
      </c>
      <c r="L27" s="52">
        <v>0</v>
      </c>
      <c r="M27" s="57">
        <v>25000</v>
      </c>
      <c r="N27" s="31"/>
      <c r="O27" s="31"/>
      <c r="P27" s="32">
        <f>Table1[[#This Row],[Total Amount]]*Table1[[#This Row],[Conservative Probability]]</f>
        <v>6250</v>
      </c>
      <c r="Q27" s="52"/>
      <c r="R27" s="52"/>
      <c r="S27" s="52"/>
      <c r="T27" s="52"/>
      <c r="U27" s="52"/>
      <c r="V27" s="47"/>
    </row>
    <row r="28" spans="1:22" ht="17.100000000000001">
      <c r="A28" s="48" t="s">
        <v>22</v>
      </c>
      <c r="B28" s="49" t="s">
        <v>77</v>
      </c>
      <c r="C28" s="47" t="s">
        <v>24</v>
      </c>
      <c r="D28" s="47" t="s">
        <v>55</v>
      </c>
      <c r="E28" s="47" t="s">
        <v>74</v>
      </c>
      <c r="F28" s="50"/>
      <c r="G28" s="50" t="s">
        <v>33</v>
      </c>
      <c r="H28" s="50" t="s">
        <v>28</v>
      </c>
      <c r="I2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28" s="51">
        <v>0.25</v>
      </c>
      <c r="K28" s="52">
        <f>Table1[[#This Row],[Recurring Amount]]+Table1[[#This Row],[Non Recurring Amount]]</f>
        <v>50000</v>
      </c>
      <c r="L28" s="52">
        <v>0</v>
      </c>
      <c r="M28" s="57">
        <v>50000</v>
      </c>
      <c r="N28" s="31"/>
      <c r="O28" s="31"/>
      <c r="P28" s="32">
        <f>Table1[[#This Row],[Total Amount]]*Table1[[#This Row],[Conservative Probability]]</f>
        <v>12500</v>
      </c>
      <c r="Q28" s="52"/>
      <c r="R28" s="52"/>
      <c r="S28" s="52"/>
      <c r="T28" s="52"/>
      <c r="U28" s="52"/>
      <c r="V28" s="47"/>
    </row>
    <row r="29" spans="1:22" ht="17.100000000000001">
      <c r="A29" s="48" t="s">
        <v>22</v>
      </c>
      <c r="B29" s="49" t="s">
        <v>78</v>
      </c>
      <c r="C29" s="47" t="s">
        <v>24</v>
      </c>
      <c r="D29" s="47" t="s">
        <v>55</v>
      </c>
      <c r="E29" s="47" t="s">
        <v>64</v>
      </c>
      <c r="F29" s="50"/>
      <c r="G29" s="50" t="s">
        <v>27</v>
      </c>
      <c r="H29" s="50" t="s">
        <v>28</v>
      </c>
      <c r="I29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9" s="51">
        <v>0.25</v>
      </c>
      <c r="K29" s="52">
        <f>Table1[[#This Row],[Recurring Amount]]+Table1[[#This Row],[Non Recurring Amount]]</f>
        <v>10000</v>
      </c>
      <c r="L29" s="52">
        <v>0</v>
      </c>
      <c r="M29" s="57">
        <v>10000</v>
      </c>
      <c r="N29" s="31"/>
      <c r="O29" s="31"/>
      <c r="P29" s="32">
        <f>Table1[[#This Row],[Total Amount]]*Table1[[#This Row],[Conservative Probability]]</f>
        <v>2500</v>
      </c>
      <c r="Q29" s="52"/>
      <c r="R29" s="52"/>
      <c r="S29" s="52"/>
      <c r="T29" s="52"/>
      <c r="U29" s="52"/>
      <c r="V29" s="47"/>
    </row>
    <row r="30" spans="1:22" ht="17.100000000000001">
      <c r="A30" s="48" t="s">
        <v>22</v>
      </c>
      <c r="B30" s="47" t="s">
        <v>79</v>
      </c>
      <c r="C30" s="50" t="s">
        <v>35</v>
      </c>
      <c r="D30" s="50" t="s">
        <v>55</v>
      </c>
      <c r="E30" s="47" t="s">
        <v>74</v>
      </c>
      <c r="F30" s="50" t="s">
        <v>72</v>
      </c>
      <c r="G30" s="47" t="s">
        <v>37</v>
      </c>
      <c r="H30" s="47" t="s">
        <v>38</v>
      </c>
      <c r="I30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0" s="51">
        <v>0.25</v>
      </c>
      <c r="K30" s="52">
        <f>Table1[[#This Row],[Recurring Amount]]+Table1[[#This Row],[Non Recurring Amount]]</f>
        <v>30000</v>
      </c>
      <c r="L30" s="52">
        <v>0</v>
      </c>
      <c r="M30" s="61">
        <v>30000</v>
      </c>
      <c r="N30" s="31"/>
      <c r="O30" s="31"/>
      <c r="P30" s="32">
        <f>Table1[[#This Row],[Total Amount]]*Table1[[#This Row],[Conservative Probability]]</f>
        <v>7500</v>
      </c>
      <c r="Q30" s="52"/>
      <c r="R30" s="52"/>
      <c r="S30" s="52"/>
      <c r="T30" s="52"/>
      <c r="U30" s="52"/>
      <c r="V30" s="47"/>
    </row>
    <row r="31" spans="1:22" ht="17.100000000000001">
      <c r="A31" s="48" t="s">
        <v>22</v>
      </c>
      <c r="B31" s="47" t="s">
        <v>80</v>
      </c>
      <c r="C31" s="47" t="s">
        <v>35</v>
      </c>
      <c r="D31" s="47" t="s">
        <v>55</v>
      </c>
      <c r="E31" s="50" t="s">
        <v>64</v>
      </c>
      <c r="F31" s="50" t="s">
        <v>72</v>
      </c>
      <c r="G31" s="47" t="s">
        <v>37</v>
      </c>
      <c r="H31" s="47" t="s">
        <v>38</v>
      </c>
      <c r="I31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31" s="51">
        <v>0.25</v>
      </c>
      <c r="K31" s="52">
        <f>Table1[[#This Row],[Recurring Amount]]+Table1[[#This Row],[Non Recurring Amount]]</f>
        <v>30000</v>
      </c>
      <c r="L31" s="52">
        <v>0</v>
      </c>
      <c r="M31" s="61">
        <v>30000</v>
      </c>
      <c r="N31" s="31"/>
      <c r="O31" s="31"/>
      <c r="P31" s="32">
        <f>Table1[[#This Row],[Total Amount]]*Table1[[#This Row],[Conservative Probability]]</f>
        <v>7500</v>
      </c>
      <c r="Q31" s="52"/>
      <c r="R31" s="52"/>
      <c r="S31" s="52"/>
      <c r="T31" s="52"/>
      <c r="U31" s="52"/>
      <c r="V31" s="47"/>
    </row>
    <row r="32" spans="1:22" ht="17.100000000000001">
      <c r="A32" s="48" t="s">
        <v>22</v>
      </c>
      <c r="B32" s="50" t="s">
        <v>81</v>
      </c>
      <c r="C32" s="50" t="s">
        <v>35</v>
      </c>
      <c r="D32" s="50" t="s">
        <v>55</v>
      </c>
      <c r="E32" s="50" t="s">
        <v>74</v>
      </c>
      <c r="F32" s="50" t="s">
        <v>72</v>
      </c>
      <c r="G32" s="47" t="s">
        <v>37</v>
      </c>
      <c r="H32" s="47" t="s">
        <v>38</v>
      </c>
      <c r="I32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2" s="51">
        <v>0.25</v>
      </c>
      <c r="K32" s="52">
        <f>Table1[[#This Row],[Recurring Amount]]+Table1[[#This Row],[Non Recurring Amount]]</f>
        <v>30000</v>
      </c>
      <c r="L32" s="52">
        <v>0</v>
      </c>
      <c r="M32" s="61">
        <v>30000</v>
      </c>
      <c r="N32" s="31"/>
      <c r="O32" s="31"/>
      <c r="P32" s="32">
        <f>Table1[[#This Row],[Total Amount]]*Table1[[#This Row],[Conservative Probability]]</f>
        <v>7500</v>
      </c>
      <c r="Q32" s="52"/>
      <c r="R32" s="52"/>
      <c r="S32" s="52"/>
      <c r="T32" s="52"/>
      <c r="U32" s="52"/>
      <c r="V32" s="47"/>
    </row>
    <row r="33" spans="1:22" ht="17.100000000000001">
      <c r="A33" s="48" t="s">
        <v>22</v>
      </c>
      <c r="B33" s="47" t="s">
        <v>82</v>
      </c>
      <c r="C33" s="47" t="s">
        <v>35</v>
      </c>
      <c r="D33" s="47" t="s">
        <v>55</v>
      </c>
      <c r="E33" s="47" t="s">
        <v>74</v>
      </c>
      <c r="F33" s="50" t="s">
        <v>72</v>
      </c>
      <c r="G33" s="50" t="s">
        <v>37</v>
      </c>
      <c r="H33" s="47" t="s">
        <v>69</v>
      </c>
      <c r="I33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3" s="51">
        <v>0.25</v>
      </c>
      <c r="K33" s="52">
        <f>Table1[[#This Row],[Recurring Amount]]+Table1[[#This Row],[Non Recurring Amount]]</f>
        <v>20000</v>
      </c>
      <c r="L33" s="52">
        <v>0</v>
      </c>
      <c r="M33" s="52">
        <v>20000</v>
      </c>
      <c r="N33" s="31"/>
      <c r="O33" s="31"/>
      <c r="P33" s="32">
        <f>Table1[[#This Row],[Total Amount]]*Table1[[#This Row],[Conservative Probability]]</f>
        <v>5000</v>
      </c>
      <c r="Q33" s="52"/>
      <c r="R33" s="52"/>
      <c r="S33" s="52"/>
      <c r="T33" s="52"/>
      <c r="U33" s="52"/>
      <c r="V33" s="47"/>
    </row>
    <row r="34" spans="1:22" ht="17.100000000000001">
      <c r="A34" s="48" t="s">
        <v>22</v>
      </c>
      <c r="B34" s="47" t="s">
        <v>83</v>
      </c>
      <c r="C34" s="47" t="s">
        <v>24</v>
      </c>
      <c r="D34" s="47" t="s">
        <v>55</v>
      </c>
      <c r="E34" s="47" t="s">
        <v>64</v>
      </c>
      <c r="F34" s="50"/>
      <c r="G34" s="50" t="s">
        <v>27</v>
      </c>
      <c r="H34" s="50" t="s">
        <v>28</v>
      </c>
      <c r="I34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34" s="51">
        <v>0.25</v>
      </c>
      <c r="K34" s="52">
        <f>Table1[[#This Row],[Recurring Amount]]+Table1[[#This Row],[Non Recurring Amount]]</f>
        <v>25000</v>
      </c>
      <c r="L34" s="52">
        <v>0</v>
      </c>
      <c r="M34" s="53">
        <v>25000</v>
      </c>
      <c r="N34" s="31"/>
      <c r="O34" s="31"/>
      <c r="P34" s="32">
        <f>Table1[[#This Row],[Total Amount]]*Table1[[#This Row],[Conservative Probability]]</f>
        <v>6250</v>
      </c>
      <c r="Q34" s="52"/>
      <c r="R34" s="52"/>
      <c r="S34" s="52"/>
      <c r="T34" s="52"/>
      <c r="U34" s="52"/>
      <c r="V34" s="47"/>
    </row>
    <row r="35" spans="1:22" ht="17.100000000000001">
      <c r="A35" s="48" t="s">
        <v>22</v>
      </c>
      <c r="B35" s="47" t="s">
        <v>84</v>
      </c>
      <c r="C35" s="47" t="s">
        <v>35</v>
      </c>
      <c r="D35" s="47" t="s">
        <v>55</v>
      </c>
      <c r="E35" s="47" t="s">
        <v>74</v>
      </c>
      <c r="F35" s="50" t="s">
        <v>72</v>
      </c>
      <c r="G35" s="50" t="s">
        <v>37</v>
      </c>
      <c r="H35" s="47" t="s">
        <v>38</v>
      </c>
      <c r="I35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5" s="51">
        <v>0.25</v>
      </c>
      <c r="K35" s="52">
        <f>Table1[[#This Row],[Recurring Amount]]+Table1[[#This Row],[Non Recurring Amount]]</f>
        <v>30000</v>
      </c>
      <c r="L35" s="52">
        <v>0</v>
      </c>
      <c r="M35" s="52">
        <v>30000</v>
      </c>
      <c r="N35" s="31"/>
      <c r="O35" s="31"/>
      <c r="P35" s="32">
        <f>Table1[[#This Row],[Total Amount]]*Table1[[#This Row],[Conservative Probability]]</f>
        <v>7500</v>
      </c>
      <c r="Q35" s="52"/>
      <c r="R35" s="52"/>
      <c r="S35" s="52"/>
      <c r="T35" s="52"/>
      <c r="U35" s="52"/>
      <c r="V35" s="47"/>
    </row>
    <row r="36" spans="1:22" ht="17.100000000000001">
      <c r="A36" s="48" t="s">
        <v>22</v>
      </c>
      <c r="B36" s="47" t="s">
        <v>85</v>
      </c>
      <c r="C36" s="47" t="s">
        <v>35</v>
      </c>
      <c r="D36" s="47" t="s">
        <v>50</v>
      </c>
      <c r="E36" s="47" t="s">
        <v>74</v>
      </c>
      <c r="F36" s="50" t="s">
        <v>86</v>
      </c>
      <c r="G36" s="50" t="s">
        <v>37</v>
      </c>
      <c r="H36" s="47" t="s">
        <v>38</v>
      </c>
      <c r="I36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6" s="51">
        <v>0.15</v>
      </c>
      <c r="K36" s="52">
        <f>Table1[[#This Row],[Recurring Amount]]+Table1[[#This Row],[Non Recurring Amount]]</f>
        <v>150000</v>
      </c>
      <c r="L36" s="52">
        <v>150000</v>
      </c>
      <c r="M36" s="52">
        <v>0</v>
      </c>
      <c r="N36" s="31"/>
      <c r="O36" s="31"/>
      <c r="P36" s="32">
        <f>Table1[[#This Row],[Total Amount]]*Table1[[#This Row],[Conservative Probability]]</f>
        <v>22500</v>
      </c>
      <c r="Q36" s="52"/>
      <c r="R36" s="52"/>
      <c r="S36" s="52"/>
      <c r="T36" s="52"/>
      <c r="U36" s="52"/>
      <c r="V36" s="47"/>
    </row>
    <row r="37" spans="1:22">
      <c r="A37" s="70"/>
      <c r="B37" s="71"/>
      <c r="C37" s="71"/>
      <c r="D37" s="71"/>
      <c r="E37" s="71"/>
      <c r="F37" s="71"/>
      <c r="G37" s="71"/>
      <c r="H37" s="71"/>
      <c r="I37" s="72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42"/>
      <c r="U37" s="45"/>
      <c r="V37" s="47"/>
    </row>
    <row r="38" spans="1:22" ht="17.100000000000001">
      <c r="A38" s="48" t="s">
        <v>87</v>
      </c>
      <c r="B38" s="47" t="s">
        <v>88</v>
      </c>
      <c r="C38" s="47" t="s">
        <v>35</v>
      </c>
      <c r="D38" s="47" t="s">
        <v>30</v>
      </c>
      <c r="E38" s="47" t="s">
        <v>31</v>
      </c>
      <c r="F38" s="50" t="s">
        <v>72</v>
      </c>
      <c r="G38" s="50" t="s">
        <v>37</v>
      </c>
      <c r="H38" s="47" t="s">
        <v>69</v>
      </c>
      <c r="I38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38" s="51">
        <v>0.5</v>
      </c>
      <c r="K38" s="52">
        <f>Table1[[#This Row],[Recurring Amount]]+Table1[[#This Row],[Non Recurring Amount]]</f>
        <v>130000</v>
      </c>
      <c r="L38" s="52">
        <v>130000</v>
      </c>
      <c r="M38" s="52">
        <v>0</v>
      </c>
      <c r="N38" s="31"/>
      <c r="O38" s="31"/>
      <c r="P38" s="32">
        <f>Table1[[#This Row],[Total Amount]]*Table1[[#This Row],[Conservative Probability]]</f>
        <v>65000</v>
      </c>
      <c r="Q38" s="52"/>
      <c r="R38" s="52"/>
      <c r="S38" s="52"/>
      <c r="T38" s="52"/>
      <c r="U38" s="52"/>
      <c r="V38" s="47"/>
    </row>
    <row r="39" spans="1:22" ht="17.100000000000001">
      <c r="A39" s="48" t="s">
        <v>87</v>
      </c>
      <c r="B39" s="47" t="s">
        <v>89</v>
      </c>
      <c r="C39" s="47" t="s">
        <v>35</v>
      </c>
      <c r="D39" s="47" t="s">
        <v>30</v>
      </c>
      <c r="E39" s="47" t="s">
        <v>31</v>
      </c>
      <c r="F39" s="50" t="s">
        <v>51</v>
      </c>
      <c r="G39" s="50" t="s">
        <v>37</v>
      </c>
      <c r="H39" s="47" t="s">
        <v>38</v>
      </c>
      <c r="I39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39" s="51">
        <v>0.5</v>
      </c>
      <c r="K39" s="52">
        <f>Table1[[#This Row],[Recurring Amount]]+Table1[[#This Row],[Non Recurring Amount]]</f>
        <v>175000</v>
      </c>
      <c r="L39" s="52">
        <v>175000</v>
      </c>
      <c r="M39" s="52">
        <v>0</v>
      </c>
      <c r="N39" s="31"/>
      <c r="O39" s="31"/>
      <c r="P39" s="32">
        <f>Table1[[#This Row],[Total Amount]]*Table1[[#This Row],[Conservative Probability]]</f>
        <v>87500</v>
      </c>
      <c r="Q39" s="52"/>
      <c r="R39" s="52"/>
      <c r="S39" s="52"/>
      <c r="T39" s="52"/>
      <c r="U39" s="52"/>
      <c r="V39" s="47"/>
    </row>
    <row r="40" spans="1:22" ht="15.95" customHeight="1">
      <c r="A40" s="48" t="s">
        <v>87</v>
      </c>
      <c r="B40" s="62" t="s">
        <v>90</v>
      </c>
      <c r="C40" s="47" t="s">
        <v>24</v>
      </c>
      <c r="D40" s="62" t="s">
        <v>30</v>
      </c>
      <c r="E40" s="47" t="s">
        <v>31</v>
      </c>
      <c r="F40" s="50"/>
      <c r="G40" s="50" t="s">
        <v>27</v>
      </c>
      <c r="H40" s="47" t="s">
        <v>28</v>
      </c>
      <c r="I40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0" s="51">
        <v>0.5</v>
      </c>
      <c r="K40" s="52">
        <f>Table1[[#This Row],[Recurring Amount]]+Table1[[#This Row],[Non Recurring Amount]]</f>
        <v>9900</v>
      </c>
      <c r="L40" s="52">
        <v>9900</v>
      </c>
      <c r="M40" s="52">
        <v>0</v>
      </c>
      <c r="N40" s="31"/>
      <c r="O40" s="31"/>
      <c r="P40" s="32">
        <f>Table1[[#This Row],[Total Amount]]*Table1[[#This Row],[Conservative Probability]]</f>
        <v>4950</v>
      </c>
      <c r="Q40" s="52"/>
      <c r="R40" s="52"/>
      <c r="S40" s="52"/>
      <c r="T40" s="52"/>
      <c r="U40" s="52"/>
      <c r="V40" s="47"/>
    </row>
    <row r="41" spans="1:22" ht="15.95" customHeight="1">
      <c r="A41" s="48" t="s">
        <v>87</v>
      </c>
      <c r="B41" s="62" t="s">
        <v>91</v>
      </c>
      <c r="C41" s="47" t="s">
        <v>24</v>
      </c>
      <c r="D41" s="62" t="s">
        <v>30</v>
      </c>
      <c r="E41" s="47" t="s">
        <v>31</v>
      </c>
      <c r="F41" s="50"/>
      <c r="G41" s="50" t="s">
        <v>27</v>
      </c>
      <c r="H41" s="47" t="s">
        <v>28</v>
      </c>
      <c r="I41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1" s="51">
        <v>0.5</v>
      </c>
      <c r="K41" s="52">
        <f>Table1[[#This Row],[Recurring Amount]]+Table1[[#This Row],[Non Recurring Amount]]</f>
        <v>5900</v>
      </c>
      <c r="L41" s="52">
        <v>5900</v>
      </c>
      <c r="M41" s="52">
        <v>0</v>
      </c>
      <c r="N41" s="31"/>
      <c r="O41" s="31"/>
      <c r="P41" s="32">
        <f>Table1[[#This Row],[Total Amount]]*Table1[[#This Row],[Conservative Probability]]</f>
        <v>2950</v>
      </c>
      <c r="Q41" s="52"/>
      <c r="R41" s="52"/>
      <c r="S41" s="52"/>
      <c r="T41" s="52"/>
      <c r="U41" s="52"/>
      <c r="V41" s="47"/>
    </row>
    <row r="42" spans="1:22" ht="15.95" customHeight="1">
      <c r="A42" s="48" t="s">
        <v>87</v>
      </c>
      <c r="B42" s="62" t="s">
        <v>92</v>
      </c>
      <c r="C42" s="47" t="s">
        <v>24</v>
      </c>
      <c r="D42" s="62" t="s">
        <v>30</v>
      </c>
      <c r="E42" s="47" t="s">
        <v>31</v>
      </c>
      <c r="F42" s="50"/>
      <c r="G42" s="50" t="s">
        <v>27</v>
      </c>
      <c r="H42" s="47" t="s">
        <v>38</v>
      </c>
      <c r="I42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2" s="51">
        <v>0.5</v>
      </c>
      <c r="K42" s="52">
        <f>Table1[[#This Row],[Recurring Amount]]+Table1[[#This Row],[Non Recurring Amount]]</f>
        <v>5900</v>
      </c>
      <c r="L42" s="52">
        <v>5900</v>
      </c>
      <c r="M42" s="52">
        <v>0</v>
      </c>
      <c r="N42" s="31"/>
      <c r="O42" s="31"/>
      <c r="P42" s="32">
        <f>Table1[[#This Row],[Total Amount]]*Table1[[#This Row],[Conservative Probability]]</f>
        <v>2950</v>
      </c>
      <c r="Q42" s="52"/>
      <c r="R42" s="52"/>
      <c r="S42" s="52"/>
      <c r="T42" s="52"/>
      <c r="U42" s="52"/>
      <c r="V42" s="47"/>
    </row>
    <row r="43" spans="1:22" ht="17.100000000000001">
      <c r="A43" s="48" t="s">
        <v>87</v>
      </c>
      <c r="B43" s="49" t="s">
        <v>93</v>
      </c>
      <c r="C43" s="47" t="s">
        <v>24</v>
      </c>
      <c r="D43" s="62" t="s">
        <v>55</v>
      </c>
      <c r="E43" s="50" t="s">
        <v>58</v>
      </c>
      <c r="F43" s="50"/>
      <c r="G43" s="47" t="s">
        <v>27</v>
      </c>
      <c r="H43" s="50" t="s">
        <v>28</v>
      </c>
      <c r="I43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43" s="51">
        <v>0.35</v>
      </c>
      <c r="K43" s="52">
        <f>Table1[[#This Row],[Recurring Amount]]+Table1[[#This Row],[Non Recurring Amount]]</f>
        <v>50000</v>
      </c>
      <c r="L43" s="52">
        <v>0</v>
      </c>
      <c r="M43" s="53">
        <v>50000</v>
      </c>
      <c r="N43" s="31"/>
      <c r="O43" s="31"/>
      <c r="P43" s="32">
        <f>Table1[[#This Row],[Total Amount]]*Table1[[#This Row],[Conservative Probability]]</f>
        <v>17500</v>
      </c>
      <c r="Q43" s="61"/>
      <c r="R43" s="61"/>
      <c r="S43" s="61"/>
      <c r="T43" s="61"/>
      <c r="U43" s="61"/>
      <c r="V43" s="63"/>
    </row>
    <row r="44" spans="1:22" ht="17.100000000000001">
      <c r="A44" s="48" t="s">
        <v>87</v>
      </c>
      <c r="B44" s="50" t="s">
        <v>94</v>
      </c>
      <c r="C44" s="47" t="s">
        <v>35</v>
      </c>
      <c r="D44" s="47" t="s">
        <v>40</v>
      </c>
      <c r="E44" s="50" t="s">
        <v>74</v>
      </c>
      <c r="F44" s="50"/>
      <c r="G44" s="47" t="s">
        <v>37</v>
      </c>
      <c r="H44" s="50" t="s">
        <v>28</v>
      </c>
      <c r="I44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44" s="51">
        <v>0.25</v>
      </c>
      <c r="K44" s="52">
        <f>Table1[[#This Row],[Recurring Amount]]+Table1[[#This Row],[Non Recurring Amount]]</f>
        <v>250000</v>
      </c>
      <c r="L44" s="53">
        <v>250000</v>
      </c>
      <c r="M44" s="61"/>
      <c r="N44" s="31"/>
      <c r="O44" s="31"/>
      <c r="P44" s="32">
        <f>Table1[[#This Row],[Total Amount]]*Table1[[#This Row],[Conservative Probability]]</f>
        <v>62500</v>
      </c>
      <c r="Q44" s="52"/>
      <c r="R44" s="52"/>
      <c r="S44" s="52"/>
      <c r="T44" s="52"/>
      <c r="U44" s="52"/>
      <c r="V44" s="47"/>
    </row>
    <row r="45" spans="1:22" ht="17.100000000000001">
      <c r="A45" s="48" t="s">
        <v>87</v>
      </c>
      <c r="B45" s="47" t="s">
        <v>95</v>
      </c>
      <c r="C45" s="47" t="s">
        <v>35</v>
      </c>
      <c r="D45" s="47" t="s">
        <v>40</v>
      </c>
      <c r="E45" s="47" t="s">
        <v>64</v>
      </c>
      <c r="F45" s="50" t="s">
        <v>72</v>
      </c>
      <c r="G45" s="50" t="s">
        <v>37</v>
      </c>
      <c r="H45" s="47" t="s">
        <v>69</v>
      </c>
      <c r="I45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45" s="51">
        <v>0.25</v>
      </c>
      <c r="K45" s="52">
        <f>Table1[[#This Row],[Recurring Amount]]+Table1[[#This Row],[Non Recurring Amount]]</f>
        <v>100000</v>
      </c>
      <c r="L45" s="52">
        <v>100000</v>
      </c>
      <c r="M45" s="52">
        <v>0</v>
      </c>
      <c r="N45" s="31"/>
      <c r="O45" s="31"/>
      <c r="P45" s="32">
        <f>Table1[[#This Row],[Total Amount]]*Table1[[#This Row],[Conservative Probability]]</f>
        <v>25000</v>
      </c>
      <c r="Q45" s="52"/>
      <c r="R45" s="52"/>
      <c r="S45" s="52"/>
      <c r="T45" s="52"/>
      <c r="U45" s="52"/>
      <c r="V45" s="47"/>
    </row>
    <row r="46" spans="1:22" ht="17.100000000000001">
      <c r="A46" s="48" t="s">
        <v>87</v>
      </c>
      <c r="B46" s="47" t="s">
        <v>96</v>
      </c>
      <c r="C46" s="47" t="s">
        <v>35</v>
      </c>
      <c r="D46" s="47" t="s">
        <v>40</v>
      </c>
      <c r="E46" s="47" t="s">
        <v>64</v>
      </c>
      <c r="F46" s="50" t="s">
        <v>72</v>
      </c>
      <c r="G46" s="50" t="s">
        <v>37</v>
      </c>
      <c r="H46" s="47" t="s">
        <v>38</v>
      </c>
      <c r="I46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46" s="51">
        <v>0.25</v>
      </c>
      <c r="K46" s="52">
        <f>Table1[[#This Row],[Recurring Amount]]+Table1[[#This Row],[Non Recurring Amount]]</f>
        <v>150000</v>
      </c>
      <c r="L46" s="52">
        <v>150000</v>
      </c>
      <c r="M46" s="52">
        <v>0</v>
      </c>
      <c r="N46" s="31"/>
      <c r="O46" s="31"/>
      <c r="P46" s="32">
        <f>Table1[[#This Row],[Total Amount]]*Table1[[#This Row],[Conservative Probability]]</f>
        <v>37500</v>
      </c>
      <c r="Q46" s="52"/>
      <c r="R46" s="52"/>
      <c r="S46" s="52"/>
      <c r="T46" s="52"/>
      <c r="U46" s="52"/>
      <c r="V46" s="47"/>
    </row>
    <row r="47" spans="1:22" ht="17.100000000000001">
      <c r="A47" s="48" t="s">
        <v>87</v>
      </c>
      <c r="B47" s="47" t="s">
        <v>97</v>
      </c>
      <c r="C47" s="47" t="s">
        <v>35</v>
      </c>
      <c r="D47" s="47" t="s">
        <v>40</v>
      </c>
      <c r="E47" s="47" t="s">
        <v>74</v>
      </c>
      <c r="F47" s="50" t="s">
        <v>56</v>
      </c>
      <c r="G47" s="50" t="s">
        <v>37</v>
      </c>
      <c r="H47" s="47" t="s">
        <v>38</v>
      </c>
      <c r="I47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47" s="51">
        <v>0.25</v>
      </c>
      <c r="K47" s="52">
        <f>Table1[[#This Row],[Recurring Amount]]+Table1[[#This Row],[Non Recurring Amount]]</f>
        <v>75000</v>
      </c>
      <c r="L47" s="52">
        <v>75000</v>
      </c>
      <c r="M47" s="52">
        <v>0</v>
      </c>
      <c r="N47" s="31"/>
      <c r="O47" s="31"/>
      <c r="P47" s="32">
        <f>Table1[[#This Row],[Total Amount]]*Table1[[#This Row],[Conservative Probability]]</f>
        <v>18750</v>
      </c>
      <c r="Q47" s="52"/>
      <c r="R47" s="52"/>
      <c r="S47" s="52"/>
      <c r="T47" s="52"/>
      <c r="U47" s="52"/>
      <c r="V47" s="47"/>
    </row>
    <row r="48" spans="1:22" ht="17.100000000000001">
      <c r="A48" s="48" t="s">
        <v>87</v>
      </c>
      <c r="B48" s="47" t="s">
        <v>98</v>
      </c>
      <c r="C48" s="47" t="s">
        <v>35</v>
      </c>
      <c r="D48" s="47" t="s">
        <v>40</v>
      </c>
      <c r="E48" s="47" t="s">
        <v>64</v>
      </c>
      <c r="F48" s="50" t="s">
        <v>56</v>
      </c>
      <c r="G48" s="50" t="s">
        <v>37</v>
      </c>
      <c r="H48" s="47" t="s">
        <v>38</v>
      </c>
      <c r="I48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48" s="51">
        <v>0.25</v>
      </c>
      <c r="K48" s="52">
        <f>Table1[[#This Row],[Recurring Amount]]+Table1[[#This Row],[Non Recurring Amount]]</f>
        <v>100000</v>
      </c>
      <c r="L48" s="52">
        <v>100000</v>
      </c>
      <c r="M48" s="52">
        <v>0</v>
      </c>
      <c r="N48" s="31"/>
      <c r="O48" s="31"/>
      <c r="P48" s="32">
        <f>Table1[[#This Row],[Total Amount]]*Table1[[#This Row],[Conservative Probability]]</f>
        <v>25000</v>
      </c>
      <c r="Q48" s="52"/>
      <c r="R48" s="52"/>
      <c r="S48" s="52"/>
      <c r="T48" s="52"/>
      <c r="U48" s="52"/>
      <c r="V48" s="47"/>
    </row>
    <row r="49" spans="1:22" ht="17.100000000000001">
      <c r="A49" s="64" t="s">
        <v>87</v>
      </c>
      <c r="B49" s="49" t="s">
        <v>99</v>
      </c>
      <c r="C49" s="50" t="s">
        <v>24</v>
      </c>
      <c r="D49" s="65" t="s">
        <v>40</v>
      </c>
      <c r="E49" s="66" t="s">
        <v>74</v>
      </c>
      <c r="F49" s="66"/>
      <c r="G49" s="66" t="s">
        <v>27</v>
      </c>
      <c r="H49" s="50" t="s">
        <v>28</v>
      </c>
      <c r="I49" s="67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49" s="67">
        <v>0.25</v>
      </c>
      <c r="K49" s="52">
        <f>Table1[[#This Row],[Recurring Amount]]+Table1[[#This Row],[Non Recurring Amount]]</f>
        <v>250000</v>
      </c>
      <c r="L49" s="57">
        <v>250000</v>
      </c>
      <c r="M49" s="52"/>
      <c r="N49" s="33"/>
      <c r="O49" s="33"/>
      <c r="P49" s="34">
        <f>Table1[[#This Row],[Total Amount]]*Table1[[#This Row],[Conservative Probability]]</f>
        <v>62500</v>
      </c>
      <c r="Q49" s="68"/>
      <c r="R49" s="68"/>
      <c r="S49" s="68"/>
      <c r="T49" s="68"/>
      <c r="U49" s="68"/>
      <c r="V49" s="65"/>
    </row>
    <row r="50" spans="1:22" ht="17.100000000000001">
      <c r="A50" s="48" t="s">
        <v>87</v>
      </c>
      <c r="B50" s="47" t="s">
        <v>100</v>
      </c>
      <c r="C50" s="47" t="s">
        <v>35</v>
      </c>
      <c r="D50" s="47" t="s">
        <v>50</v>
      </c>
      <c r="E50" s="47" t="s">
        <v>64</v>
      </c>
      <c r="F50" s="50" t="s">
        <v>51</v>
      </c>
      <c r="G50" s="50" t="s">
        <v>37</v>
      </c>
      <c r="H50" s="47" t="s">
        <v>38</v>
      </c>
      <c r="I50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0" s="51">
        <f>Table1[[#This Row],[Auto Probability (by deal stage)]]</f>
        <v>0.25</v>
      </c>
      <c r="K50" s="52">
        <f>Table1[[#This Row],[Recurring Amount]]+Table1[[#This Row],[Non Recurring Amount]]</f>
        <v>75000</v>
      </c>
      <c r="L50" s="52">
        <v>75000</v>
      </c>
      <c r="M50" s="52">
        <v>0</v>
      </c>
      <c r="N50" s="31"/>
      <c r="O50" s="31"/>
      <c r="P50" s="32">
        <f>Table1[[#This Row],[Total Amount]]*Table1[[#This Row],[Conservative Probability]]</f>
        <v>18750</v>
      </c>
      <c r="Q50" s="52"/>
      <c r="R50" s="52"/>
      <c r="S50" s="52"/>
      <c r="T50" s="52"/>
      <c r="U50" s="52"/>
      <c r="V50" s="47"/>
    </row>
    <row r="51" spans="1:22" ht="18" customHeight="1">
      <c r="A51" s="48" t="s">
        <v>87</v>
      </c>
      <c r="B51" s="47" t="s">
        <v>101</v>
      </c>
      <c r="C51" s="47" t="s">
        <v>35</v>
      </c>
      <c r="D51" s="47" t="s">
        <v>50</v>
      </c>
      <c r="E51" s="47" t="s">
        <v>64</v>
      </c>
      <c r="F51" s="50" t="s">
        <v>72</v>
      </c>
      <c r="G51" s="50" t="s">
        <v>37</v>
      </c>
      <c r="H51" s="47" t="s">
        <v>38</v>
      </c>
      <c r="I51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1" s="51">
        <v>0.25</v>
      </c>
      <c r="K51" s="52">
        <f>Table1[[#This Row],[Recurring Amount]]+Table1[[#This Row],[Non Recurring Amount]]</f>
        <v>150000</v>
      </c>
      <c r="L51" s="52">
        <v>150000</v>
      </c>
      <c r="M51" s="52">
        <v>0</v>
      </c>
      <c r="N51" s="31"/>
      <c r="O51" s="31"/>
      <c r="P51" s="32">
        <f>Table1[[#This Row],[Total Amount]]*Table1[[#This Row],[Conservative Probability]]</f>
        <v>37500</v>
      </c>
      <c r="Q51" s="52"/>
      <c r="R51" s="52"/>
      <c r="S51" s="52"/>
      <c r="T51" s="52"/>
      <c r="U51" s="52"/>
      <c r="V51" s="47"/>
    </row>
    <row r="52" spans="1:22" ht="17.100000000000001">
      <c r="A52" s="48" t="s">
        <v>87</v>
      </c>
      <c r="B52" s="47" t="s">
        <v>102</v>
      </c>
      <c r="C52" s="47" t="s">
        <v>35</v>
      </c>
      <c r="D52" s="47" t="s">
        <v>50</v>
      </c>
      <c r="E52" s="47" t="s">
        <v>64</v>
      </c>
      <c r="F52" s="50" t="s">
        <v>72</v>
      </c>
      <c r="G52" s="50" t="s">
        <v>37</v>
      </c>
      <c r="H52" s="47" t="s">
        <v>38</v>
      </c>
      <c r="I52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2" s="51">
        <v>0.25</v>
      </c>
      <c r="K52" s="52">
        <f>Table1[[#This Row],[Recurring Amount]]+Table1[[#This Row],[Non Recurring Amount]]</f>
        <v>150000</v>
      </c>
      <c r="L52" s="52">
        <v>150000</v>
      </c>
      <c r="M52" s="52">
        <v>0</v>
      </c>
      <c r="N52" s="31"/>
      <c r="O52" s="31"/>
      <c r="P52" s="32">
        <f>Table1[[#This Row],[Total Amount]]*Table1[[#This Row],[Conservative Probability]]</f>
        <v>37500</v>
      </c>
      <c r="Q52" s="52"/>
      <c r="R52" s="52"/>
      <c r="S52" s="52"/>
      <c r="T52" s="52"/>
      <c r="U52" s="52"/>
      <c r="V52" s="47"/>
    </row>
    <row r="53" spans="1:22" ht="17.100000000000001">
      <c r="A53" s="48" t="s">
        <v>87</v>
      </c>
      <c r="B53" s="47" t="s">
        <v>103</v>
      </c>
      <c r="C53" s="47" t="s">
        <v>35</v>
      </c>
      <c r="D53" s="47" t="s">
        <v>50</v>
      </c>
      <c r="E53" s="50" t="s">
        <v>74</v>
      </c>
      <c r="F53" s="50" t="s">
        <v>32</v>
      </c>
      <c r="G53" s="47" t="s">
        <v>37</v>
      </c>
      <c r="H53" s="47" t="s">
        <v>69</v>
      </c>
      <c r="I53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53" s="51">
        <v>0.25</v>
      </c>
      <c r="K53" s="52">
        <f>Table1[[#This Row],[Recurring Amount]]+Table1[[#This Row],[Non Recurring Amount]]</f>
        <v>200000</v>
      </c>
      <c r="L53" s="52">
        <v>200000</v>
      </c>
      <c r="M53" s="52">
        <v>0</v>
      </c>
      <c r="N53" s="31"/>
      <c r="O53" s="31"/>
      <c r="P53" s="32">
        <f>Table1[[#This Row],[Total Amount]]*Table1[[#This Row],[Conservative Probability]]</f>
        <v>50000</v>
      </c>
      <c r="Q53" s="52"/>
      <c r="R53" s="52"/>
      <c r="S53" s="52"/>
      <c r="T53" s="52"/>
      <c r="U53" s="52"/>
      <c r="V53" s="47"/>
    </row>
    <row r="54" spans="1:22" ht="17.100000000000001">
      <c r="A54" s="48" t="s">
        <v>87</v>
      </c>
      <c r="B54" s="47" t="s">
        <v>104</v>
      </c>
      <c r="C54" s="47" t="s">
        <v>35</v>
      </c>
      <c r="D54" s="47" t="s">
        <v>50</v>
      </c>
      <c r="E54" s="47" t="s">
        <v>64</v>
      </c>
      <c r="F54" s="47" t="s">
        <v>72</v>
      </c>
      <c r="G54" s="47" t="s">
        <v>37</v>
      </c>
      <c r="H54" s="47" t="s">
        <v>69</v>
      </c>
      <c r="I54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4" s="56">
        <v>0.25</v>
      </c>
      <c r="K54" s="52">
        <f>Table1[[#This Row],[Recurring Amount]]+Table1[[#This Row],[Non Recurring Amount]]</f>
        <v>200000</v>
      </c>
      <c r="L54" s="52">
        <v>200000</v>
      </c>
      <c r="M54" s="52">
        <v>0</v>
      </c>
      <c r="N54" s="31"/>
      <c r="O54" s="31"/>
      <c r="P54" s="32">
        <f>Table1[[#This Row],[Total Amount]]*Table1[[#This Row],[Conservative Probability]]</f>
        <v>50000</v>
      </c>
      <c r="Q54" s="52"/>
      <c r="R54" s="52"/>
      <c r="S54" s="52"/>
      <c r="T54" s="52"/>
      <c r="U54" s="52"/>
      <c r="V54" s="47"/>
    </row>
    <row r="55" spans="1:22" ht="17.100000000000001">
      <c r="A55" s="48" t="s">
        <v>87</v>
      </c>
      <c r="B55" s="47" t="s">
        <v>105</v>
      </c>
      <c r="C55" s="47" t="s">
        <v>35</v>
      </c>
      <c r="D55" s="47" t="s">
        <v>50</v>
      </c>
      <c r="E55" s="50" t="s">
        <v>64</v>
      </c>
      <c r="F55" s="50" t="s">
        <v>72</v>
      </c>
      <c r="G55" s="47" t="s">
        <v>37</v>
      </c>
      <c r="H55" s="50" t="s">
        <v>38</v>
      </c>
      <c r="I55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5" s="51">
        <v>0.25</v>
      </c>
      <c r="K55" s="52">
        <f>Table1[[#This Row],[Recurring Amount]]+Table1[[#This Row],[Non Recurring Amount]]</f>
        <v>400000</v>
      </c>
      <c r="L55" s="52">
        <v>400000</v>
      </c>
      <c r="M55" s="52">
        <v>0</v>
      </c>
      <c r="N55" s="31"/>
      <c r="O55" s="31"/>
      <c r="P55" s="32">
        <f>Table1[[#This Row],[Total Amount]]*Table1[[#This Row],[Conservative Probability]]</f>
        <v>100000</v>
      </c>
      <c r="Q55" s="52"/>
      <c r="R55" s="52"/>
      <c r="S55" s="52"/>
      <c r="T55" s="52"/>
      <c r="U55" s="52"/>
      <c r="V55" s="69"/>
    </row>
    <row r="56" spans="1:22" ht="34.5" customHeight="1">
      <c r="A56" s="48" t="s">
        <v>87</v>
      </c>
      <c r="B56" s="49" t="s">
        <v>106</v>
      </c>
      <c r="C56" s="50" t="s">
        <v>24</v>
      </c>
      <c r="D56" s="62" t="s">
        <v>50</v>
      </c>
      <c r="E56" s="50" t="s">
        <v>64</v>
      </c>
      <c r="F56" s="50"/>
      <c r="G56" s="47" t="s">
        <v>27</v>
      </c>
      <c r="H56" s="50" t="s">
        <v>28</v>
      </c>
      <c r="I5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6" s="51">
        <v>0.25</v>
      </c>
      <c r="K56" s="52">
        <f>Table1[[#This Row],[Recurring Amount]]+Table1[[#This Row],[Non Recurring Amount]]</f>
        <v>150000</v>
      </c>
      <c r="L56" s="53">
        <v>150000</v>
      </c>
      <c r="M56" s="52">
        <v>0</v>
      </c>
      <c r="N56" s="31"/>
      <c r="O56" s="31"/>
      <c r="P56" s="32">
        <f>Table1[[#This Row],[Total Amount]]*Table1[[#This Row],[Conservative Probability]]</f>
        <v>37500</v>
      </c>
      <c r="Q56" s="52"/>
      <c r="R56" s="52"/>
      <c r="S56" s="52"/>
      <c r="T56" s="52"/>
      <c r="U56" s="52"/>
      <c r="V56" s="47"/>
    </row>
    <row r="57" spans="1:22" ht="17.100000000000001">
      <c r="A57" s="48" t="s">
        <v>87</v>
      </c>
      <c r="B57" s="49" t="s">
        <v>107</v>
      </c>
      <c r="C57" s="50" t="s">
        <v>24</v>
      </c>
      <c r="D57" s="62" t="s">
        <v>50</v>
      </c>
      <c r="E57" s="50" t="s">
        <v>74</v>
      </c>
      <c r="F57" s="50"/>
      <c r="G57" s="47" t="s">
        <v>27</v>
      </c>
      <c r="H57" s="50" t="s">
        <v>28</v>
      </c>
      <c r="I57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57" s="51">
        <v>0.25</v>
      </c>
      <c r="K57" s="52">
        <f>Table1[[#This Row],[Recurring Amount]]+Table1[[#This Row],[Non Recurring Amount]]</f>
        <v>75000</v>
      </c>
      <c r="L57" s="53">
        <v>75000</v>
      </c>
      <c r="M57" s="52">
        <v>0</v>
      </c>
      <c r="N57" s="31"/>
      <c r="O57" s="31"/>
      <c r="P57" s="32">
        <f>Table1[[#This Row],[Total Amount]]*Table1[[#This Row],[Conservative Probability]]</f>
        <v>18750</v>
      </c>
      <c r="Q57" s="52"/>
      <c r="R57" s="52"/>
      <c r="S57" s="52"/>
      <c r="T57" s="52"/>
      <c r="U57" s="52"/>
      <c r="V57" s="47"/>
    </row>
    <row r="58" spans="1:22" ht="17.100000000000001">
      <c r="A58" s="48" t="s">
        <v>87</v>
      </c>
      <c r="B58" s="49" t="s">
        <v>108</v>
      </c>
      <c r="C58" s="50" t="s">
        <v>24</v>
      </c>
      <c r="D58" s="62" t="s">
        <v>50</v>
      </c>
      <c r="E58" s="50" t="s">
        <v>74</v>
      </c>
      <c r="F58" s="50"/>
      <c r="G58" s="47" t="s">
        <v>109</v>
      </c>
      <c r="H58" s="50" t="s">
        <v>28</v>
      </c>
      <c r="I5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58" s="51">
        <v>0.25</v>
      </c>
      <c r="K58" s="52">
        <f>Table1[[#This Row],[Recurring Amount]]+Table1[[#This Row],[Non Recurring Amount]]</f>
        <v>200000</v>
      </c>
      <c r="L58" s="57">
        <v>200000</v>
      </c>
      <c r="M58" s="52">
        <v>0</v>
      </c>
      <c r="N58" s="31"/>
      <c r="O58" s="31"/>
      <c r="P58" s="32">
        <f>Table1[[#This Row],[Total Amount]]*Table1[[#This Row],[Conservative Probability]]</f>
        <v>50000</v>
      </c>
      <c r="Q58" s="52"/>
      <c r="R58" s="61"/>
      <c r="S58" s="61"/>
      <c r="T58" s="61"/>
      <c r="U58" s="61"/>
      <c r="V58" s="47"/>
    </row>
    <row r="59" spans="1:22" ht="17.100000000000001">
      <c r="A59" s="48" t="s">
        <v>87</v>
      </c>
      <c r="B59" s="47" t="s">
        <v>110</v>
      </c>
      <c r="C59" s="47" t="s">
        <v>35</v>
      </c>
      <c r="D59" s="47" t="s">
        <v>67</v>
      </c>
      <c r="E59" s="50" t="s">
        <v>64</v>
      </c>
      <c r="F59" s="50" t="s">
        <v>72</v>
      </c>
      <c r="G59" s="47" t="s">
        <v>37</v>
      </c>
      <c r="H59" s="47" t="s">
        <v>38</v>
      </c>
      <c r="I59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9" s="51">
        <v>0.25</v>
      </c>
      <c r="K59" s="52">
        <f>Table1[[#This Row],[Recurring Amount]]+Table1[[#This Row],[Non Recurring Amount]]</f>
        <v>200000</v>
      </c>
      <c r="L59" s="52">
        <v>200000</v>
      </c>
      <c r="M59" s="52">
        <v>0</v>
      </c>
      <c r="N59" s="31"/>
      <c r="O59" s="31"/>
      <c r="P59" s="32">
        <f>Table1[[#This Row],[Total Amount]]*Table1[[#This Row],[Conservative Probability]]</f>
        <v>50000</v>
      </c>
      <c r="Q59" s="52"/>
      <c r="R59" s="52"/>
      <c r="S59" s="52"/>
      <c r="T59" s="47"/>
      <c r="U59" s="52"/>
      <c r="V59" s="47"/>
    </row>
    <row r="60" spans="1:22" ht="17.100000000000001">
      <c r="A60" s="48" t="s">
        <v>87</v>
      </c>
      <c r="B60" s="47" t="s">
        <v>111</v>
      </c>
      <c r="C60" s="47" t="s">
        <v>35</v>
      </c>
      <c r="D60" s="47" t="s">
        <v>55</v>
      </c>
      <c r="E60" s="47" t="s">
        <v>74</v>
      </c>
      <c r="F60" s="50"/>
      <c r="G60" s="50" t="s">
        <v>37</v>
      </c>
      <c r="H60" s="47" t="s">
        <v>38</v>
      </c>
      <c r="I60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0" s="51">
        <v>0.25</v>
      </c>
      <c r="K60" s="52">
        <f>Table1[[#This Row],[Recurring Amount]]+Table1[[#This Row],[Non Recurring Amount]]</f>
        <v>30000</v>
      </c>
      <c r="L60" s="52">
        <v>0</v>
      </c>
      <c r="M60" s="52">
        <v>30000</v>
      </c>
      <c r="N60" s="31"/>
      <c r="O60" s="31"/>
      <c r="P60" s="32">
        <f>Table1[[#This Row],[Total Amount]]*Table1[[#This Row],[Conservative Probability]]</f>
        <v>7500</v>
      </c>
      <c r="Q60" s="52"/>
      <c r="R60" s="52"/>
      <c r="S60" s="52"/>
      <c r="T60" s="52"/>
      <c r="U60" s="52"/>
      <c r="V60" s="47"/>
    </row>
    <row r="61" spans="1:22" ht="17.100000000000001">
      <c r="A61" s="48" t="s">
        <v>87</v>
      </c>
      <c r="B61" s="47" t="s">
        <v>112</v>
      </c>
      <c r="C61" s="47" t="s">
        <v>35</v>
      </c>
      <c r="D61" s="47" t="s">
        <v>55</v>
      </c>
      <c r="E61" s="47" t="s">
        <v>74</v>
      </c>
      <c r="F61" s="50"/>
      <c r="G61" s="47" t="s">
        <v>37</v>
      </c>
      <c r="H61" s="50" t="s">
        <v>69</v>
      </c>
      <c r="I61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1" s="51">
        <v>0.25</v>
      </c>
      <c r="K61" s="52">
        <f>Table1[[#This Row],[Recurring Amount]]+Table1[[#This Row],[Non Recurring Amount]]</f>
        <v>25000</v>
      </c>
      <c r="L61" s="52">
        <v>0</v>
      </c>
      <c r="M61" s="52">
        <v>25000</v>
      </c>
      <c r="N61" s="31"/>
      <c r="O61" s="31"/>
      <c r="P61" s="32">
        <f>Table1[[#This Row],[Total Amount]]*Table1[[#This Row],[Conservative Probability]]</f>
        <v>6250</v>
      </c>
      <c r="Q61" s="52"/>
      <c r="R61" s="52"/>
      <c r="S61" s="52"/>
      <c r="T61" s="52"/>
      <c r="U61" s="52"/>
      <c r="V61" s="47"/>
    </row>
    <row r="62" spans="1:22" ht="17.100000000000001">
      <c r="A62" s="48" t="s">
        <v>87</v>
      </c>
      <c r="B62" s="50" t="s">
        <v>113</v>
      </c>
      <c r="C62" s="50" t="s">
        <v>24</v>
      </c>
      <c r="D62" s="50" t="s">
        <v>55</v>
      </c>
      <c r="E62" s="50" t="s">
        <v>74</v>
      </c>
      <c r="F62" s="50"/>
      <c r="G62" s="47" t="s">
        <v>37</v>
      </c>
      <c r="H62" s="50" t="s">
        <v>28</v>
      </c>
      <c r="I62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2" s="51">
        <v>0.25</v>
      </c>
      <c r="K62" s="52">
        <f>Table1[[#This Row],[Recurring Amount]]+Table1[[#This Row],[Non Recurring Amount]]</f>
        <v>30000</v>
      </c>
      <c r="L62" s="52">
        <v>0</v>
      </c>
      <c r="M62" s="61">
        <v>30000</v>
      </c>
      <c r="N62" s="31"/>
      <c r="O62" s="31"/>
      <c r="P62" s="32">
        <f>Table1[[#This Row],[Total Amount]]*Table1[[#This Row],[Conservative Probability]]</f>
        <v>7500</v>
      </c>
      <c r="Q62" s="61"/>
      <c r="R62" s="61"/>
      <c r="S62" s="61"/>
      <c r="T62" s="61"/>
      <c r="U62" s="52"/>
      <c r="V62" s="47"/>
    </row>
    <row r="63" spans="1:22" ht="17.100000000000001">
      <c r="A63" s="48" t="s">
        <v>87</v>
      </c>
      <c r="B63" s="50" t="s">
        <v>114</v>
      </c>
      <c r="C63" s="50" t="s">
        <v>24</v>
      </c>
      <c r="D63" s="50" t="s">
        <v>55</v>
      </c>
      <c r="E63" s="50" t="s">
        <v>74</v>
      </c>
      <c r="F63" s="50"/>
      <c r="G63" s="47" t="s">
        <v>37</v>
      </c>
      <c r="H63" s="50" t="s">
        <v>28</v>
      </c>
      <c r="I63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3" s="51">
        <v>0.25</v>
      </c>
      <c r="K63" s="52">
        <f>Table1[[#This Row],[Recurring Amount]]+Table1[[#This Row],[Non Recurring Amount]]</f>
        <v>30000</v>
      </c>
      <c r="L63" s="52">
        <v>0</v>
      </c>
      <c r="M63" s="61">
        <v>30000</v>
      </c>
      <c r="N63" s="31"/>
      <c r="O63" s="31"/>
      <c r="P63" s="32">
        <f>Table1[[#This Row],[Total Amount]]*Table1[[#This Row],[Conservative Probability]]</f>
        <v>7500</v>
      </c>
      <c r="Q63" s="61"/>
      <c r="R63" s="61"/>
      <c r="S63" s="61"/>
      <c r="T63" s="61"/>
      <c r="U63" s="52"/>
      <c r="V63" s="47"/>
    </row>
    <row r="64" spans="1:22" ht="17.100000000000001">
      <c r="A64" s="48" t="s">
        <v>87</v>
      </c>
      <c r="B64" s="50" t="s">
        <v>115</v>
      </c>
      <c r="C64" s="50" t="s">
        <v>24</v>
      </c>
      <c r="D64" s="50" t="s">
        <v>55</v>
      </c>
      <c r="E64" s="50" t="s">
        <v>74</v>
      </c>
      <c r="F64" s="50"/>
      <c r="G64" s="47" t="s">
        <v>37</v>
      </c>
      <c r="H64" s="50" t="s">
        <v>28</v>
      </c>
      <c r="I64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4" s="51">
        <v>0.25</v>
      </c>
      <c r="K64" s="52">
        <f>Table1[[#This Row],[Recurring Amount]]+Table1[[#This Row],[Non Recurring Amount]]</f>
        <v>30000</v>
      </c>
      <c r="L64" s="52">
        <v>0</v>
      </c>
      <c r="M64" s="61">
        <v>30000</v>
      </c>
      <c r="N64" s="31"/>
      <c r="O64" s="31"/>
      <c r="P64" s="32">
        <f>Table1[[#This Row],[Total Amount]]*Table1[[#This Row],[Conservative Probability]]</f>
        <v>7500</v>
      </c>
      <c r="Q64" s="61"/>
      <c r="R64" s="61"/>
      <c r="S64" s="61"/>
      <c r="T64" s="61"/>
      <c r="U64" s="52"/>
      <c r="V64" s="47"/>
    </row>
    <row r="65" spans="1:22" ht="17.100000000000001">
      <c r="A65" s="48" t="s">
        <v>87</v>
      </c>
      <c r="B65" s="50" t="s">
        <v>116</v>
      </c>
      <c r="C65" s="50" t="s">
        <v>24</v>
      </c>
      <c r="D65" s="50" t="s">
        <v>55</v>
      </c>
      <c r="E65" s="50" t="s">
        <v>74</v>
      </c>
      <c r="F65" s="50"/>
      <c r="G65" s="47" t="s">
        <v>37</v>
      </c>
      <c r="H65" s="50" t="s">
        <v>28</v>
      </c>
      <c r="I65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5" s="51">
        <v>0.25</v>
      </c>
      <c r="K65" s="52">
        <f>Table1[[#This Row],[Recurring Amount]]+Table1[[#This Row],[Non Recurring Amount]]</f>
        <v>30000</v>
      </c>
      <c r="L65" s="52">
        <v>0</v>
      </c>
      <c r="M65" s="61">
        <v>30000</v>
      </c>
      <c r="N65" s="31"/>
      <c r="O65" s="31"/>
      <c r="P65" s="32">
        <f>Table1[[#This Row],[Total Amount]]*Table1[[#This Row],[Conservative Probability]]</f>
        <v>7500</v>
      </c>
      <c r="Q65" s="61"/>
      <c r="R65" s="61"/>
      <c r="S65" s="61"/>
      <c r="T65" s="61"/>
      <c r="U65" s="52"/>
      <c r="V65" s="47"/>
    </row>
    <row r="66" spans="1:22" ht="39" customHeight="1">
      <c r="A66" s="48" t="s">
        <v>87</v>
      </c>
      <c r="B66" s="49" t="s">
        <v>117</v>
      </c>
      <c r="C66" s="50" t="s">
        <v>24</v>
      </c>
      <c r="D66" s="47" t="s">
        <v>55</v>
      </c>
      <c r="E66" s="47" t="s">
        <v>64</v>
      </c>
      <c r="F66" s="50"/>
      <c r="G66" s="50" t="s">
        <v>27</v>
      </c>
      <c r="H66" s="50" t="s">
        <v>28</v>
      </c>
      <c r="I6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6" s="51">
        <v>0.25</v>
      </c>
      <c r="K66" s="52">
        <f>Table1[[#This Row],[Recurring Amount]]+Table1[[#This Row],[Non Recurring Amount]]</f>
        <v>25000</v>
      </c>
      <c r="L66" s="52">
        <v>0</v>
      </c>
      <c r="M66" s="57">
        <v>25000</v>
      </c>
      <c r="N66" s="31"/>
      <c r="O66" s="31"/>
      <c r="P66" s="32">
        <f>Table1[[#This Row],[Total Amount]]*Table1[[#This Row],[Conservative Probability]]</f>
        <v>6250</v>
      </c>
      <c r="Q66" s="52"/>
      <c r="R66" s="52"/>
      <c r="S66" s="52"/>
      <c r="T66" s="52"/>
      <c r="U66" s="52"/>
      <c r="V66" s="47"/>
    </row>
    <row r="67" spans="1:22" ht="45" customHeight="1">
      <c r="A67" s="48" t="s">
        <v>87</v>
      </c>
      <c r="B67" s="49" t="s">
        <v>118</v>
      </c>
      <c r="C67" s="50" t="s">
        <v>24</v>
      </c>
      <c r="D67" s="47" t="s">
        <v>55</v>
      </c>
      <c r="E67" s="47" t="s">
        <v>64</v>
      </c>
      <c r="F67" s="50"/>
      <c r="G67" s="50" t="s">
        <v>27</v>
      </c>
      <c r="H67" s="50" t="s">
        <v>38</v>
      </c>
      <c r="I67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7" s="51">
        <v>0.25</v>
      </c>
      <c r="K67" s="52">
        <f>Table1[[#This Row],[Recurring Amount]]+Table1[[#This Row],[Non Recurring Amount]]</f>
        <v>25000</v>
      </c>
      <c r="L67" s="52">
        <v>0</v>
      </c>
      <c r="M67" s="57">
        <v>25000</v>
      </c>
      <c r="N67" s="31"/>
      <c r="O67" s="31"/>
      <c r="P67" s="32">
        <f>Table1[[#This Row],[Total Amount]]*Table1[[#This Row],[Conservative Probability]]</f>
        <v>6250</v>
      </c>
      <c r="Q67" s="52"/>
      <c r="R67" s="52"/>
      <c r="S67" s="52"/>
      <c r="T67" s="52"/>
      <c r="U67" s="52"/>
      <c r="V67" s="47"/>
    </row>
    <row r="68" spans="1:22" ht="17.100000000000001">
      <c r="A68" s="48" t="s">
        <v>87</v>
      </c>
      <c r="B68" s="49" t="s">
        <v>119</v>
      </c>
      <c r="C68" s="50" t="s">
        <v>24</v>
      </c>
      <c r="D68" s="47" t="s">
        <v>55</v>
      </c>
      <c r="E68" s="47" t="s">
        <v>64</v>
      </c>
      <c r="F68" s="50"/>
      <c r="G68" s="50" t="s">
        <v>27</v>
      </c>
      <c r="H68" s="50" t="s">
        <v>28</v>
      </c>
      <c r="I6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8" s="51">
        <v>0.25</v>
      </c>
      <c r="K68" s="52">
        <f>Table1[[#This Row],[Recurring Amount]]+Table1[[#This Row],[Non Recurring Amount]]</f>
        <v>25000</v>
      </c>
      <c r="L68" s="52">
        <v>0</v>
      </c>
      <c r="M68" s="57">
        <v>25000</v>
      </c>
      <c r="N68" s="31"/>
      <c r="O68" s="31"/>
      <c r="P68" s="32">
        <f>Table1[[#This Row],[Total Amount]]*Table1[[#This Row],[Conservative Probability]]</f>
        <v>6250</v>
      </c>
      <c r="Q68" s="52"/>
      <c r="R68" s="52"/>
      <c r="S68" s="52"/>
      <c r="T68" s="52"/>
      <c r="U68" s="52"/>
      <c r="V68" s="47"/>
    </row>
    <row r="69" spans="1:22" ht="17.100000000000001">
      <c r="A69" s="48" t="s">
        <v>87</v>
      </c>
      <c r="B69" s="49" t="s">
        <v>120</v>
      </c>
      <c r="C69" s="50" t="s">
        <v>24</v>
      </c>
      <c r="D69" s="47" t="s">
        <v>55</v>
      </c>
      <c r="E69" s="47" t="s">
        <v>64</v>
      </c>
      <c r="F69" s="50"/>
      <c r="G69" s="50" t="s">
        <v>33</v>
      </c>
      <c r="H69" s="50" t="s">
        <v>28</v>
      </c>
      <c r="I69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9" s="51">
        <v>0.25</v>
      </c>
      <c r="K69" s="52">
        <f>Table1[[#This Row],[Recurring Amount]]+Table1[[#This Row],[Non Recurring Amount]]</f>
        <v>25000</v>
      </c>
      <c r="L69" s="52">
        <v>0</v>
      </c>
      <c r="M69" s="57">
        <v>25000</v>
      </c>
      <c r="N69" s="31"/>
      <c r="O69" s="31"/>
      <c r="P69" s="32">
        <f>Table1[[#This Row],[Total Amount]]*Table1[[#This Row],[Conservative Probability]]</f>
        <v>6250</v>
      </c>
      <c r="Q69" s="52"/>
      <c r="R69" s="52"/>
      <c r="S69" s="52"/>
      <c r="T69" s="52"/>
      <c r="U69" s="52"/>
      <c r="V69" s="47"/>
    </row>
    <row r="70" spans="1:22" ht="17.100000000000001">
      <c r="A70" s="48" t="s">
        <v>87</v>
      </c>
      <c r="B70" s="49" t="s">
        <v>121</v>
      </c>
      <c r="C70" s="50" t="s">
        <v>24</v>
      </c>
      <c r="D70" s="47" t="s">
        <v>55</v>
      </c>
      <c r="E70" s="47" t="s">
        <v>74</v>
      </c>
      <c r="F70" s="50"/>
      <c r="G70" s="50" t="s">
        <v>33</v>
      </c>
      <c r="H70" s="50" t="s">
        <v>38</v>
      </c>
      <c r="I70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70" s="51">
        <v>0.25</v>
      </c>
      <c r="K70" s="52">
        <f>Table1[[#This Row],[Recurring Amount]]+Table1[[#This Row],[Non Recurring Amount]]</f>
        <v>25000</v>
      </c>
      <c r="L70" s="52">
        <v>0</v>
      </c>
      <c r="M70" s="57">
        <v>25000</v>
      </c>
      <c r="N70" s="31"/>
      <c r="O70" s="31"/>
      <c r="P70" s="32">
        <f>Table1[[#This Row],[Total Amount]]*Table1[[#This Row],[Conservative Probability]]</f>
        <v>6250</v>
      </c>
      <c r="Q70" s="52"/>
      <c r="R70" s="52"/>
      <c r="S70" s="52"/>
      <c r="T70" s="52"/>
      <c r="U70" s="52"/>
      <c r="V70" s="47"/>
    </row>
    <row r="71" spans="1:22" ht="15.95" customHeight="1">
      <c r="A71" s="48" t="s">
        <v>87</v>
      </c>
      <c r="B71" s="47" t="s">
        <v>122</v>
      </c>
      <c r="C71" s="47" t="s">
        <v>35</v>
      </c>
      <c r="D71" s="47" t="s">
        <v>50</v>
      </c>
      <c r="E71" s="47" t="s">
        <v>64</v>
      </c>
      <c r="F71" s="50" t="s">
        <v>51</v>
      </c>
      <c r="G71" s="50" t="s">
        <v>37</v>
      </c>
      <c r="H71" s="47" t="s">
        <v>38</v>
      </c>
      <c r="I71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71" s="51">
        <v>0.25</v>
      </c>
      <c r="K71" s="52">
        <f>Table1[[#This Row],[Recurring Amount]]+Table1[[#This Row],[Non Recurring Amount]]</f>
        <v>250000</v>
      </c>
      <c r="L71" s="52">
        <v>125000</v>
      </c>
      <c r="M71" s="52">
        <v>125000</v>
      </c>
      <c r="N71" s="31"/>
      <c r="O71" s="31"/>
      <c r="P71" s="32">
        <f>Table1[[#This Row],[Total Amount]]*Table1[[#This Row],[Conservative Probability]]</f>
        <v>62500</v>
      </c>
      <c r="Q71" s="52"/>
      <c r="R71" s="52"/>
      <c r="S71" s="52"/>
      <c r="T71" s="52"/>
      <c r="U71" s="52"/>
      <c r="V71" s="47"/>
    </row>
    <row r="72" spans="1:22" ht="17.100000000000001">
      <c r="A72" s="48" t="s">
        <v>87</v>
      </c>
      <c r="B72" s="47" t="s">
        <v>123</v>
      </c>
      <c r="C72" s="47" t="s">
        <v>35</v>
      </c>
      <c r="D72" s="47" t="s">
        <v>55</v>
      </c>
      <c r="E72" s="47" t="s">
        <v>74</v>
      </c>
      <c r="F72" s="50" t="s">
        <v>72</v>
      </c>
      <c r="G72" s="50" t="s">
        <v>37</v>
      </c>
      <c r="H72" s="47" t="s">
        <v>38</v>
      </c>
      <c r="I72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72" s="51">
        <f>Table1[[#This Row],[Auto Probability (by deal stage)]]</f>
        <v>0.15</v>
      </c>
      <c r="K72" s="52">
        <f>Table1[[#This Row],[Recurring Amount]]+Table1[[#This Row],[Non Recurring Amount]]</f>
        <v>30000</v>
      </c>
      <c r="L72" s="52">
        <v>0</v>
      </c>
      <c r="M72" s="52">
        <v>30000</v>
      </c>
      <c r="N72" s="31"/>
      <c r="O72" s="31"/>
      <c r="P72" s="32">
        <f>Table1[[#This Row],[Total Amount]]*Table1[[#This Row],[Conservative Probability]]</f>
        <v>4500</v>
      </c>
      <c r="Q72" s="52"/>
      <c r="R72" s="52"/>
      <c r="S72" s="52"/>
      <c r="T72" s="52"/>
      <c r="U72" s="52"/>
      <c r="V72" s="47"/>
    </row>
    <row r="73" spans="1:22" ht="15.95" customHeight="1">
      <c r="A73" s="48" t="s">
        <v>87</v>
      </c>
      <c r="B73" s="62" t="s">
        <v>124</v>
      </c>
      <c r="C73" s="62" t="s">
        <v>35</v>
      </c>
      <c r="D73" s="62" t="s">
        <v>30</v>
      </c>
      <c r="E73" s="50" t="s">
        <v>74</v>
      </c>
      <c r="F73" s="50" t="s">
        <v>51</v>
      </c>
      <c r="G73" s="47" t="s">
        <v>37</v>
      </c>
      <c r="H73" s="47" t="s">
        <v>69</v>
      </c>
      <c r="I73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73" s="51">
        <v>0.05</v>
      </c>
      <c r="K73" s="52">
        <f>Table1[[#This Row],[Recurring Amount]]+Table1[[#This Row],[Non Recurring Amount]]</f>
        <v>210000</v>
      </c>
      <c r="L73" s="52">
        <v>210000</v>
      </c>
      <c r="M73" s="52">
        <v>0</v>
      </c>
      <c r="N73" s="31"/>
      <c r="O73" s="31"/>
      <c r="P73" s="32">
        <f>Table1[[#This Row],[Total Amount]]*Table1[[#This Row],[Conservative Probability]]</f>
        <v>10500</v>
      </c>
      <c r="Q73" s="52"/>
      <c r="R73" s="52"/>
      <c r="S73" s="52"/>
      <c r="T73" s="52"/>
      <c r="U73" s="52"/>
      <c r="V73" s="47"/>
    </row>
    <row r="74" spans="1:22">
      <c r="A74" s="70"/>
      <c r="B74" s="71"/>
      <c r="C74" s="71"/>
      <c r="D74" s="71"/>
      <c r="E74" s="71"/>
      <c r="F74" s="71"/>
      <c r="G74" s="71"/>
      <c r="H74" s="71"/>
      <c r="I74" s="72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42"/>
      <c r="U74" s="45"/>
      <c r="V74" s="47"/>
    </row>
    <row r="75" spans="1:22" ht="15.95" customHeight="1">
      <c r="A75" s="73" t="s">
        <v>125</v>
      </c>
      <c r="B75" s="47" t="s">
        <v>126</v>
      </c>
      <c r="C75" s="47" t="s">
        <v>35</v>
      </c>
      <c r="D75" s="47" t="s">
        <v>25</v>
      </c>
      <c r="E75" s="50" t="s">
        <v>26</v>
      </c>
      <c r="F75" s="50" t="s">
        <v>51</v>
      </c>
      <c r="G75" s="50" t="s">
        <v>37</v>
      </c>
      <c r="H75" s="50" t="s">
        <v>28</v>
      </c>
      <c r="I75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75" s="51">
        <v>1</v>
      </c>
      <c r="K75" s="52">
        <f>Table1[[#This Row],[Recurring Amount]]+Table1[[#This Row],[Non Recurring Amount]]</f>
        <v>75000</v>
      </c>
      <c r="L75" s="53">
        <v>75000</v>
      </c>
      <c r="M75" s="52">
        <v>0</v>
      </c>
      <c r="N75" s="35"/>
      <c r="O75" s="35"/>
      <c r="P75" s="32">
        <f>Table1[[#This Row],[Total Amount]]*Table1[[#This Row],[Conservative Probability]]</f>
        <v>75000</v>
      </c>
      <c r="Q75" s="52"/>
      <c r="R75" s="52"/>
      <c r="S75" s="52"/>
      <c r="T75" s="52"/>
      <c r="U75" s="52"/>
      <c r="V75" s="47"/>
    </row>
    <row r="76" spans="1:22" ht="15.95" customHeight="1">
      <c r="A76" s="73" t="s">
        <v>125</v>
      </c>
      <c r="B76" s="47" t="s">
        <v>127</v>
      </c>
      <c r="C76" s="47" t="s">
        <v>35</v>
      </c>
      <c r="D76" s="47" t="s">
        <v>25</v>
      </c>
      <c r="E76" s="50" t="s">
        <v>26</v>
      </c>
      <c r="F76" s="50" t="s">
        <v>128</v>
      </c>
      <c r="G76" s="50" t="s">
        <v>37</v>
      </c>
      <c r="H76" s="50" t="s">
        <v>28</v>
      </c>
      <c r="I7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76" s="51">
        <v>1</v>
      </c>
      <c r="K76" s="52">
        <f>Table1[[#This Row],[Recurring Amount]]+Table1[[#This Row],[Non Recurring Amount]]</f>
        <v>50000</v>
      </c>
      <c r="L76" s="57">
        <v>50000</v>
      </c>
      <c r="M76" s="52">
        <v>0</v>
      </c>
      <c r="N76" s="35"/>
      <c r="O76" s="35"/>
      <c r="P76" s="32">
        <f>Table1[[#This Row],[Total Amount]]*Table1[[#This Row],[Conservative Probability]]</f>
        <v>50000</v>
      </c>
      <c r="Q76" s="52"/>
      <c r="R76" s="52"/>
      <c r="S76" s="52"/>
      <c r="T76" s="52"/>
      <c r="U76" s="52"/>
      <c r="V76" s="47"/>
    </row>
    <row r="77" spans="1:22" ht="17.100000000000001">
      <c r="A77" s="73" t="s">
        <v>125</v>
      </c>
      <c r="B77" s="47" t="s">
        <v>129</v>
      </c>
      <c r="C77" s="47" t="s">
        <v>35</v>
      </c>
      <c r="D77" s="47" t="s">
        <v>25</v>
      </c>
      <c r="E77" s="47" t="s">
        <v>26</v>
      </c>
      <c r="F77" s="50" t="s">
        <v>51</v>
      </c>
      <c r="G77" s="50" t="s">
        <v>37</v>
      </c>
      <c r="H77" s="50" t="s">
        <v>28</v>
      </c>
      <c r="I77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77" s="51">
        <v>1</v>
      </c>
      <c r="K77" s="52">
        <f>Table1[[#This Row],[Recurring Amount]]+Table1[[#This Row],[Non Recurring Amount]]</f>
        <v>50000</v>
      </c>
      <c r="L77" s="54">
        <v>50000</v>
      </c>
      <c r="M77" s="52">
        <v>0</v>
      </c>
      <c r="N77" s="31"/>
      <c r="O77" s="31"/>
      <c r="P77" s="32">
        <f>Table1[[#This Row],[Total Amount]]*Table1[[#This Row],[Conservative Probability]]</f>
        <v>50000</v>
      </c>
      <c r="Q77" s="52"/>
      <c r="R77" s="52"/>
      <c r="S77" s="52"/>
      <c r="T77" s="52"/>
      <c r="U77" s="52"/>
      <c r="V77" s="47"/>
    </row>
    <row r="78" spans="1:22" ht="17.100000000000001">
      <c r="A78" s="48" t="s">
        <v>125</v>
      </c>
      <c r="B78" s="47" t="s">
        <v>130</v>
      </c>
      <c r="C78" s="47" t="s">
        <v>35</v>
      </c>
      <c r="D78" s="47" t="s">
        <v>30</v>
      </c>
      <c r="E78" s="47" t="s">
        <v>64</v>
      </c>
      <c r="F78" s="50" t="s">
        <v>131</v>
      </c>
      <c r="G78" s="50" t="s">
        <v>37</v>
      </c>
      <c r="H78" s="47" t="s">
        <v>38</v>
      </c>
      <c r="I78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78" s="51">
        <v>0.35</v>
      </c>
      <c r="K78" s="52">
        <f>Table1[[#This Row],[Recurring Amount]]+Table1[[#This Row],[Non Recurring Amount]]</f>
        <v>108000</v>
      </c>
      <c r="L78" s="52">
        <v>108000</v>
      </c>
      <c r="M78" s="52">
        <v>0</v>
      </c>
      <c r="N78" s="31"/>
      <c r="O78" s="31"/>
      <c r="P78" s="32">
        <f>Table1[[#This Row],[Total Amount]]*Table1[[#This Row],[Conservative Probability]]</f>
        <v>37800</v>
      </c>
      <c r="Q78" s="52"/>
      <c r="R78" s="52"/>
      <c r="S78" s="52"/>
      <c r="T78" s="52"/>
      <c r="U78" s="52"/>
      <c r="V78" s="47"/>
    </row>
    <row r="79" spans="1:22" ht="17.100000000000001">
      <c r="A79" s="48" t="s">
        <v>125</v>
      </c>
      <c r="B79" s="47" t="s">
        <v>132</v>
      </c>
      <c r="C79" s="62" t="s">
        <v>35</v>
      </c>
      <c r="D79" s="62" t="s">
        <v>30</v>
      </c>
      <c r="E79" s="47" t="s">
        <v>58</v>
      </c>
      <c r="F79" s="50" t="s">
        <v>51</v>
      </c>
      <c r="G79" s="50" t="s">
        <v>37</v>
      </c>
      <c r="H79" s="47" t="s">
        <v>38</v>
      </c>
      <c r="I79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79" s="51">
        <v>0.35</v>
      </c>
      <c r="K79" s="52">
        <f>Table1[[#This Row],[Recurring Amount]]+Table1[[#This Row],[Non Recurring Amount]]</f>
        <v>48500</v>
      </c>
      <c r="L79" s="52">
        <v>48500</v>
      </c>
      <c r="M79" s="52">
        <v>0</v>
      </c>
      <c r="N79" s="31"/>
      <c r="O79" s="31"/>
      <c r="P79" s="32">
        <f>Table1[[#This Row],[Total Amount]]*Table1[[#This Row],[Conservative Probability]]</f>
        <v>16975</v>
      </c>
      <c r="Q79" s="52"/>
      <c r="R79" s="52"/>
      <c r="S79" s="52"/>
      <c r="T79" s="52"/>
      <c r="U79" s="52"/>
      <c r="V79" s="47"/>
    </row>
    <row r="80" spans="1:22" ht="17.100000000000001">
      <c r="A80" s="73" t="s">
        <v>125</v>
      </c>
      <c r="B80" s="47" t="s">
        <v>133</v>
      </c>
      <c r="C80" s="62" t="s">
        <v>35</v>
      </c>
      <c r="D80" s="62" t="s">
        <v>30</v>
      </c>
      <c r="E80" s="50" t="s">
        <v>74</v>
      </c>
      <c r="F80" s="50" t="s">
        <v>51</v>
      </c>
      <c r="G80" s="50" t="s">
        <v>37</v>
      </c>
      <c r="H80" s="47" t="s">
        <v>38</v>
      </c>
      <c r="I80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0" s="51">
        <v>0.25</v>
      </c>
      <c r="K80" s="52">
        <f>Table1[[#This Row],[Recurring Amount]]+Table1[[#This Row],[Non Recurring Amount]]</f>
        <v>250000</v>
      </c>
      <c r="L80" s="52">
        <v>250000</v>
      </c>
      <c r="M80" s="52">
        <v>0</v>
      </c>
      <c r="N80" s="31"/>
      <c r="O80" s="31"/>
      <c r="P80" s="32">
        <f>Table1[[#This Row],[Total Amount]]*Table1[[#This Row],[Conservative Probability]]</f>
        <v>62500</v>
      </c>
      <c r="Q80" s="52"/>
      <c r="R80" s="52"/>
      <c r="S80" s="52"/>
      <c r="T80" s="52"/>
      <c r="U80" s="52"/>
      <c r="V80" s="47"/>
    </row>
    <row r="81" spans="1:22" ht="17.100000000000001">
      <c r="A81" s="73" t="s">
        <v>125</v>
      </c>
      <c r="B81" s="47" t="s">
        <v>134</v>
      </c>
      <c r="C81" s="62" t="s">
        <v>35</v>
      </c>
      <c r="D81" s="62" t="s">
        <v>40</v>
      </c>
      <c r="E81" s="50" t="s">
        <v>74</v>
      </c>
      <c r="F81" s="50"/>
      <c r="G81" s="50"/>
      <c r="H81" s="47"/>
      <c r="I81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1" s="51">
        <v>0.25</v>
      </c>
      <c r="K81" s="52">
        <f>Table1[[#This Row],[Recurring Amount]]+Table1[[#This Row],[Non Recurring Amount]]</f>
        <v>75000</v>
      </c>
      <c r="L81" s="52">
        <v>75000</v>
      </c>
      <c r="M81" s="52">
        <v>0</v>
      </c>
      <c r="N81" s="31"/>
      <c r="O81" s="31"/>
      <c r="P81" s="32">
        <f>Table1[[#This Row],[Total Amount]]*Table1[[#This Row],[Conservative Probability]]</f>
        <v>18750</v>
      </c>
      <c r="Q81" s="52"/>
      <c r="R81" s="52"/>
      <c r="S81" s="52"/>
      <c r="T81" s="52"/>
      <c r="U81" s="52"/>
      <c r="V81" s="47"/>
    </row>
    <row r="82" spans="1:22" ht="17.100000000000001">
      <c r="A82" s="64" t="s">
        <v>125</v>
      </c>
      <c r="B82" s="49" t="s">
        <v>135</v>
      </c>
      <c r="C82" s="50" t="s">
        <v>24</v>
      </c>
      <c r="D82" s="65" t="s">
        <v>40</v>
      </c>
      <c r="E82" s="66" t="s">
        <v>64</v>
      </c>
      <c r="F82" s="66"/>
      <c r="G82" s="66" t="s">
        <v>27</v>
      </c>
      <c r="H82" s="50" t="s">
        <v>28</v>
      </c>
      <c r="I82" s="67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82" s="67">
        <v>0.25</v>
      </c>
      <c r="K82" s="52">
        <f>Table1[[#This Row],[Recurring Amount]]+Table1[[#This Row],[Non Recurring Amount]]</f>
        <v>250000</v>
      </c>
      <c r="L82" s="57">
        <v>250000</v>
      </c>
      <c r="M82" s="52">
        <v>0</v>
      </c>
      <c r="N82" s="33"/>
      <c r="O82" s="33"/>
      <c r="P82" s="34">
        <f>Table1[[#This Row],[Total Amount]]*Table1[[#This Row],[Conservative Probability]]</f>
        <v>62500</v>
      </c>
      <c r="Q82" s="68"/>
      <c r="R82" s="68"/>
      <c r="S82" s="68"/>
      <c r="T82" s="68"/>
      <c r="U82" s="68"/>
      <c r="V82" s="65"/>
    </row>
    <row r="83" spans="1:22" ht="15" customHeight="1">
      <c r="A83" s="48" t="s">
        <v>125</v>
      </c>
      <c r="B83" s="47" t="s">
        <v>136</v>
      </c>
      <c r="C83" s="47" t="s">
        <v>35</v>
      </c>
      <c r="D83" s="47" t="s">
        <v>50</v>
      </c>
      <c r="E83" s="47" t="s">
        <v>74</v>
      </c>
      <c r="F83" s="50" t="s">
        <v>68</v>
      </c>
      <c r="G83" s="50" t="s">
        <v>37</v>
      </c>
      <c r="H83" s="47" t="s">
        <v>69</v>
      </c>
      <c r="I83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3" s="51">
        <v>0.25</v>
      </c>
      <c r="K83" s="52">
        <f>Table1[[#This Row],[Recurring Amount]]+Table1[[#This Row],[Non Recurring Amount]]</f>
        <v>500000</v>
      </c>
      <c r="L83" s="52">
        <v>500000</v>
      </c>
      <c r="M83" s="52">
        <v>0</v>
      </c>
      <c r="N83" s="31"/>
      <c r="O83" s="31"/>
      <c r="P83" s="32">
        <f>Table1[[#This Row],[Total Amount]]*Table1[[#This Row],[Conservative Probability]]</f>
        <v>125000</v>
      </c>
      <c r="Q83" s="52"/>
      <c r="R83" s="52"/>
      <c r="S83" s="52"/>
      <c r="T83" s="52"/>
      <c r="U83" s="52"/>
      <c r="V83" s="47"/>
    </row>
    <row r="84" spans="1:22" ht="17.100000000000001">
      <c r="A84" s="48" t="s">
        <v>125</v>
      </c>
      <c r="B84" s="47" t="s">
        <v>137</v>
      </c>
      <c r="C84" s="47" t="s">
        <v>35</v>
      </c>
      <c r="D84" s="47" t="s">
        <v>50</v>
      </c>
      <c r="E84" s="47" t="s">
        <v>74</v>
      </c>
      <c r="F84" s="50" t="s">
        <v>72</v>
      </c>
      <c r="G84" s="50" t="s">
        <v>37</v>
      </c>
      <c r="H84" s="47" t="s">
        <v>38</v>
      </c>
      <c r="I84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4" s="51">
        <v>0.25</v>
      </c>
      <c r="K84" s="52">
        <f>Table1[[#This Row],[Recurring Amount]]+Table1[[#This Row],[Non Recurring Amount]]</f>
        <v>150000</v>
      </c>
      <c r="L84" s="54">
        <v>150000</v>
      </c>
      <c r="M84" s="52">
        <v>0</v>
      </c>
      <c r="N84" s="31"/>
      <c r="O84" s="31"/>
      <c r="P84" s="32">
        <f>Table1[[#This Row],[Total Amount]]*Table1[[#This Row],[Conservative Probability]]</f>
        <v>37500</v>
      </c>
      <c r="Q84" s="52"/>
      <c r="R84" s="52"/>
      <c r="S84" s="52"/>
      <c r="T84" s="52"/>
      <c r="U84" s="52"/>
      <c r="V84" s="47"/>
    </row>
    <row r="85" spans="1:22" ht="17.100000000000001">
      <c r="A85" s="48" t="s">
        <v>125</v>
      </c>
      <c r="B85" s="47" t="s">
        <v>138</v>
      </c>
      <c r="C85" s="47" t="s">
        <v>35</v>
      </c>
      <c r="D85" s="47" t="s">
        <v>50</v>
      </c>
      <c r="E85" s="50" t="s">
        <v>74</v>
      </c>
      <c r="F85" s="50" t="s">
        <v>72</v>
      </c>
      <c r="G85" s="47" t="s">
        <v>37</v>
      </c>
      <c r="H85" s="50" t="s">
        <v>38</v>
      </c>
      <c r="I85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5" s="51">
        <v>0.25</v>
      </c>
      <c r="K85" s="52">
        <f>Table1[[#This Row],[Recurring Amount]]+Table1[[#This Row],[Non Recurring Amount]]</f>
        <v>250000</v>
      </c>
      <c r="L85" s="61">
        <v>250000</v>
      </c>
      <c r="M85" s="52">
        <v>0</v>
      </c>
      <c r="N85" s="31"/>
      <c r="O85" s="31"/>
      <c r="P85" s="32">
        <f>Table1[[#This Row],[Total Amount]]*Table1[[#This Row],[Conservative Probability]]</f>
        <v>62500</v>
      </c>
      <c r="Q85" s="52"/>
      <c r="R85" s="52"/>
      <c r="S85" s="52"/>
      <c r="T85" s="52"/>
      <c r="U85" s="52"/>
      <c r="V85" s="47"/>
    </row>
    <row r="86" spans="1:22" ht="17.100000000000001">
      <c r="A86" s="73" t="s">
        <v>125</v>
      </c>
      <c r="B86" s="47" t="s">
        <v>139</v>
      </c>
      <c r="C86" s="47" t="s">
        <v>35</v>
      </c>
      <c r="D86" s="47" t="s">
        <v>50</v>
      </c>
      <c r="E86" s="50" t="s">
        <v>74</v>
      </c>
      <c r="F86" s="50" t="s">
        <v>72</v>
      </c>
      <c r="G86" s="47" t="s">
        <v>37</v>
      </c>
      <c r="H86" s="47" t="s">
        <v>38</v>
      </c>
      <c r="I86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6" s="56">
        <v>0.25</v>
      </c>
      <c r="K86" s="52">
        <f>Table1[[#This Row],[Recurring Amount]]+Table1[[#This Row],[Non Recurring Amount]]</f>
        <v>200000</v>
      </c>
      <c r="L86" s="52">
        <v>200000</v>
      </c>
      <c r="M86" s="52">
        <v>0</v>
      </c>
      <c r="N86" s="31"/>
      <c r="O86" s="31"/>
      <c r="P86" s="32">
        <f>Table1[[#This Row],[Total Amount]]*Table1[[#This Row],[Conservative Probability]]</f>
        <v>50000</v>
      </c>
      <c r="Q86" s="52"/>
      <c r="R86" s="52"/>
      <c r="S86" s="52"/>
      <c r="T86" s="52"/>
      <c r="U86" s="52"/>
      <c r="V86" s="47"/>
    </row>
    <row r="87" spans="1:22" ht="17.100000000000001">
      <c r="A87" s="73" t="s">
        <v>125</v>
      </c>
      <c r="B87" s="47" t="s">
        <v>140</v>
      </c>
      <c r="C87" s="62" t="s">
        <v>35</v>
      </c>
      <c r="D87" s="62" t="s">
        <v>50</v>
      </c>
      <c r="E87" s="50" t="s">
        <v>74</v>
      </c>
      <c r="F87" s="50" t="s">
        <v>72</v>
      </c>
      <c r="G87" s="50" t="s">
        <v>37</v>
      </c>
      <c r="H87" s="47" t="s">
        <v>38</v>
      </c>
      <c r="I87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7" s="51">
        <v>0.25</v>
      </c>
      <c r="K87" s="52">
        <f>Table1[[#This Row],[Recurring Amount]]+Table1[[#This Row],[Non Recurring Amount]]</f>
        <v>250000</v>
      </c>
      <c r="L87" s="52">
        <v>250000</v>
      </c>
      <c r="M87" s="52">
        <v>0</v>
      </c>
      <c r="N87" s="31"/>
      <c r="O87" s="31"/>
      <c r="P87" s="32">
        <f>Table1[[#This Row],[Total Amount]]*Table1[[#This Row],[Conservative Probability]]</f>
        <v>62500</v>
      </c>
      <c r="Q87" s="52"/>
      <c r="R87" s="52"/>
      <c r="S87" s="52"/>
      <c r="T87" s="52"/>
      <c r="U87" s="52"/>
      <c r="V87" s="47"/>
    </row>
    <row r="88" spans="1:22" ht="17.100000000000001">
      <c r="A88" s="73" t="s">
        <v>125</v>
      </c>
      <c r="B88" s="50" t="s">
        <v>141</v>
      </c>
      <c r="C88" s="50" t="s">
        <v>24</v>
      </c>
      <c r="D88" s="62" t="s">
        <v>50</v>
      </c>
      <c r="E88" s="50" t="s">
        <v>74</v>
      </c>
      <c r="F88" s="50"/>
      <c r="G88" s="50" t="s">
        <v>37</v>
      </c>
      <c r="H88" s="50" t="s">
        <v>28</v>
      </c>
      <c r="I8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8" s="51">
        <v>0.25</v>
      </c>
      <c r="K88" s="52">
        <f>Table1[[#This Row],[Recurring Amount]]+Table1[[#This Row],[Non Recurring Amount]]</f>
        <v>100000</v>
      </c>
      <c r="L88" s="53">
        <v>100000</v>
      </c>
      <c r="M88" s="52">
        <v>0</v>
      </c>
      <c r="N88" s="31"/>
      <c r="O88" s="31"/>
      <c r="P88" s="32">
        <f>Table1[[#This Row],[Total Amount]]*Table1[[#This Row],[Conservative Probability]]</f>
        <v>25000</v>
      </c>
      <c r="Q88" s="52"/>
      <c r="R88" s="52"/>
      <c r="S88" s="52"/>
      <c r="T88" s="52"/>
      <c r="U88" s="52"/>
      <c r="V88" s="47"/>
    </row>
    <row r="89" spans="1:22" ht="17.100000000000001">
      <c r="A89" s="73" t="s">
        <v>125</v>
      </c>
      <c r="B89" s="49" t="s">
        <v>142</v>
      </c>
      <c r="C89" s="50" t="s">
        <v>24</v>
      </c>
      <c r="D89" s="62" t="s">
        <v>50</v>
      </c>
      <c r="E89" s="50" t="s">
        <v>64</v>
      </c>
      <c r="F89" s="50"/>
      <c r="G89" s="47" t="s">
        <v>27</v>
      </c>
      <c r="H89" s="50" t="s">
        <v>28</v>
      </c>
      <c r="I89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89" s="51">
        <v>0.25</v>
      </c>
      <c r="K89" s="52">
        <f>Table1[[#This Row],[Recurring Amount]]+Table1[[#This Row],[Non Recurring Amount]]</f>
        <v>75000</v>
      </c>
      <c r="L89" s="53">
        <v>75000</v>
      </c>
      <c r="M89" s="52">
        <v>0</v>
      </c>
      <c r="N89" s="31"/>
      <c r="O89" s="31"/>
      <c r="P89" s="32">
        <f>Table1[[#This Row],[Total Amount]]*Table1[[#This Row],[Conservative Probability]]</f>
        <v>18750</v>
      </c>
      <c r="Q89" s="52"/>
      <c r="R89" s="52"/>
      <c r="S89" s="52"/>
      <c r="T89" s="52"/>
      <c r="U89" s="52"/>
      <c r="V89" s="47"/>
    </row>
    <row r="90" spans="1:22" ht="35.25" customHeight="1">
      <c r="A90" s="73" t="s">
        <v>125</v>
      </c>
      <c r="B90" s="49" t="s">
        <v>143</v>
      </c>
      <c r="C90" s="50" t="s">
        <v>24</v>
      </c>
      <c r="D90" s="62" t="s">
        <v>50</v>
      </c>
      <c r="E90" s="50" t="s">
        <v>64</v>
      </c>
      <c r="F90" s="50"/>
      <c r="G90" s="47" t="s">
        <v>27</v>
      </c>
      <c r="H90" s="50" t="s">
        <v>28</v>
      </c>
      <c r="I90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0" s="51">
        <v>0.25</v>
      </c>
      <c r="K90" s="52">
        <f>Table1[[#This Row],[Recurring Amount]]+Table1[[#This Row],[Non Recurring Amount]]</f>
        <v>200000</v>
      </c>
      <c r="L90" s="53">
        <v>200000</v>
      </c>
      <c r="M90" s="52">
        <v>0</v>
      </c>
      <c r="N90" s="31"/>
      <c r="O90" s="31"/>
      <c r="P90" s="32">
        <f>Table1[[#This Row],[Total Amount]]*Table1[[#This Row],[Conservative Probability]]</f>
        <v>50000</v>
      </c>
      <c r="Q90" s="52"/>
      <c r="R90" s="52"/>
      <c r="S90" s="52"/>
      <c r="T90" s="52"/>
      <c r="U90" s="52"/>
      <c r="V90" s="47"/>
    </row>
    <row r="91" spans="1:22" ht="36" customHeight="1">
      <c r="A91" s="73" t="s">
        <v>125</v>
      </c>
      <c r="B91" s="49" t="s">
        <v>144</v>
      </c>
      <c r="C91" s="50" t="s">
        <v>24</v>
      </c>
      <c r="D91" s="62" t="s">
        <v>50</v>
      </c>
      <c r="E91" s="50" t="s">
        <v>64</v>
      </c>
      <c r="F91" s="50"/>
      <c r="G91" s="47" t="s">
        <v>27</v>
      </c>
      <c r="H91" s="50" t="s">
        <v>28</v>
      </c>
      <c r="I91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1" s="51">
        <v>0.25</v>
      </c>
      <c r="K91" s="52">
        <f>Table1[[#This Row],[Recurring Amount]]+Table1[[#This Row],[Non Recurring Amount]]</f>
        <v>200000</v>
      </c>
      <c r="L91" s="53">
        <v>200000</v>
      </c>
      <c r="M91" s="52">
        <v>0</v>
      </c>
      <c r="N91" s="31"/>
      <c r="O91" s="31"/>
      <c r="P91" s="32">
        <f>Table1[[#This Row],[Total Amount]]*Table1[[#This Row],[Conservative Probability]]</f>
        <v>50000</v>
      </c>
      <c r="Q91" s="52"/>
      <c r="R91" s="52"/>
      <c r="S91" s="52"/>
      <c r="T91" s="52"/>
      <c r="U91" s="52"/>
      <c r="V91" s="47"/>
    </row>
    <row r="92" spans="1:22" ht="17.100000000000001">
      <c r="A92" s="73" t="s">
        <v>125</v>
      </c>
      <c r="B92" s="47" t="s">
        <v>145</v>
      </c>
      <c r="C92" s="47" t="s">
        <v>24</v>
      </c>
      <c r="D92" s="47" t="s">
        <v>50</v>
      </c>
      <c r="E92" s="50" t="s">
        <v>64</v>
      </c>
      <c r="F92" s="50"/>
      <c r="G92" s="47" t="s">
        <v>27</v>
      </c>
      <c r="H92" s="50" t="s">
        <v>28</v>
      </c>
      <c r="I92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2" s="51">
        <v>0.25</v>
      </c>
      <c r="K92" s="52">
        <f>Table1[[#This Row],[Recurring Amount]]+Table1[[#This Row],[Non Recurring Amount]]</f>
        <v>750000</v>
      </c>
      <c r="L92" s="54">
        <v>750000</v>
      </c>
      <c r="M92" s="52">
        <v>0</v>
      </c>
      <c r="N92" s="31"/>
      <c r="O92" s="31"/>
      <c r="P92" s="32">
        <f>Table1[[#This Row],[Total Amount]]*Table1[[#This Row],[Conservative Probability]]</f>
        <v>187500</v>
      </c>
      <c r="Q92" s="52"/>
      <c r="R92" s="52"/>
      <c r="S92" s="52"/>
      <c r="T92" s="52"/>
      <c r="U92" s="52"/>
      <c r="V92" s="47"/>
    </row>
    <row r="93" spans="1:22" ht="17.100000000000001">
      <c r="A93" s="73" t="s">
        <v>125</v>
      </c>
      <c r="B93" s="47" t="s">
        <v>146</v>
      </c>
      <c r="C93" s="50" t="s">
        <v>24</v>
      </c>
      <c r="D93" s="50" t="s">
        <v>50</v>
      </c>
      <c r="E93" s="50" t="s">
        <v>64</v>
      </c>
      <c r="F93" s="50"/>
      <c r="G93" s="47" t="s">
        <v>109</v>
      </c>
      <c r="H93" s="50" t="s">
        <v>38</v>
      </c>
      <c r="I93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3" s="51">
        <v>0.25</v>
      </c>
      <c r="K93" s="52">
        <f>Table1[[#This Row],[Recurring Amount]]+Table1[[#This Row],[Non Recurring Amount]]</f>
        <v>200000</v>
      </c>
      <c r="L93" s="57">
        <v>200000</v>
      </c>
      <c r="M93" s="52">
        <v>0</v>
      </c>
      <c r="N93" s="31"/>
      <c r="O93" s="31"/>
      <c r="P93" s="32">
        <f>Table1[[#This Row],[Total Amount]]*Table1[[#This Row],[Conservative Probability]]</f>
        <v>50000</v>
      </c>
      <c r="Q93" s="52"/>
      <c r="R93" s="52"/>
      <c r="S93" s="52"/>
      <c r="T93" s="52"/>
      <c r="U93" s="52"/>
      <c r="V93" s="47"/>
    </row>
    <row r="94" spans="1:22" ht="17.100000000000001">
      <c r="A94" s="73" t="s">
        <v>125</v>
      </c>
      <c r="B94" s="47" t="s">
        <v>147</v>
      </c>
      <c r="C94" s="50" t="s">
        <v>24</v>
      </c>
      <c r="D94" s="50" t="s">
        <v>50</v>
      </c>
      <c r="E94" s="50" t="s">
        <v>64</v>
      </c>
      <c r="F94" s="50"/>
      <c r="G94" s="47" t="s">
        <v>109</v>
      </c>
      <c r="H94" s="50" t="s">
        <v>38</v>
      </c>
      <c r="I94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4" s="51">
        <v>0.25</v>
      </c>
      <c r="K94" s="52">
        <f>Table1[[#This Row],[Recurring Amount]]+Table1[[#This Row],[Non Recurring Amount]]</f>
        <v>200000</v>
      </c>
      <c r="L94" s="57">
        <v>200000</v>
      </c>
      <c r="M94" s="52">
        <v>0</v>
      </c>
      <c r="N94" s="31"/>
      <c r="O94" s="31"/>
      <c r="P94" s="32">
        <f>Table1[[#This Row],[Total Amount]]*Table1[[#This Row],[Conservative Probability]]</f>
        <v>50000</v>
      </c>
      <c r="Q94" s="52"/>
      <c r="R94" s="52"/>
      <c r="S94" s="52"/>
      <c r="T94" s="52"/>
      <c r="U94" s="52"/>
      <c r="V94" s="47"/>
    </row>
    <row r="95" spans="1:22" ht="17.100000000000001">
      <c r="A95" s="73" t="s">
        <v>125</v>
      </c>
      <c r="B95" s="49" t="s">
        <v>148</v>
      </c>
      <c r="C95" s="50" t="s">
        <v>24</v>
      </c>
      <c r="D95" s="47" t="s">
        <v>55</v>
      </c>
      <c r="E95" s="50" t="s">
        <v>64</v>
      </c>
      <c r="F95" s="50"/>
      <c r="G95" s="50" t="s">
        <v>27</v>
      </c>
      <c r="H95" s="50" t="s">
        <v>28</v>
      </c>
      <c r="I95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5" s="51">
        <v>0.25</v>
      </c>
      <c r="K95" s="52">
        <f>Table1[[#This Row],[Recurring Amount]]+Table1[[#This Row],[Non Recurring Amount]]</f>
        <v>25000</v>
      </c>
      <c r="L95" s="52">
        <v>0</v>
      </c>
      <c r="M95" s="57">
        <v>25000</v>
      </c>
      <c r="N95" s="31"/>
      <c r="O95" s="31"/>
      <c r="P95" s="32">
        <f>Table1[[#This Row],[Total Amount]]*Table1[[#This Row],[Conservative Probability]]</f>
        <v>6250</v>
      </c>
      <c r="Q95" s="52"/>
      <c r="R95" s="52"/>
      <c r="S95" s="52"/>
      <c r="T95" s="52"/>
      <c r="U95" s="52"/>
      <c r="V95" s="47"/>
    </row>
    <row r="96" spans="1:22" ht="36.75" customHeight="1">
      <c r="A96" s="73" t="s">
        <v>125</v>
      </c>
      <c r="B96" s="49" t="s">
        <v>149</v>
      </c>
      <c r="C96" s="50" t="s">
        <v>24</v>
      </c>
      <c r="D96" s="47" t="s">
        <v>55</v>
      </c>
      <c r="E96" s="50" t="s">
        <v>64</v>
      </c>
      <c r="F96" s="50"/>
      <c r="G96" s="50" t="s">
        <v>27</v>
      </c>
      <c r="H96" s="50" t="s">
        <v>28</v>
      </c>
      <c r="I9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6" s="51">
        <v>0.25</v>
      </c>
      <c r="K96" s="52">
        <f>Table1[[#This Row],[Recurring Amount]]+Table1[[#This Row],[Non Recurring Amount]]</f>
        <v>25000</v>
      </c>
      <c r="L96" s="52">
        <v>0</v>
      </c>
      <c r="M96" s="57">
        <v>25000</v>
      </c>
      <c r="N96" s="31"/>
      <c r="O96" s="31"/>
      <c r="P96" s="32">
        <f>Table1[[#This Row],[Total Amount]]*Table1[[#This Row],[Conservative Probability]]</f>
        <v>6250</v>
      </c>
      <c r="Q96" s="52"/>
      <c r="R96" s="52"/>
      <c r="S96" s="52"/>
      <c r="T96" s="52"/>
      <c r="U96" s="52"/>
      <c r="V96" s="47"/>
    </row>
    <row r="97" spans="1:22" ht="27.75" customHeight="1">
      <c r="A97" s="73" t="s">
        <v>125</v>
      </c>
      <c r="B97" s="49" t="s">
        <v>150</v>
      </c>
      <c r="C97" s="50" t="s">
        <v>24</v>
      </c>
      <c r="D97" s="47" t="s">
        <v>55</v>
      </c>
      <c r="E97" s="50" t="s">
        <v>64</v>
      </c>
      <c r="F97" s="50"/>
      <c r="G97" s="50" t="s">
        <v>27</v>
      </c>
      <c r="H97" s="50" t="s">
        <v>28</v>
      </c>
      <c r="I97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7" s="51">
        <v>0.25</v>
      </c>
      <c r="K97" s="52">
        <f>Table1[[#This Row],[Recurring Amount]]+Table1[[#This Row],[Non Recurring Amount]]</f>
        <v>25000</v>
      </c>
      <c r="L97" s="52">
        <v>0</v>
      </c>
      <c r="M97" s="57">
        <v>25000</v>
      </c>
      <c r="N97" s="31"/>
      <c r="O97" s="31"/>
      <c r="P97" s="32">
        <f>Table1[[#This Row],[Total Amount]]*Table1[[#This Row],[Conservative Probability]]</f>
        <v>6250</v>
      </c>
      <c r="Q97" s="52"/>
      <c r="R97" s="52"/>
      <c r="S97" s="52"/>
      <c r="T97" s="52"/>
      <c r="U97" s="52"/>
      <c r="V97" s="47"/>
    </row>
    <row r="98" spans="1:22" ht="17.100000000000001">
      <c r="A98" s="73" t="s">
        <v>125</v>
      </c>
      <c r="B98" s="49" t="s">
        <v>151</v>
      </c>
      <c r="C98" s="50" t="s">
        <v>24</v>
      </c>
      <c r="D98" s="47" t="s">
        <v>55</v>
      </c>
      <c r="E98" s="50" t="s">
        <v>64</v>
      </c>
      <c r="F98" s="50"/>
      <c r="G98" s="50" t="s">
        <v>33</v>
      </c>
      <c r="H98" s="50" t="s">
        <v>28</v>
      </c>
      <c r="I9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8" s="51">
        <v>0.25</v>
      </c>
      <c r="K98" s="52">
        <f>Table1[[#This Row],[Recurring Amount]]+Table1[[#This Row],[Non Recurring Amount]]</f>
        <v>25000</v>
      </c>
      <c r="L98" s="52">
        <v>0</v>
      </c>
      <c r="M98" s="57">
        <v>25000</v>
      </c>
      <c r="N98" s="31"/>
      <c r="O98" s="31"/>
      <c r="P98" s="32">
        <f>Table1[[#This Row],[Total Amount]]*Table1[[#This Row],[Conservative Probability]]</f>
        <v>6250</v>
      </c>
      <c r="Q98" s="52"/>
      <c r="R98" s="52"/>
      <c r="S98" s="52"/>
      <c r="T98" s="52"/>
      <c r="U98" s="52"/>
      <c r="V98" s="47"/>
    </row>
    <row r="99" spans="1:22" ht="17.100000000000001">
      <c r="A99" s="73" t="s">
        <v>125</v>
      </c>
      <c r="B99" s="49" t="s">
        <v>152</v>
      </c>
      <c r="C99" s="50" t="s">
        <v>24</v>
      </c>
      <c r="D99" s="47" t="s">
        <v>55</v>
      </c>
      <c r="E99" s="50" t="s">
        <v>64</v>
      </c>
      <c r="F99" s="50"/>
      <c r="G99" s="50" t="s">
        <v>33</v>
      </c>
      <c r="H99" s="50" t="s">
        <v>38</v>
      </c>
      <c r="I99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9" s="51">
        <v>0.25</v>
      </c>
      <c r="K99" s="52">
        <f>Table1[[#This Row],[Recurring Amount]]+Table1[[#This Row],[Non Recurring Amount]]</f>
        <v>25000</v>
      </c>
      <c r="L99" s="52">
        <v>0</v>
      </c>
      <c r="M99" s="57">
        <v>25000</v>
      </c>
      <c r="N99" s="31"/>
      <c r="O99" s="31"/>
      <c r="P99" s="32">
        <f>Table1[[#This Row],[Total Amount]]*Table1[[#This Row],[Conservative Probability]]</f>
        <v>6250</v>
      </c>
      <c r="Q99" s="52"/>
      <c r="R99" s="52"/>
      <c r="S99" s="52"/>
      <c r="T99" s="52"/>
      <c r="U99" s="52"/>
      <c r="V99" s="47"/>
    </row>
    <row r="100" spans="1:22" ht="15.95" customHeight="1">
      <c r="A100" s="48" t="s">
        <v>125</v>
      </c>
      <c r="B100" s="47" t="s">
        <v>153</v>
      </c>
      <c r="C100" s="47" t="s">
        <v>35</v>
      </c>
      <c r="D100" s="47" t="s">
        <v>50</v>
      </c>
      <c r="E100" s="50" t="s">
        <v>64</v>
      </c>
      <c r="F100" s="50" t="s">
        <v>68</v>
      </c>
      <c r="G100" s="50" t="s">
        <v>37</v>
      </c>
      <c r="H100" s="47" t="s">
        <v>38</v>
      </c>
      <c r="I100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00" s="51">
        <v>0.25</v>
      </c>
      <c r="K100" s="52">
        <f>Table1[[#This Row],[Recurring Amount]]+Table1[[#This Row],[Non Recurring Amount]]</f>
        <v>200000</v>
      </c>
      <c r="L100" s="52">
        <v>200000</v>
      </c>
      <c r="M100" s="52">
        <v>0</v>
      </c>
      <c r="N100" s="31"/>
      <c r="O100" s="31"/>
      <c r="P100" s="32">
        <f>Table1[[#This Row],[Total Amount]]*Table1[[#This Row],[Conservative Probability]]</f>
        <v>50000</v>
      </c>
      <c r="Q100" s="52"/>
      <c r="R100" s="52"/>
      <c r="S100" s="52"/>
      <c r="T100" s="52"/>
      <c r="U100" s="52"/>
      <c r="V100" s="47"/>
    </row>
    <row r="101" spans="1:22" ht="17.100000000000001">
      <c r="A101" s="73" t="s">
        <v>125</v>
      </c>
      <c r="B101" s="62" t="s">
        <v>154</v>
      </c>
      <c r="C101" s="62" t="s">
        <v>35</v>
      </c>
      <c r="D101" s="62" t="s">
        <v>50</v>
      </c>
      <c r="E101" s="47" t="s">
        <v>74</v>
      </c>
      <c r="F101" s="50" t="s">
        <v>72</v>
      </c>
      <c r="G101" s="47" t="s">
        <v>37</v>
      </c>
      <c r="H101" s="47" t="s">
        <v>38</v>
      </c>
      <c r="I101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1" s="51">
        <v>0.25</v>
      </c>
      <c r="K101" s="52">
        <f>Table1[[#This Row],[Recurring Amount]]+Table1[[#This Row],[Non Recurring Amount]]</f>
        <v>400000</v>
      </c>
      <c r="L101" s="52">
        <v>400000</v>
      </c>
      <c r="M101" s="52">
        <v>0</v>
      </c>
      <c r="N101" s="31"/>
      <c r="O101" s="31"/>
      <c r="P101" s="52">
        <f>Table1[[#This Row],[Total Amount]]*Table1[[#This Row],[Conservative Probability]]</f>
        <v>100000</v>
      </c>
      <c r="Q101" s="52"/>
      <c r="R101" s="52"/>
      <c r="S101" s="52"/>
      <c r="T101" s="47"/>
      <c r="U101" s="52"/>
      <c r="V101" s="47"/>
    </row>
    <row r="102" spans="1:22" ht="17.100000000000001">
      <c r="A102" s="48" t="s">
        <v>125</v>
      </c>
      <c r="B102" s="47" t="s">
        <v>155</v>
      </c>
      <c r="C102" s="47" t="s">
        <v>35</v>
      </c>
      <c r="D102" s="47" t="s">
        <v>50</v>
      </c>
      <c r="E102" s="47" t="s">
        <v>74</v>
      </c>
      <c r="F102" s="50" t="s">
        <v>72</v>
      </c>
      <c r="G102" s="50" t="s">
        <v>27</v>
      </c>
      <c r="H102" s="47" t="s">
        <v>38</v>
      </c>
      <c r="I102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2" s="51">
        <v>0.15</v>
      </c>
      <c r="K102" s="52">
        <f>Table1[[#This Row],[Recurring Amount]]+Table1[[#This Row],[Non Recurring Amount]]</f>
        <v>300000</v>
      </c>
      <c r="L102" s="52">
        <v>300000</v>
      </c>
      <c r="M102" s="52">
        <v>0</v>
      </c>
      <c r="N102" s="31"/>
      <c r="O102" s="31"/>
      <c r="P102" s="32">
        <f>Table1[[#This Row],[Total Amount]]*Table1[[#This Row],[Conservative Probability]]</f>
        <v>45000</v>
      </c>
      <c r="Q102" s="52"/>
      <c r="R102" s="52"/>
      <c r="S102" s="52"/>
      <c r="T102" s="52"/>
      <c r="U102" s="52"/>
      <c r="V102" s="47"/>
    </row>
    <row r="103" spans="1:22" ht="17.100000000000001">
      <c r="A103" s="48" t="s">
        <v>125</v>
      </c>
      <c r="B103" s="47" t="s">
        <v>156</v>
      </c>
      <c r="C103" s="47" t="s">
        <v>35</v>
      </c>
      <c r="D103" s="47" t="s">
        <v>50</v>
      </c>
      <c r="E103" s="47" t="s">
        <v>74</v>
      </c>
      <c r="F103" s="50" t="s">
        <v>72</v>
      </c>
      <c r="G103" s="50" t="s">
        <v>37</v>
      </c>
      <c r="H103" s="47" t="s">
        <v>69</v>
      </c>
      <c r="I103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3" s="51">
        <v>0.15</v>
      </c>
      <c r="K103" s="52">
        <f>Table1[[#This Row],[Recurring Amount]]+Table1[[#This Row],[Non Recurring Amount]]</f>
        <v>250000</v>
      </c>
      <c r="L103" s="54">
        <v>250000</v>
      </c>
      <c r="M103" s="52">
        <v>0</v>
      </c>
      <c r="N103" s="31"/>
      <c r="O103" s="31"/>
      <c r="P103" s="32">
        <f>Table1[[#This Row],[Total Amount]]*Table1[[#This Row],[Conservative Probability]]</f>
        <v>37500</v>
      </c>
      <c r="Q103" s="52"/>
      <c r="R103" s="52"/>
      <c r="S103" s="52"/>
      <c r="T103" s="52"/>
      <c r="U103" s="52"/>
      <c r="V103" s="47"/>
    </row>
    <row r="104" spans="1:22" ht="17.100000000000001">
      <c r="A104" s="48" t="s">
        <v>125</v>
      </c>
      <c r="B104" s="47" t="s">
        <v>157</v>
      </c>
      <c r="C104" s="47" t="s">
        <v>35</v>
      </c>
      <c r="D104" s="50" t="s">
        <v>40</v>
      </c>
      <c r="E104" s="47" t="s">
        <v>74</v>
      </c>
      <c r="F104" s="50"/>
      <c r="G104" s="50" t="s">
        <v>37</v>
      </c>
      <c r="H104" s="47" t="s">
        <v>38</v>
      </c>
      <c r="I104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4" s="51">
        <v>0.15</v>
      </c>
      <c r="K104" s="52">
        <f>Table1[[#This Row],[Recurring Amount]]+Table1[[#This Row],[Non Recurring Amount]]</f>
        <v>100000</v>
      </c>
      <c r="L104" s="52">
        <v>100000</v>
      </c>
      <c r="M104" s="52">
        <v>0</v>
      </c>
      <c r="N104" s="31"/>
      <c r="O104" s="31"/>
      <c r="P104" s="32">
        <f>Table1[[#This Row],[Total Amount]]*Table1[[#This Row],[Conservative Probability]]</f>
        <v>15000</v>
      </c>
      <c r="Q104" s="52"/>
      <c r="R104" s="52"/>
      <c r="S104" s="52"/>
      <c r="T104" s="52"/>
      <c r="U104" s="52"/>
      <c r="V104" s="47"/>
    </row>
    <row r="105" spans="1:22">
      <c r="A105" s="70"/>
      <c r="B105" s="71"/>
      <c r="C105" s="71"/>
      <c r="D105" s="71"/>
      <c r="E105" s="71"/>
      <c r="F105" s="71"/>
      <c r="G105" s="71"/>
      <c r="H105" s="71"/>
      <c r="I105" s="72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42"/>
      <c r="U105" s="45"/>
      <c r="V105" s="47"/>
    </row>
    <row r="106" spans="1:22" ht="17.100000000000001">
      <c r="A106" s="73" t="s">
        <v>158</v>
      </c>
      <c r="B106" s="49" t="s">
        <v>159</v>
      </c>
      <c r="C106" s="47" t="s">
        <v>35</v>
      </c>
      <c r="D106" s="47" t="s">
        <v>25</v>
      </c>
      <c r="E106" s="50" t="s">
        <v>26</v>
      </c>
      <c r="F106" s="50"/>
      <c r="G106" s="50" t="s">
        <v>37</v>
      </c>
      <c r="H106" s="50" t="s">
        <v>28</v>
      </c>
      <c r="I10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6" s="51">
        <v>1</v>
      </c>
      <c r="K106" s="52">
        <f>Table1[[#This Row],[Recurring Amount]]+Table1[[#This Row],[Non Recurring Amount]]</f>
        <v>110000</v>
      </c>
      <c r="L106" s="57">
        <v>110000</v>
      </c>
      <c r="M106" s="52">
        <v>0</v>
      </c>
      <c r="N106" s="35"/>
      <c r="O106" s="35"/>
      <c r="P106" s="32">
        <f>Table1[[#This Row],[Total Amount]]*Table1[[#This Row],[Conservative Probability]]</f>
        <v>110000</v>
      </c>
      <c r="Q106" s="52"/>
      <c r="R106" s="52"/>
      <c r="S106" s="52"/>
      <c r="T106" s="52"/>
      <c r="U106" s="52"/>
      <c r="V106" s="47"/>
    </row>
    <row r="107" spans="1:22" ht="17.100000000000001">
      <c r="A107" s="73" t="s">
        <v>158</v>
      </c>
      <c r="B107" s="47" t="s">
        <v>160</v>
      </c>
      <c r="C107" s="47" t="s">
        <v>35</v>
      </c>
      <c r="D107" s="47" t="s">
        <v>25</v>
      </c>
      <c r="E107" s="50" t="s">
        <v>26</v>
      </c>
      <c r="F107" s="50" t="s">
        <v>51</v>
      </c>
      <c r="G107" s="47" t="s">
        <v>37</v>
      </c>
      <c r="H107" s="47" t="s">
        <v>38</v>
      </c>
      <c r="I107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7" s="51">
        <v>1</v>
      </c>
      <c r="K107" s="52">
        <f>Table1[[#This Row],[Recurring Amount]]+Table1[[#This Row],[Non Recurring Amount]]</f>
        <v>3400000</v>
      </c>
      <c r="L107" s="52">
        <v>3400000</v>
      </c>
      <c r="M107" s="52">
        <v>0</v>
      </c>
      <c r="N107" s="31"/>
      <c r="O107" s="31"/>
      <c r="P107" s="32">
        <f>Table1[[#This Row],[Total Amount]]*Table1[[#This Row],[Conservative Probability]]</f>
        <v>3400000</v>
      </c>
      <c r="Q107" s="52"/>
      <c r="R107" s="52"/>
      <c r="S107" s="52"/>
      <c r="T107" s="47"/>
      <c r="U107" s="52"/>
      <c r="V107" s="47"/>
    </row>
    <row r="108" spans="1:22" ht="17.100000000000001">
      <c r="A108" s="73" t="s">
        <v>158</v>
      </c>
      <c r="B108" s="47" t="s">
        <v>161</v>
      </c>
      <c r="C108" s="47" t="s">
        <v>35</v>
      </c>
      <c r="D108" s="47" t="s">
        <v>25</v>
      </c>
      <c r="E108" s="50" t="s">
        <v>26</v>
      </c>
      <c r="F108" s="50"/>
      <c r="G108" s="50"/>
      <c r="H108" s="47"/>
      <c r="I10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8" s="51">
        <v>1</v>
      </c>
      <c r="K108" s="52">
        <f>Table1[[#This Row],[Recurring Amount]]+Table1[[#This Row],[Non Recurring Amount]]</f>
        <v>130000</v>
      </c>
      <c r="L108" s="52">
        <v>130000</v>
      </c>
      <c r="M108" s="52"/>
      <c r="N108" s="31"/>
      <c r="O108" s="31"/>
      <c r="P108" s="32">
        <f>Table1[[#This Row],[Total Amount]]*Table1[[#This Row],[Conservative Probability]]</f>
        <v>130000</v>
      </c>
      <c r="Q108" s="52"/>
      <c r="R108" s="52"/>
      <c r="S108" s="52"/>
      <c r="T108" s="47"/>
      <c r="U108" s="52"/>
      <c r="V108" s="47"/>
    </row>
    <row r="109" spans="1:22" ht="17.100000000000001">
      <c r="A109" s="73" t="s">
        <v>158</v>
      </c>
      <c r="B109" s="49" t="s">
        <v>162</v>
      </c>
      <c r="C109" s="47" t="s">
        <v>24</v>
      </c>
      <c r="D109" s="47" t="s">
        <v>25</v>
      </c>
      <c r="E109" s="50" t="s">
        <v>26</v>
      </c>
      <c r="F109" s="50"/>
      <c r="G109" s="47" t="s">
        <v>37</v>
      </c>
      <c r="H109" s="50" t="s">
        <v>28</v>
      </c>
      <c r="I109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9" s="51">
        <v>1</v>
      </c>
      <c r="K109" s="52">
        <f>Table1[[#This Row],[Recurring Amount]]+Table1[[#This Row],[Non Recurring Amount]]</f>
        <v>275000</v>
      </c>
      <c r="L109" s="57">
        <v>275000</v>
      </c>
      <c r="M109" s="52">
        <v>0</v>
      </c>
      <c r="N109" s="35"/>
      <c r="O109" s="31"/>
      <c r="P109" s="32">
        <f>Table1[[#This Row],[Total Amount]]*Table1[[#This Row],[Conservative Probability]]</f>
        <v>275000</v>
      </c>
      <c r="Q109" s="52"/>
      <c r="R109" s="52"/>
      <c r="S109" s="52"/>
      <c r="T109" s="47"/>
      <c r="U109" s="52"/>
      <c r="V109" s="47"/>
    </row>
    <row r="110" spans="1:22" ht="17.100000000000001">
      <c r="A110" s="74" t="s">
        <v>158</v>
      </c>
      <c r="B110" s="62" t="s">
        <v>163</v>
      </c>
      <c r="C110" s="62" t="s">
        <v>35</v>
      </c>
      <c r="D110" s="62" t="s">
        <v>25</v>
      </c>
      <c r="E110" s="47" t="s">
        <v>26</v>
      </c>
      <c r="F110" s="50" t="s">
        <v>56</v>
      </c>
      <c r="G110" s="47" t="s">
        <v>37</v>
      </c>
      <c r="H110" s="47" t="s">
        <v>38</v>
      </c>
      <c r="I110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10" s="51">
        <v>1</v>
      </c>
      <c r="K110" s="52">
        <f>Table1[[#This Row],[Recurring Amount]]+Table1[[#This Row],[Non Recurring Amount]]</f>
        <v>110000</v>
      </c>
      <c r="L110" s="52">
        <v>110000</v>
      </c>
      <c r="M110" s="52">
        <v>0</v>
      </c>
      <c r="N110" s="31"/>
      <c r="O110" s="31"/>
      <c r="P110" s="52">
        <f>Table1[[#This Row],[Total Amount]]*Table1[[#This Row],[Conservative Probability]]</f>
        <v>110000</v>
      </c>
      <c r="Q110" s="52"/>
      <c r="R110" s="52"/>
      <c r="S110" s="52"/>
      <c r="T110" s="47"/>
      <c r="U110" s="52"/>
      <c r="V110" s="47"/>
    </row>
    <row r="111" spans="1:22" ht="17.100000000000001">
      <c r="A111" s="73" t="s">
        <v>158</v>
      </c>
      <c r="B111" s="50" t="s">
        <v>164</v>
      </c>
      <c r="C111" s="47" t="s">
        <v>24</v>
      </c>
      <c r="D111" s="47" t="s">
        <v>30</v>
      </c>
      <c r="E111" s="50" t="s">
        <v>31</v>
      </c>
      <c r="F111" s="50"/>
      <c r="G111" s="47" t="s">
        <v>27</v>
      </c>
      <c r="H111" s="50" t="s">
        <v>28</v>
      </c>
      <c r="I111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1" s="51">
        <v>0.5</v>
      </c>
      <c r="K111" s="52">
        <f>Table1[[#This Row],[Recurring Amount]]+Table1[[#This Row],[Non Recurring Amount]]</f>
        <v>14800</v>
      </c>
      <c r="L111" s="57">
        <v>14800</v>
      </c>
      <c r="M111" s="52">
        <v>0</v>
      </c>
      <c r="N111" s="35"/>
      <c r="O111" s="31"/>
      <c r="P111" s="32">
        <f>Table1[[#This Row],[Total Amount]]*Table1[[#This Row],[Conservative Probability]]</f>
        <v>7400</v>
      </c>
      <c r="Q111" s="52"/>
      <c r="R111" s="52"/>
      <c r="S111" s="52"/>
      <c r="T111" s="47"/>
      <c r="U111" s="52"/>
      <c r="V111" s="47"/>
    </row>
    <row r="112" spans="1:22" ht="17.100000000000001">
      <c r="A112" s="48" t="s">
        <v>158</v>
      </c>
      <c r="B112" s="47" t="s">
        <v>165</v>
      </c>
      <c r="C112" s="47" t="s">
        <v>24</v>
      </c>
      <c r="D112" s="47" t="s">
        <v>30</v>
      </c>
      <c r="E112" s="50" t="s">
        <v>31</v>
      </c>
      <c r="F112" s="50"/>
      <c r="G112" s="50" t="s">
        <v>27</v>
      </c>
      <c r="H112" s="47" t="s">
        <v>28</v>
      </c>
      <c r="I112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2" s="51">
        <v>0.5</v>
      </c>
      <c r="K112" s="52">
        <f>Table1[[#This Row],[Recurring Amount]]+Table1[[#This Row],[Non Recurring Amount]]</f>
        <v>9900</v>
      </c>
      <c r="L112" s="54">
        <v>9900</v>
      </c>
      <c r="M112" s="52">
        <v>0</v>
      </c>
      <c r="N112" s="31"/>
      <c r="O112" s="31"/>
      <c r="P112" s="32">
        <f>Table1[[#This Row],[Total Amount]]*Table1[[#This Row],[Conservative Probability]]</f>
        <v>4950</v>
      </c>
      <c r="Q112" s="52"/>
      <c r="R112" s="52"/>
      <c r="S112" s="52"/>
      <c r="T112" s="47"/>
      <c r="U112" s="52"/>
      <c r="V112" s="47"/>
    </row>
    <row r="113" spans="1:22" ht="17.100000000000001">
      <c r="A113" s="48" t="s">
        <v>158</v>
      </c>
      <c r="B113" s="47" t="s">
        <v>166</v>
      </c>
      <c r="C113" s="47" t="s">
        <v>24</v>
      </c>
      <c r="D113" s="47" t="s">
        <v>30</v>
      </c>
      <c r="E113" s="50" t="s">
        <v>31</v>
      </c>
      <c r="F113" s="50"/>
      <c r="G113" s="50" t="s">
        <v>27</v>
      </c>
      <c r="H113" s="47" t="s">
        <v>28</v>
      </c>
      <c r="I113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3" s="51">
        <v>0.5</v>
      </c>
      <c r="K113" s="52">
        <f>Table1[[#This Row],[Recurring Amount]]+Table1[[#This Row],[Non Recurring Amount]]</f>
        <v>19900</v>
      </c>
      <c r="L113" s="54">
        <v>19900</v>
      </c>
      <c r="M113" s="52">
        <v>0</v>
      </c>
      <c r="N113" s="31"/>
      <c r="O113" s="31"/>
      <c r="P113" s="32">
        <f>Table1[[#This Row],[Total Amount]]*Table1[[#This Row],[Conservative Probability]]</f>
        <v>9950</v>
      </c>
      <c r="Q113" s="52"/>
      <c r="R113" s="52"/>
      <c r="S113" s="52"/>
      <c r="T113" s="47"/>
      <c r="U113" s="52"/>
      <c r="V113" s="47"/>
    </row>
    <row r="114" spans="1:22" ht="17.100000000000001">
      <c r="A114" s="48" t="s">
        <v>158</v>
      </c>
      <c r="B114" s="47" t="s">
        <v>167</v>
      </c>
      <c r="C114" s="47" t="s">
        <v>24</v>
      </c>
      <c r="D114" s="47" t="s">
        <v>30</v>
      </c>
      <c r="E114" s="50" t="s">
        <v>31</v>
      </c>
      <c r="F114" s="50"/>
      <c r="G114" s="50" t="s">
        <v>27</v>
      </c>
      <c r="H114" s="47" t="s">
        <v>28</v>
      </c>
      <c r="I114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4" s="51">
        <v>0.5</v>
      </c>
      <c r="K114" s="52">
        <f>Table1[[#This Row],[Recurring Amount]]+Table1[[#This Row],[Non Recurring Amount]]</f>
        <v>10000</v>
      </c>
      <c r="L114" s="54">
        <v>10000</v>
      </c>
      <c r="M114" s="52">
        <v>0</v>
      </c>
      <c r="N114" s="31"/>
      <c r="O114" s="31"/>
      <c r="P114" s="32">
        <f>Table1[[#This Row],[Total Amount]]*Table1[[#This Row],[Conservative Probability]]</f>
        <v>5000</v>
      </c>
      <c r="Q114" s="52"/>
      <c r="R114" s="52"/>
      <c r="S114" s="52"/>
      <c r="T114" s="47"/>
      <c r="U114" s="52"/>
      <c r="V114" s="47"/>
    </row>
    <row r="115" spans="1:22" ht="17.100000000000001">
      <c r="A115" s="48" t="s">
        <v>158</v>
      </c>
      <c r="B115" s="47" t="s">
        <v>168</v>
      </c>
      <c r="C115" s="47" t="s">
        <v>24</v>
      </c>
      <c r="D115" s="47" t="s">
        <v>30</v>
      </c>
      <c r="E115" s="50" t="s">
        <v>31</v>
      </c>
      <c r="F115" s="50"/>
      <c r="G115" s="50" t="s">
        <v>27</v>
      </c>
      <c r="H115" s="47" t="s">
        <v>28</v>
      </c>
      <c r="I115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5" s="51">
        <v>0.5</v>
      </c>
      <c r="K115" s="52">
        <f>Table1[[#This Row],[Recurring Amount]]+Table1[[#This Row],[Non Recurring Amount]]</f>
        <v>23900</v>
      </c>
      <c r="L115" s="54">
        <v>23900</v>
      </c>
      <c r="M115" s="52">
        <v>0</v>
      </c>
      <c r="N115" s="31"/>
      <c r="O115" s="31"/>
      <c r="P115" s="32">
        <f>Table1[[#This Row],[Total Amount]]*Table1[[#This Row],[Conservative Probability]]</f>
        <v>11950</v>
      </c>
      <c r="Q115" s="52"/>
      <c r="R115" s="52"/>
      <c r="S115" s="52"/>
      <c r="T115" s="47"/>
      <c r="U115" s="52"/>
      <c r="V115" s="47"/>
    </row>
    <row r="116" spans="1:22" ht="17.100000000000001">
      <c r="A116" s="48" t="s">
        <v>158</v>
      </c>
      <c r="B116" s="47" t="s">
        <v>169</v>
      </c>
      <c r="C116" s="47" t="s">
        <v>24</v>
      </c>
      <c r="D116" s="47" t="s">
        <v>30</v>
      </c>
      <c r="E116" s="50" t="s">
        <v>31</v>
      </c>
      <c r="F116" s="50"/>
      <c r="G116" s="50" t="s">
        <v>33</v>
      </c>
      <c r="H116" s="47" t="s">
        <v>28</v>
      </c>
      <c r="I11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6" s="51">
        <v>0.5</v>
      </c>
      <c r="K116" s="52">
        <f>Table1[[#This Row],[Recurring Amount]]+Table1[[#This Row],[Non Recurring Amount]]</f>
        <v>9900</v>
      </c>
      <c r="L116" s="54">
        <v>9900</v>
      </c>
      <c r="M116" s="52">
        <v>0</v>
      </c>
      <c r="N116" s="31"/>
      <c r="O116" s="31"/>
      <c r="P116" s="32">
        <f>Table1[[#This Row],[Total Amount]]*Table1[[#This Row],[Conservative Probability]]</f>
        <v>4950</v>
      </c>
      <c r="Q116" s="52"/>
      <c r="R116" s="52"/>
      <c r="S116" s="52"/>
      <c r="T116" s="47"/>
      <c r="U116" s="52"/>
      <c r="V116" s="47"/>
    </row>
    <row r="117" spans="1:22" ht="17.100000000000001">
      <c r="A117" s="48" t="s">
        <v>158</v>
      </c>
      <c r="B117" s="47" t="s">
        <v>170</v>
      </c>
      <c r="C117" s="47" t="s">
        <v>35</v>
      </c>
      <c r="D117" s="47" t="s">
        <v>40</v>
      </c>
      <c r="E117" s="47" t="s">
        <v>58</v>
      </c>
      <c r="F117" s="50" t="s">
        <v>51</v>
      </c>
      <c r="G117" s="47" t="s">
        <v>37</v>
      </c>
      <c r="H117" s="47" t="s">
        <v>38</v>
      </c>
      <c r="I117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17" s="56">
        <v>0.35</v>
      </c>
      <c r="K117" s="52">
        <f>Table1[[#This Row],[Recurring Amount]]+Table1[[#This Row],[Non Recurring Amount]]</f>
        <v>150000</v>
      </c>
      <c r="L117" s="52">
        <v>0</v>
      </c>
      <c r="M117" s="52">
        <v>150000</v>
      </c>
      <c r="N117" s="31"/>
      <c r="O117" s="31"/>
      <c r="P117" s="32">
        <f>Table1[[#This Row],[Total Amount]]*Table1[[#This Row],[Conservative Probability]]</f>
        <v>52500</v>
      </c>
      <c r="Q117" s="32"/>
      <c r="R117" s="32"/>
      <c r="S117" s="32"/>
      <c r="T117" s="32"/>
      <c r="U117" s="32"/>
      <c r="V117" s="47"/>
    </row>
    <row r="118" spans="1:22" ht="17.100000000000001">
      <c r="A118" s="73" t="s">
        <v>158</v>
      </c>
      <c r="B118" s="50" t="s">
        <v>171</v>
      </c>
      <c r="C118" s="47" t="s">
        <v>24</v>
      </c>
      <c r="D118" s="47" t="s">
        <v>40</v>
      </c>
      <c r="E118" s="47" t="s">
        <v>58</v>
      </c>
      <c r="F118" s="50"/>
      <c r="G118" s="47" t="s">
        <v>172</v>
      </c>
      <c r="H118" s="50" t="s">
        <v>28</v>
      </c>
      <c r="I11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18" s="51">
        <v>0.35</v>
      </c>
      <c r="K118" s="52">
        <f>Table1[[#This Row],[Recurring Amount]]+Table1[[#This Row],[Non Recurring Amount]]</f>
        <v>900000</v>
      </c>
      <c r="L118" s="57">
        <v>900000</v>
      </c>
      <c r="M118" s="52">
        <v>0</v>
      </c>
      <c r="N118" s="35"/>
      <c r="O118" s="35"/>
      <c r="P118" s="32">
        <f>Table1[[#This Row],[Total Amount]]*Table1[[#This Row],[Conservative Probability]]</f>
        <v>315000</v>
      </c>
      <c r="Q118" s="61"/>
      <c r="R118" s="61"/>
      <c r="S118" s="52"/>
      <c r="T118" s="52"/>
      <c r="U118" s="52"/>
      <c r="V118" s="47"/>
    </row>
    <row r="119" spans="1:22" ht="17.100000000000001">
      <c r="A119" s="48" t="s">
        <v>158</v>
      </c>
      <c r="B119" s="47" t="s">
        <v>173</v>
      </c>
      <c r="C119" s="47" t="s">
        <v>35</v>
      </c>
      <c r="D119" s="47" t="s">
        <v>40</v>
      </c>
      <c r="E119" s="47" t="s">
        <v>64</v>
      </c>
      <c r="F119" s="50" t="s">
        <v>32</v>
      </c>
      <c r="G119" s="47" t="s">
        <v>37</v>
      </c>
      <c r="H119" s="47" t="s">
        <v>38</v>
      </c>
      <c r="I119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19" s="56">
        <v>0.25</v>
      </c>
      <c r="K119" s="52">
        <f>Table1[[#This Row],[Recurring Amount]]+Table1[[#This Row],[Non Recurring Amount]]</f>
        <v>350000</v>
      </c>
      <c r="L119" s="52">
        <v>0</v>
      </c>
      <c r="M119" s="52">
        <v>350000</v>
      </c>
      <c r="N119" s="31"/>
      <c r="O119" s="31"/>
      <c r="P119" s="32">
        <f>Table1[[#This Row],[Total Amount]]*Table1[[#This Row],[Conservative Probability]]</f>
        <v>87500</v>
      </c>
      <c r="Q119" s="32"/>
      <c r="R119" s="32"/>
      <c r="S119" s="32"/>
      <c r="T119" s="32"/>
      <c r="U119" s="32"/>
      <c r="V119" s="47"/>
    </row>
    <row r="120" spans="1:22" ht="17.100000000000001">
      <c r="A120" s="74" t="s">
        <v>158</v>
      </c>
      <c r="B120" s="50" t="s">
        <v>174</v>
      </c>
      <c r="C120" s="47" t="s">
        <v>24</v>
      </c>
      <c r="D120" s="62" t="s">
        <v>50</v>
      </c>
      <c r="E120" s="50" t="s">
        <v>64</v>
      </c>
      <c r="F120" s="50"/>
      <c r="G120" s="50" t="s">
        <v>27</v>
      </c>
      <c r="H120" s="50" t="s">
        <v>28</v>
      </c>
      <c r="I120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0" s="51">
        <v>0.25</v>
      </c>
      <c r="K120" s="52">
        <f>Table1[[#This Row],[Recurring Amount]]+Table1[[#This Row],[Non Recurring Amount]]</f>
        <v>200000</v>
      </c>
      <c r="L120" s="57">
        <v>200000</v>
      </c>
      <c r="M120" s="52">
        <v>0</v>
      </c>
      <c r="N120" s="31"/>
      <c r="O120" s="31"/>
      <c r="P120" s="32">
        <f>Table1[[#This Row],[Total Amount]]*Table1[[#This Row],[Conservative Probability]]</f>
        <v>50000</v>
      </c>
      <c r="Q120" s="52"/>
      <c r="R120" s="52"/>
      <c r="S120" s="52"/>
      <c r="T120" s="52"/>
      <c r="U120" s="52"/>
      <c r="V120" s="47"/>
    </row>
    <row r="121" spans="1:22" ht="17.100000000000001">
      <c r="A121" s="64" t="s">
        <v>158</v>
      </c>
      <c r="B121" s="50" t="s">
        <v>175</v>
      </c>
      <c r="C121" s="47" t="s">
        <v>24</v>
      </c>
      <c r="D121" s="65" t="s">
        <v>40</v>
      </c>
      <c r="E121" s="66" t="s">
        <v>64</v>
      </c>
      <c r="F121" s="66"/>
      <c r="G121" s="66" t="s">
        <v>27</v>
      </c>
      <c r="H121" s="50" t="s">
        <v>28</v>
      </c>
      <c r="I121" s="67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1" s="67">
        <v>0.25</v>
      </c>
      <c r="K121" s="52">
        <f>Table1[[#This Row],[Recurring Amount]]+Table1[[#This Row],[Non Recurring Amount]]</f>
        <v>250000</v>
      </c>
      <c r="L121" s="57">
        <v>250000</v>
      </c>
      <c r="M121" s="52">
        <v>0</v>
      </c>
      <c r="N121" s="33"/>
      <c r="O121" s="33"/>
      <c r="P121" s="34">
        <f>Table1[[#This Row],[Total Amount]]*Table1[[#This Row],[Conservative Probability]]</f>
        <v>62500</v>
      </c>
      <c r="Q121" s="68"/>
      <c r="R121" s="68"/>
      <c r="S121" s="68"/>
      <c r="T121" s="68"/>
      <c r="U121" s="68"/>
      <c r="V121" s="65"/>
    </row>
    <row r="122" spans="1:22" ht="17.100000000000001">
      <c r="A122" s="48" t="s">
        <v>158</v>
      </c>
      <c r="B122" s="62" t="s">
        <v>176</v>
      </c>
      <c r="C122" s="62" t="s">
        <v>35</v>
      </c>
      <c r="D122" s="62" t="s">
        <v>50</v>
      </c>
      <c r="E122" s="47" t="s">
        <v>64</v>
      </c>
      <c r="F122" s="47" t="s">
        <v>72</v>
      </c>
      <c r="G122" s="47" t="s">
        <v>37</v>
      </c>
      <c r="H122" s="47" t="s">
        <v>28</v>
      </c>
      <c r="I122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2" s="51">
        <v>0.25</v>
      </c>
      <c r="K122" s="52">
        <f>Table1[[#This Row],[Recurring Amount]]+Table1[[#This Row],[Non Recurring Amount]]</f>
        <v>200000</v>
      </c>
      <c r="L122" s="52">
        <v>200000</v>
      </c>
      <c r="M122" s="52">
        <v>0</v>
      </c>
      <c r="N122" s="31"/>
      <c r="O122" s="31"/>
      <c r="P122" s="32">
        <f>Table1[[#This Row],[Total Amount]]*Table1[[#This Row],[Conservative Probability]]</f>
        <v>50000</v>
      </c>
      <c r="Q122" s="52"/>
      <c r="R122" s="52"/>
      <c r="S122" s="52"/>
      <c r="T122" s="52"/>
      <c r="U122" s="52"/>
      <c r="V122" s="47"/>
    </row>
    <row r="123" spans="1:22" ht="17.100000000000001">
      <c r="A123" s="48" t="s">
        <v>158</v>
      </c>
      <c r="B123" s="62" t="s">
        <v>177</v>
      </c>
      <c r="C123" s="62" t="s">
        <v>35</v>
      </c>
      <c r="D123" s="62" t="s">
        <v>50</v>
      </c>
      <c r="E123" s="47" t="s">
        <v>64</v>
      </c>
      <c r="F123" s="47" t="s">
        <v>72</v>
      </c>
      <c r="G123" s="47" t="s">
        <v>37</v>
      </c>
      <c r="H123" s="47" t="s">
        <v>28</v>
      </c>
      <c r="I123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3" s="51">
        <v>0.25</v>
      </c>
      <c r="K123" s="52">
        <f>Table1[[#This Row],[Recurring Amount]]+Table1[[#This Row],[Non Recurring Amount]]</f>
        <v>200000</v>
      </c>
      <c r="L123" s="52">
        <v>200000</v>
      </c>
      <c r="M123" s="52">
        <v>0</v>
      </c>
      <c r="N123" s="31"/>
      <c r="O123" s="31"/>
      <c r="P123" s="32">
        <f>Table1[[#This Row],[Total Amount]]*Table1[[#This Row],[Conservative Probability]]</f>
        <v>50000</v>
      </c>
      <c r="Q123" s="52"/>
      <c r="R123" s="52"/>
      <c r="S123" s="52"/>
      <c r="T123" s="52"/>
      <c r="U123" s="52"/>
      <c r="V123" s="47"/>
    </row>
    <row r="124" spans="1:22" ht="17.100000000000001">
      <c r="A124" s="48" t="s">
        <v>158</v>
      </c>
      <c r="B124" s="62" t="s">
        <v>178</v>
      </c>
      <c r="C124" s="62" t="s">
        <v>35</v>
      </c>
      <c r="D124" s="62" t="s">
        <v>50</v>
      </c>
      <c r="E124" s="47" t="s">
        <v>64</v>
      </c>
      <c r="F124" s="47" t="s">
        <v>72</v>
      </c>
      <c r="G124" s="47" t="s">
        <v>37</v>
      </c>
      <c r="H124" s="47" t="s">
        <v>28</v>
      </c>
      <c r="I124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4" s="51">
        <v>0.25</v>
      </c>
      <c r="K124" s="52">
        <f>Table1[[#This Row],[Recurring Amount]]+Table1[[#This Row],[Non Recurring Amount]]</f>
        <v>200000</v>
      </c>
      <c r="L124" s="52">
        <v>200000</v>
      </c>
      <c r="M124" s="52">
        <v>0</v>
      </c>
      <c r="N124" s="31"/>
      <c r="O124" s="31"/>
      <c r="P124" s="32">
        <f>Table1[[#This Row],[Total Amount]]*Table1[[#This Row],[Conservative Probability]]</f>
        <v>50000</v>
      </c>
      <c r="Q124" s="52"/>
      <c r="R124" s="52"/>
      <c r="S124" s="52"/>
      <c r="T124" s="52"/>
      <c r="U124" s="52"/>
      <c r="V124" s="47"/>
    </row>
    <row r="125" spans="1:22" ht="17.100000000000001">
      <c r="A125" s="48" t="s">
        <v>158</v>
      </c>
      <c r="B125" s="62" t="s">
        <v>179</v>
      </c>
      <c r="C125" s="62" t="s">
        <v>35</v>
      </c>
      <c r="D125" s="62" t="s">
        <v>50</v>
      </c>
      <c r="E125" s="47" t="s">
        <v>64</v>
      </c>
      <c r="F125" s="47" t="s">
        <v>72</v>
      </c>
      <c r="G125" s="47" t="s">
        <v>37</v>
      </c>
      <c r="H125" s="47" t="s">
        <v>28</v>
      </c>
      <c r="I125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5" s="51">
        <v>0.25</v>
      </c>
      <c r="K125" s="52">
        <f>Table1[[#This Row],[Recurring Amount]]+Table1[[#This Row],[Non Recurring Amount]]</f>
        <v>100000</v>
      </c>
      <c r="L125" s="52">
        <v>100000</v>
      </c>
      <c r="M125" s="52">
        <v>0</v>
      </c>
      <c r="N125" s="31"/>
      <c r="O125" s="31"/>
      <c r="P125" s="32">
        <f>Table1[[#This Row],[Total Amount]]*Table1[[#This Row],[Conservative Probability]]</f>
        <v>25000</v>
      </c>
      <c r="Q125" s="52"/>
      <c r="R125" s="52"/>
      <c r="S125" s="52"/>
      <c r="T125" s="52"/>
      <c r="U125" s="52"/>
      <c r="V125" s="47"/>
    </row>
    <row r="126" spans="1:22" ht="17.100000000000001">
      <c r="A126" s="48" t="s">
        <v>158</v>
      </c>
      <c r="B126" s="50" t="s">
        <v>180</v>
      </c>
      <c r="C126" s="62" t="s">
        <v>35</v>
      </c>
      <c r="D126" s="50" t="s">
        <v>50</v>
      </c>
      <c r="E126" s="50" t="s">
        <v>74</v>
      </c>
      <c r="F126" s="50"/>
      <c r="G126" s="47" t="s">
        <v>37</v>
      </c>
      <c r="H126" s="50" t="s">
        <v>38</v>
      </c>
      <c r="I12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26" s="56">
        <v>0.25</v>
      </c>
      <c r="K126" s="52">
        <f>Table1[[#This Row],[Recurring Amount]]+Table1[[#This Row],[Non Recurring Amount]]</f>
        <v>150000</v>
      </c>
      <c r="L126" s="61">
        <v>150000</v>
      </c>
      <c r="M126" s="52">
        <v>0</v>
      </c>
      <c r="N126" s="31"/>
      <c r="O126" s="31"/>
      <c r="P126" s="32">
        <f>Table1[[#This Row],[Total Amount]]*Table1[[#This Row],[Conservative Probability]]</f>
        <v>37500</v>
      </c>
      <c r="Q126" s="61"/>
      <c r="R126" s="61"/>
      <c r="S126" s="61"/>
      <c r="T126" s="32"/>
      <c r="U126" s="52"/>
      <c r="V126" s="47"/>
    </row>
    <row r="127" spans="1:22" ht="17.100000000000001">
      <c r="A127" s="73" t="s">
        <v>158</v>
      </c>
      <c r="B127" s="50" t="s">
        <v>181</v>
      </c>
      <c r="C127" s="47" t="s">
        <v>24</v>
      </c>
      <c r="D127" s="47" t="s">
        <v>50</v>
      </c>
      <c r="E127" s="50" t="s">
        <v>74</v>
      </c>
      <c r="F127" s="50"/>
      <c r="G127" s="47" t="s">
        <v>27</v>
      </c>
      <c r="H127" s="50" t="s">
        <v>28</v>
      </c>
      <c r="I127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27" s="51">
        <v>0.25</v>
      </c>
      <c r="K127" s="52">
        <f>Table1[[#This Row],[Recurring Amount]]+Table1[[#This Row],[Non Recurring Amount]]</f>
        <v>250000</v>
      </c>
      <c r="L127" s="57">
        <v>250000</v>
      </c>
      <c r="M127" s="52">
        <v>0</v>
      </c>
      <c r="N127" s="31"/>
      <c r="O127" s="31"/>
      <c r="P127" s="32">
        <f>Table1[[#This Row],[Total Amount]]*Table1[[#This Row],[Conservative Probability]]</f>
        <v>62500</v>
      </c>
      <c r="Q127" s="52"/>
      <c r="R127" s="52"/>
      <c r="S127" s="52"/>
      <c r="T127" s="52"/>
      <c r="U127" s="52"/>
      <c r="V127" s="47"/>
    </row>
    <row r="128" spans="1:22" ht="17.100000000000001">
      <c r="A128" s="73" t="s">
        <v>158</v>
      </c>
      <c r="B128" s="50" t="s">
        <v>182</v>
      </c>
      <c r="C128" s="47" t="s">
        <v>24</v>
      </c>
      <c r="D128" s="47" t="s">
        <v>50</v>
      </c>
      <c r="E128" s="47" t="s">
        <v>74</v>
      </c>
      <c r="F128" s="50"/>
      <c r="G128" s="47" t="s">
        <v>27</v>
      </c>
      <c r="H128" s="50" t="s">
        <v>28</v>
      </c>
      <c r="I12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28" s="51">
        <v>0.25</v>
      </c>
      <c r="K128" s="52">
        <f>Table1[[#This Row],[Recurring Amount]]+Table1[[#This Row],[Non Recurring Amount]]</f>
        <v>500000</v>
      </c>
      <c r="L128" s="54">
        <v>500000</v>
      </c>
      <c r="M128" s="52">
        <v>0</v>
      </c>
      <c r="N128" s="31"/>
      <c r="O128" s="31"/>
      <c r="P128" s="32">
        <f>Table1[[#This Row],[Total Amount]]*Table1[[#This Row],[Conservative Probability]]</f>
        <v>125000</v>
      </c>
      <c r="Q128" s="52"/>
      <c r="R128" s="52"/>
      <c r="S128" s="52"/>
      <c r="T128" s="47"/>
      <c r="U128" s="52"/>
      <c r="V128" s="47"/>
    </row>
    <row r="129" spans="1:22" ht="17.100000000000001">
      <c r="A129" s="48" t="s">
        <v>158</v>
      </c>
      <c r="B129" s="50" t="s">
        <v>183</v>
      </c>
      <c r="C129" s="47" t="s">
        <v>35</v>
      </c>
      <c r="D129" s="47" t="s">
        <v>50</v>
      </c>
      <c r="E129" s="47" t="s">
        <v>64</v>
      </c>
      <c r="F129" s="47" t="s">
        <v>51</v>
      </c>
      <c r="G129" s="47" t="s">
        <v>37</v>
      </c>
      <c r="H129" s="47" t="s">
        <v>69</v>
      </c>
      <c r="I129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9" s="56">
        <v>0.25</v>
      </c>
      <c r="K129" s="52">
        <f>Table1[[#This Row],[Recurring Amount]]+Table1[[#This Row],[Non Recurring Amount]]</f>
        <v>200000</v>
      </c>
      <c r="L129" s="52">
        <v>200000</v>
      </c>
      <c r="M129" s="52">
        <v>0</v>
      </c>
      <c r="N129" s="31"/>
      <c r="O129" s="31"/>
      <c r="P129" s="32">
        <f>Table1[[#This Row],[Total Amount]]*Table1[[#This Row],[Conservative Probability]]</f>
        <v>50000</v>
      </c>
      <c r="Q129" s="52"/>
      <c r="R129" s="52"/>
      <c r="S129" s="52"/>
      <c r="T129" s="52"/>
      <c r="U129" s="52"/>
      <c r="V129" s="47"/>
    </row>
    <row r="130" spans="1:22" ht="17.100000000000001">
      <c r="A130" s="73" t="s">
        <v>158</v>
      </c>
      <c r="B130" s="50" t="s">
        <v>184</v>
      </c>
      <c r="C130" s="47" t="s">
        <v>185</v>
      </c>
      <c r="D130" s="47" t="s">
        <v>50</v>
      </c>
      <c r="E130" s="47" t="s">
        <v>74</v>
      </c>
      <c r="F130" s="50"/>
      <c r="G130" s="50" t="s">
        <v>37</v>
      </c>
      <c r="H130" s="47" t="s">
        <v>69</v>
      </c>
      <c r="I130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30" s="51">
        <v>0.25</v>
      </c>
      <c r="K130" s="52">
        <f>Table1[[#This Row],[Recurring Amount]]+Table1[[#This Row],[Non Recurring Amount]]</f>
        <v>130000</v>
      </c>
      <c r="L130" s="54">
        <v>130000</v>
      </c>
      <c r="M130" s="52">
        <v>0</v>
      </c>
      <c r="N130" s="31"/>
      <c r="O130" s="31"/>
      <c r="P130" s="32">
        <f>Table1[[#This Row],[Total Amount]]*Table1[[#This Row],[Conservative Probability]]</f>
        <v>32500</v>
      </c>
      <c r="Q130" s="52"/>
      <c r="R130" s="52"/>
      <c r="S130" s="52"/>
      <c r="T130" s="52"/>
      <c r="U130" s="52"/>
      <c r="V130" s="47"/>
    </row>
    <row r="131" spans="1:22" ht="17.100000000000001">
      <c r="A131" s="73" t="s">
        <v>158</v>
      </c>
      <c r="B131" s="50" t="s">
        <v>186</v>
      </c>
      <c r="C131" s="62" t="s">
        <v>185</v>
      </c>
      <c r="D131" s="62" t="s">
        <v>50</v>
      </c>
      <c r="E131" s="47" t="s">
        <v>64</v>
      </c>
      <c r="F131" s="50"/>
      <c r="G131" s="47" t="s">
        <v>27</v>
      </c>
      <c r="H131" s="50" t="s">
        <v>28</v>
      </c>
      <c r="I131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1" s="51">
        <v>0.25</v>
      </c>
      <c r="K131" s="52">
        <f>Table1[[#This Row],[Recurring Amount]]+Table1[[#This Row],[Non Recurring Amount]]</f>
        <v>75000</v>
      </c>
      <c r="L131" s="53">
        <v>75000</v>
      </c>
      <c r="M131" s="52">
        <v>0</v>
      </c>
      <c r="N131" s="31"/>
      <c r="O131" s="31"/>
      <c r="P131" s="32">
        <f>Table1[[#This Row],[Total Amount]]*Table1[[#This Row],[Conservative Probability]]</f>
        <v>18750</v>
      </c>
      <c r="Q131" s="52"/>
      <c r="R131" s="52"/>
      <c r="S131" s="52"/>
      <c r="T131" s="52"/>
      <c r="U131" s="52"/>
      <c r="V131" s="47"/>
    </row>
    <row r="132" spans="1:22" ht="17.100000000000001">
      <c r="A132" s="73" t="s">
        <v>158</v>
      </c>
      <c r="B132" s="50" t="s">
        <v>187</v>
      </c>
      <c r="C132" s="62" t="s">
        <v>185</v>
      </c>
      <c r="D132" s="62" t="s">
        <v>50</v>
      </c>
      <c r="E132" s="47" t="s">
        <v>64</v>
      </c>
      <c r="F132" s="50"/>
      <c r="G132" s="47" t="s">
        <v>27</v>
      </c>
      <c r="H132" s="50" t="s">
        <v>28</v>
      </c>
      <c r="I132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2" s="51">
        <v>0.25</v>
      </c>
      <c r="K132" s="52">
        <f>Table1[[#This Row],[Recurring Amount]]+Table1[[#This Row],[Non Recurring Amount]]</f>
        <v>200000</v>
      </c>
      <c r="L132" s="53">
        <v>200000</v>
      </c>
      <c r="M132" s="52">
        <v>0</v>
      </c>
      <c r="N132" s="31"/>
      <c r="O132" s="31"/>
      <c r="P132" s="32">
        <f>Table1[[#This Row],[Total Amount]]*Table1[[#This Row],[Conservative Probability]]</f>
        <v>50000</v>
      </c>
      <c r="Q132" s="52"/>
      <c r="R132" s="52"/>
      <c r="S132" s="52"/>
      <c r="T132" s="52"/>
      <c r="U132" s="52"/>
      <c r="V132" s="47"/>
    </row>
    <row r="133" spans="1:22" ht="17.100000000000001">
      <c r="A133" s="73" t="s">
        <v>158</v>
      </c>
      <c r="B133" s="50" t="s">
        <v>188</v>
      </c>
      <c r="C133" s="62" t="s">
        <v>185</v>
      </c>
      <c r="D133" s="62" t="s">
        <v>50</v>
      </c>
      <c r="E133" s="47" t="s">
        <v>64</v>
      </c>
      <c r="F133" s="50"/>
      <c r="G133" s="47" t="s">
        <v>27</v>
      </c>
      <c r="H133" s="50" t="s">
        <v>28</v>
      </c>
      <c r="I133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3" s="51">
        <v>0.25</v>
      </c>
      <c r="K133" s="52">
        <f>Table1[[#This Row],[Recurring Amount]]+Table1[[#This Row],[Non Recurring Amount]]</f>
        <v>200000</v>
      </c>
      <c r="L133" s="53">
        <v>200000</v>
      </c>
      <c r="M133" s="52">
        <v>0</v>
      </c>
      <c r="N133" s="31"/>
      <c r="O133" s="31"/>
      <c r="P133" s="32">
        <f>Table1[[#This Row],[Total Amount]]*Table1[[#This Row],[Conservative Probability]]</f>
        <v>50000</v>
      </c>
      <c r="Q133" s="52"/>
      <c r="R133" s="52"/>
      <c r="S133" s="52"/>
      <c r="T133" s="52"/>
      <c r="U133" s="52"/>
      <c r="V133" s="47"/>
    </row>
    <row r="134" spans="1:22" ht="17.100000000000001">
      <c r="A134" s="73" t="s">
        <v>158</v>
      </c>
      <c r="B134" s="47" t="s">
        <v>189</v>
      </c>
      <c r="C134" s="50" t="s">
        <v>185</v>
      </c>
      <c r="D134" s="62" t="s">
        <v>50</v>
      </c>
      <c r="E134" s="47" t="s">
        <v>64</v>
      </c>
      <c r="F134" s="50"/>
      <c r="G134" s="47" t="s">
        <v>109</v>
      </c>
      <c r="H134" s="50" t="s">
        <v>38</v>
      </c>
      <c r="I134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4" s="51">
        <v>0.25</v>
      </c>
      <c r="K134" s="52">
        <f>Table1[[#This Row],[Recurring Amount]]+Table1[[#This Row],[Non Recurring Amount]]</f>
        <v>200000</v>
      </c>
      <c r="L134" s="57">
        <v>200000</v>
      </c>
      <c r="M134" s="52">
        <v>0</v>
      </c>
      <c r="N134" s="31"/>
      <c r="O134" s="31"/>
      <c r="P134" s="32">
        <f>Table1[[#This Row],[Total Amount]]*Table1[[#This Row],[Conservative Probability]]</f>
        <v>50000</v>
      </c>
      <c r="Q134" s="52"/>
      <c r="R134" s="52"/>
      <c r="S134" s="52"/>
      <c r="T134" s="52"/>
      <c r="U134" s="52"/>
      <c r="V134" s="47"/>
    </row>
    <row r="135" spans="1:22" ht="17.100000000000001">
      <c r="A135" s="73" t="s">
        <v>158</v>
      </c>
      <c r="B135" s="47" t="s">
        <v>190</v>
      </c>
      <c r="C135" s="50" t="s">
        <v>185</v>
      </c>
      <c r="D135" s="62" t="s">
        <v>50</v>
      </c>
      <c r="E135" s="47" t="s">
        <v>64</v>
      </c>
      <c r="F135" s="50"/>
      <c r="G135" s="47" t="s">
        <v>109</v>
      </c>
      <c r="H135" s="50" t="s">
        <v>38</v>
      </c>
      <c r="I135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5" s="51">
        <v>0.25</v>
      </c>
      <c r="K135" s="52">
        <f>Table1[[#This Row],[Recurring Amount]]+Table1[[#This Row],[Non Recurring Amount]]</f>
        <v>200000</v>
      </c>
      <c r="L135" s="57">
        <v>200000</v>
      </c>
      <c r="M135" s="52">
        <v>0</v>
      </c>
      <c r="N135" s="31"/>
      <c r="O135" s="31"/>
      <c r="P135" s="32">
        <f>Table1[[#This Row],[Total Amount]]*Table1[[#This Row],[Conservative Probability]]</f>
        <v>50000</v>
      </c>
      <c r="Q135" s="52"/>
      <c r="R135" s="52"/>
      <c r="S135" s="52"/>
      <c r="T135" s="52"/>
      <c r="U135" s="52"/>
      <c r="V135" s="47"/>
    </row>
    <row r="136" spans="1:22" ht="17.100000000000001">
      <c r="A136" s="64" t="s">
        <v>158</v>
      </c>
      <c r="B136" s="50" t="s">
        <v>191</v>
      </c>
      <c r="C136" s="47" t="s">
        <v>185</v>
      </c>
      <c r="D136" s="47" t="s">
        <v>55</v>
      </c>
      <c r="E136" s="47" t="s">
        <v>64</v>
      </c>
      <c r="F136" s="50"/>
      <c r="G136" s="50" t="s">
        <v>27</v>
      </c>
      <c r="H136" s="50" t="s">
        <v>28</v>
      </c>
      <c r="I136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6" s="51">
        <v>0.25</v>
      </c>
      <c r="K136" s="52">
        <f>Table1[[#This Row],[Recurring Amount]]+Table1[[#This Row],[Non Recurring Amount]]</f>
        <v>25000</v>
      </c>
      <c r="L136" s="52">
        <v>0</v>
      </c>
      <c r="M136" s="57">
        <v>25000</v>
      </c>
      <c r="N136" s="31"/>
      <c r="O136" s="31"/>
      <c r="P136" s="32">
        <f>Table1[[#This Row],[Total Amount]]*Table1[[#This Row],[Conservative Probability]]</f>
        <v>6250</v>
      </c>
      <c r="Q136" s="52"/>
      <c r="R136" s="52"/>
      <c r="S136" s="52"/>
      <c r="T136" s="52"/>
      <c r="U136" s="52"/>
      <c r="V136" s="47"/>
    </row>
    <row r="137" spans="1:22" ht="17.100000000000001">
      <c r="A137" s="64" t="s">
        <v>158</v>
      </c>
      <c r="B137" s="50" t="s">
        <v>192</v>
      </c>
      <c r="C137" s="47" t="s">
        <v>185</v>
      </c>
      <c r="D137" s="47" t="s">
        <v>55</v>
      </c>
      <c r="E137" s="47" t="s">
        <v>64</v>
      </c>
      <c r="F137" s="50"/>
      <c r="G137" s="50" t="s">
        <v>27</v>
      </c>
      <c r="H137" s="50" t="s">
        <v>28</v>
      </c>
      <c r="I137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7" s="51">
        <v>0.25</v>
      </c>
      <c r="K137" s="52">
        <f>Table1[[#This Row],[Recurring Amount]]+Table1[[#This Row],[Non Recurring Amount]]</f>
        <v>25000</v>
      </c>
      <c r="L137" s="52">
        <v>0</v>
      </c>
      <c r="M137" s="57">
        <v>25000</v>
      </c>
      <c r="N137" s="31"/>
      <c r="O137" s="31"/>
      <c r="P137" s="32">
        <f>Table1[[#This Row],[Total Amount]]*Table1[[#This Row],[Conservative Probability]]</f>
        <v>6250</v>
      </c>
      <c r="Q137" s="52"/>
      <c r="R137" s="52"/>
      <c r="S137" s="52"/>
      <c r="T137" s="52"/>
      <c r="U137" s="52"/>
      <c r="V137" s="47"/>
    </row>
    <row r="138" spans="1:22" ht="17.100000000000001">
      <c r="A138" s="64" t="s">
        <v>158</v>
      </c>
      <c r="B138" s="49" t="s">
        <v>193</v>
      </c>
      <c r="C138" s="47" t="s">
        <v>185</v>
      </c>
      <c r="D138" s="47" t="s">
        <v>55</v>
      </c>
      <c r="E138" s="47" t="s">
        <v>64</v>
      </c>
      <c r="F138" s="50"/>
      <c r="G138" s="50" t="s">
        <v>27</v>
      </c>
      <c r="H138" s="50" t="s">
        <v>28</v>
      </c>
      <c r="I138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8" s="51">
        <v>0.25</v>
      </c>
      <c r="K138" s="52">
        <f>Table1[[#This Row],[Recurring Amount]]+Table1[[#This Row],[Non Recurring Amount]]</f>
        <v>25000</v>
      </c>
      <c r="L138" s="52">
        <v>0</v>
      </c>
      <c r="M138" s="57">
        <v>25000</v>
      </c>
      <c r="N138" s="31"/>
      <c r="O138" s="31"/>
      <c r="P138" s="32">
        <f>Table1[[#This Row],[Total Amount]]*Table1[[#This Row],[Conservative Probability]]</f>
        <v>6250</v>
      </c>
      <c r="Q138" s="52"/>
      <c r="R138" s="52"/>
      <c r="S138" s="52"/>
      <c r="T138" s="52"/>
      <c r="U138" s="52"/>
      <c r="V138" s="47"/>
    </row>
    <row r="139" spans="1:22" ht="17.100000000000001">
      <c r="A139" s="73" t="s">
        <v>158</v>
      </c>
      <c r="B139" s="49" t="s">
        <v>194</v>
      </c>
      <c r="C139" s="47" t="s">
        <v>185</v>
      </c>
      <c r="D139" s="47" t="s">
        <v>55</v>
      </c>
      <c r="E139" s="47" t="s">
        <v>64</v>
      </c>
      <c r="F139" s="50"/>
      <c r="G139" s="50" t="s">
        <v>33</v>
      </c>
      <c r="H139" s="50" t="s">
        <v>28</v>
      </c>
      <c r="I139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9" s="51">
        <v>0.25</v>
      </c>
      <c r="K139" s="52">
        <f>Table1[[#This Row],[Recurring Amount]]+Table1[[#This Row],[Non Recurring Amount]]</f>
        <v>25000</v>
      </c>
      <c r="L139" s="52">
        <v>0</v>
      </c>
      <c r="M139" s="57">
        <v>25000</v>
      </c>
      <c r="N139" s="31"/>
      <c r="O139" s="31"/>
      <c r="P139" s="32">
        <f>Table1[[#This Row],[Total Amount]]*Table1[[#This Row],[Conservative Probability]]</f>
        <v>6250</v>
      </c>
      <c r="Q139" s="52"/>
      <c r="R139" s="52"/>
      <c r="S139" s="52"/>
      <c r="T139" s="52"/>
      <c r="U139" s="52"/>
      <c r="V139" s="47"/>
    </row>
    <row r="140" spans="1:22" ht="17.100000000000001">
      <c r="A140" s="73" t="s">
        <v>158</v>
      </c>
      <c r="B140" s="49" t="s">
        <v>195</v>
      </c>
      <c r="C140" s="47" t="s">
        <v>185</v>
      </c>
      <c r="D140" s="47" t="s">
        <v>55</v>
      </c>
      <c r="E140" s="47" t="s">
        <v>64</v>
      </c>
      <c r="F140" s="50"/>
      <c r="G140" s="50" t="s">
        <v>33</v>
      </c>
      <c r="H140" s="50" t="s">
        <v>38</v>
      </c>
      <c r="I140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40" s="51">
        <v>0.25</v>
      </c>
      <c r="K140" s="52">
        <f>Table1[[#This Row],[Recurring Amount]]+Table1[[#This Row],[Non Recurring Amount]]</f>
        <v>25000</v>
      </c>
      <c r="L140" s="52">
        <v>0</v>
      </c>
      <c r="M140" s="57">
        <v>25000</v>
      </c>
      <c r="N140" s="31"/>
      <c r="O140" s="31"/>
      <c r="P140" s="32">
        <f>Table1[[#This Row],[Total Amount]]*Table1[[#This Row],[Conservative Probability]]</f>
        <v>6250</v>
      </c>
      <c r="Q140" s="52"/>
      <c r="R140" s="52"/>
      <c r="S140" s="52"/>
      <c r="T140" s="52"/>
      <c r="U140" s="52"/>
      <c r="V140" s="47"/>
    </row>
    <row r="141" spans="1:22" ht="17.100000000000001">
      <c r="A141" s="73" t="s">
        <v>158</v>
      </c>
      <c r="B141" s="50" t="s">
        <v>196</v>
      </c>
      <c r="C141" s="47" t="s">
        <v>185</v>
      </c>
      <c r="D141" s="47" t="s">
        <v>40</v>
      </c>
      <c r="E141" s="50" t="s">
        <v>74</v>
      </c>
      <c r="F141" s="50"/>
      <c r="G141" s="47" t="s">
        <v>172</v>
      </c>
      <c r="H141" s="50" t="s">
        <v>28</v>
      </c>
      <c r="I141" s="51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41" s="51">
        <v>0.25</v>
      </c>
      <c r="K141" s="52">
        <f>Table1[[#This Row],[Recurring Amount]]+Table1[[#This Row],[Non Recurring Amount]]</f>
        <v>300000</v>
      </c>
      <c r="L141" s="57">
        <v>300000</v>
      </c>
      <c r="M141" s="52">
        <v>0</v>
      </c>
      <c r="N141" s="35"/>
      <c r="O141" s="35"/>
      <c r="P141" s="32">
        <f>Table1[[#This Row],[Total Amount]]*Table1[[#This Row],[Conservative Probability]]</f>
        <v>75000</v>
      </c>
      <c r="Q141" s="61"/>
      <c r="R141" s="61"/>
      <c r="S141" s="52"/>
      <c r="T141" s="52"/>
      <c r="U141" s="52"/>
      <c r="V141" s="47"/>
    </row>
    <row r="142" spans="1:22" ht="15.95" customHeight="1">
      <c r="A142" s="73" t="s">
        <v>158</v>
      </c>
      <c r="B142" s="47" t="s">
        <v>197</v>
      </c>
      <c r="C142" s="47" t="s">
        <v>35</v>
      </c>
      <c r="D142" s="47" t="s">
        <v>50</v>
      </c>
      <c r="E142" s="47" t="s">
        <v>74</v>
      </c>
      <c r="F142" s="50" t="s">
        <v>72</v>
      </c>
      <c r="G142" s="50" t="s">
        <v>37</v>
      </c>
      <c r="H142" s="47" t="s">
        <v>38</v>
      </c>
      <c r="I142" s="56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42" s="51">
        <f>Table1[[#This Row],[Auto Probability (by deal stage)]]</f>
        <v>0.15</v>
      </c>
      <c r="K142" s="52">
        <f>Table1[[#This Row],[Recurring Amount]]+Table1[[#This Row],[Non Recurring Amount]]</f>
        <v>200000</v>
      </c>
      <c r="L142" s="52">
        <v>200000</v>
      </c>
      <c r="M142" s="52">
        <v>0</v>
      </c>
      <c r="N142" s="31"/>
      <c r="O142" s="31"/>
      <c r="P142" s="32">
        <f>Table1[[#This Row],[Total Amount]]*Table1[[#This Row],[Conservative Probability]]</f>
        <v>30000</v>
      </c>
      <c r="Q142" s="52"/>
      <c r="R142" s="52"/>
      <c r="S142" s="52"/>
      <c r="T142" s="52"/>
      <c r="U142" s="52"/>
      <c r="V142" s="47"/>
    </row>
    <row r="144" spans="1:22">
      <c r="A144" s="75"/>
      <c r="B144" s="76"/>
      <c r="C144" s="76"/>
      <c r="D144" s="76"/>
      <c r="E144" s="77"/>
      <c r="F144" s="77"/>
      <c r="G144" s="76"/>
      <c r="H144" s="77"/>
      <c r="I144" s="77"/>
      <c r="J144" s="78"/>
      <c r="K144" s="79"/>
      <c r="L144" s="79"/>
      <c r="M144" s="79"/>
      <c r="N144" s="36"/>
      <c r="O144" s="36"/>
      <c r="P144" s="37"/>
      <c r="Q144" s="79"/>
      <c r="R144" s="79"/>
      <c r="S144" s="79"/>
      <c r="T144" s="76"/>
      <c r="U144" s="79"/>
    </row>
    <row r="145" spans="2:16">
      <c r="B145" s="80"/>
      <c r="C145" s="80"/>
      <c r="D145" s="80"/>
      <c r="K145" s="81">
        <f>SUM(Table1[Total Amount])</f>
        <v>21288300</v>
      </c>
      <c r="L145" s="81">
        <f>SUM(Table1[Recurring Amount])</f>
        <v>18728300</v>
      </c>
      <c r="M145" s="81">
        <f>SUM(Table1[Non Recurring Amount])</f>
        <v>2560000</v>
      </c>
      <c r="P145" s="81">
        <f>SUM(Table1[[Weighted Amount Conservative ]])</f>
        <v>9259525</v>
      </c>
    </row>
  </sheetData>
  <phoneticPr fontId="2" type="noConversion"/>
  <dataValidations count="2">
    <dataValidation type="list" allowBlank="1" showInputMessage="1" showErrorMessage="1" sqref="D3:D142" xr:uid="{D4CFFF2A-EA25-C34F-A5FF-F465B2A9410D}">
      <formula1>"PoC, Pilot, New Business, Renewal, Recurring, Upsell"</formula1>
    </dataValidation>
    <dataValidation type="list" allowBlank="1" showInputMessage="1" showErrorMessage="1" sqref="E3:E142" xr:uid="{64219F67-E4C4-A04B-914C-0AD1378EE209}">
      <formula1>"no indication (low), no indication (high), interested, purchasing engaged, win"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384C-2A41-4C29-B167-FB31D9E4175F}">
  <dimension ref="A1:C10"/>
  <sheetViews>
    <sheetView zoomScale="180" workbookViewId="0">
      <selection activeCell="C5" sqref="C5"/>
    </sheetView>
  </sheetViews>
  <sheetFormatPr defaultColWidth="8.85546875" defaultRowHeight="15"/>
  <cols>
    <col min="1" max="1" width="37.42578125" customWidth="1"/>
    <col min="2" max="2" width="33" customWidth="1"/>
    <col min="3" max="3" width="46.42578125" customWidth="1"/>
    <col min="4" max="4" width="14.85546875" bestFit="1" customWidth="1"/>
    <col min="5" max="8" width="15.85546875" bestFit="1" customWidth="1"/>
  </cols>
  <sheetData>
    <row r="1" spans="1:3" ht="15.95">
      <c r="A1" s="6">
        <v>2025</v>
      </c>
      <c r="B1" s="6" t="s">
        <v>198</v>
      </c>
      <c r="C1" s="6" t="s">
        <v>199</v>
      </c>
    </row>
    <row r="2" spans="1:3" ht="32.1">
      <c r="A2" s="5" t="s">
        <v>200</v>
      </c>
      <c r="B2" s="5" t="s">
        <v>201</v>
      </c>
      <c r="C2" s="4" t="s">
        <v>202</v>
      </c>
    </row>
    <row r="3" spans="1:3" ht="32.1">
      <c r="A3" s="5">
        <v>0.35</v>
      </c>
      <c r="B3" s="5" t="s">
        <v>203</v>
      </c>
      <c r="C3" s="4" t="s">
        <v>204</v>
      </c>
    </row>
    <row r="4" spans="1:3" ht="32.1">
      <c r="A4" s="5">
        <v>0.5</v>
      </c>
      <c r="B4" s="5" t="s">
        <v>203</v>
      </c>
      <c r="C4" s="4" t="s">
        <v>205</v>
      </c>
    </row>
    <row r="5" spans="1:3" ht="32.1">
      <c r="A5" s="5" t="s">
        <v>206</v>
      </c>
      <c r="B5" s="5" t="s">
        <v>201</v>
      </c>
      <c r="C5" s="4" t="s">
        <v>202</v>
      </c>
    </row>
    <row r="8" spans="1:3" ht="15.95">
      <c r="A8" s="6" t="s">
        <v>207</v>
      </c>
    </row>
    <row r="9" spans="1:3" ht="15.95">
      <c r="A9" s="5" t="s">
        <v>208</v>
      </c>
    </row>
    <row r="10" spans="1:3" ht="15.95">
      <c r="A10" s="5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B8ED-E048-A04B-BE28-F1D9B8C9CD04}">
  <dimension ref="A1:R5495"/>
  <sheetViews>
    <sheetView topLeftCell="A227" zoomScaleNormal="100" workbookViewId="0">
      <selection activeCell="B662" sqref="B662"/>
    </sheetView>
  </sheetViews>
  <sheetFormatPr defaultColWidth="10.85546875" defaultRowHeight="15"/>
  <cols>
    <col min="1" max="1" width="44.140625" style="13" customWidth="1"/>
    <col min="2" max="2" width="39" style="13" bestFit="1" customWidth="1"/>
    <col min="3" max="3" width="31.42578125" style="13" customWidth="1"/>
    <col min="4" max="4" width="19.42578125" style="13" bestFit="1" customWidth="1"/>
    <col min="5" max="5" width="24.42578125" style="13" bestFit="1" customWidth="1"/>
    <col min="6" max="6" width="17" style="13" bestFit="1" customWidth="1"/>
    <col min="7" max="7" width="17.42578125" style="13" bestFit="1" customWidth="1"/>
    <col min="8" max="8" width="19" style="13" bestFit="1" customWidth="1"/>
    <col min="9" max="9" width="13.42578125" style="13" bestFit="1" customWidth="1"/>
    <col min="10" max="16384" width="10.85546875" style="13"/>
  </cols>
  <sheetData>
    <row r="1" spans="1:18" s="8" customFormat="1" ht="15.95">
      <c r="A1" s="7" t="s">
        <v>210</v>
      </c>
      <c r="B1" s="7" t="s">
        <v>6</v>
      </c>
      <c r="C1" s="7" t="s">
        <v>211</v>
      </c>
      <c r="D1" s="7" t="s">
        <v>212</v>
      </c>
      <c r="E1" s="7" t="s">
        <v>213</v>
      </c>
      <c r="F1" s="7" t="s">
        <v>214</v>
      </c>
      <c r="G1" s="7" t="s">
        <v>215</v>
      </c>
      <c r="H1" s="7" t="s">
        <v>216</v>
      </c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5.95">
      <c r="A2" s="3" t="s">
        <v>217</v>
      </c>
      <c r="B2" s="9" t="s">
        <v>37</v>
      </c>
      <c r="C2" s="9"/>
      <c r="D2" s="9"/>
      <c r="E2" s="10"/>
      <c r="F2" s="9"/>
      <c r="G2" s="9" t="s">
        <v>218</v>
      </c>
      <c r="H2" s="9"/>
      <c r="I2" s="11"/>
      <c r="J2" s="12"/>
      <c r="K2" s="12"/>
      <c r="L2" s="12"/>
      <c r="M2" s="1"/>
      <c r="N2" s="1"/>
      <c r="O2" s="2"/>
      <c r="P2" s="12"/>
      <c r="Q2" s="12"/>
      <c r="R2" s="12"/>
    </row>
    <row r="3" spans="1:18" ht="15.95">
      <c r="A3" s="3" t="s">
        <v>219</v>
      </c>
      <c r="B3" s="9" t="s">
        <v>37</v>
      </c>
      <c r="C3" s="9"/>
      <c r="D3" s="9"/>
      <c r="E3" s="10"/>
      <c r="F3" s="9"/>
      <c r="G3" s="9"/>
      <c r="H3" s="3"/>
      <c r="I3" s="11"/>
      <c r="J3" s="12"/>
      <c r="K3" s="12"/>
      <c r="L3" s="12"/>
      <c r="M3" s="1"/>
      <c r="N3" s="1"/>
      <c r="O3" s="2"/>
      <c r="P3" s="12"/>
      <c r="Q3" s="12"/>
      <c r="R3" s="12"/>
    </row>
    <row r="4" spans="1:18" ht="15.95">
      <c r="A4" s="3" t="s">
        <v>220</v>
      </c>
      <c r="B4" s="9" t="s">
        <v>37</v>
      </c>
      <c r="C4" s="9"/>
      <c r="D4" s="9"/>
      <c r="E4" s="10"/>
      <c r="F4" s="9" t="s">
        <v>218</v>
      </c>
      <c r="G4" s="9"/>
      <c r="H4" s="9"/>
      <c r="I4" s="11"/>
      <c r="J4" s="12"/>
      <c r="K4" s="12"/>
      <c r="L4" s="12"/>
      <c r="M4" s="1"/>
      <c r="N4" s="1"/>
      <c r="O4" s="2"/>
      <c r="P4" s="12"/>
      <c r="Q4" s="12"/>
      <c r="R4" s="12"/>
    </row>
    <row r="5" spans="1:18" ht="15.95">
      <c r="A5" s="3" t="s">
        <v>221</v>
      </c>
      <c r="B5" s="9" t="s">
        <v>37</v>
      </c>
      <c r="C5" s="9"/>
      <c r="D5" s="9"/>
      <c r="E5" s="10"/>
      <c r="F5" s="9"/>
      <c r="G5" s="9"/>
      <c r="H5" s="9"/>
      <c r="I5" s="11"/>
      <c r="J5" s="12"/>
      <c r="K5" s="12"/>
      <c r="L5" s="12"/>
      <c r="M5" s="1"/>
      <c r="N5" s="1"/>
      <c r="O5" s="2"/>
      <c r="P5" s="12"/>
      <c r="Q5" s="12"/>
      <c r="R5" s="12"/>
    </row>
    <row r="6" spans="1:18" ht="15.95">
      <c r="A6" s="3" t="s">
        <v>222</v>
      </c>
      <c r="B6" s="9" t="s">
        <v>37</v>
      </c>
      <c r="C6" s="9"/>
      <c r="D6" s="9"/>
      <c r="E6" s="10"/>
      <c r="F6" s="9"/>
      <c r="G6" s="9"/>
      <c r="H6" s="3"/>
      <c r="I6" s="11"/>
      <c r="J6" s="12"/>
      <c r="K6" s="12"/>
      <c r="L6" s="12"/>
      <c r="M6" s="1"/>
      <c r="N6" s="1"/>
      <c r="O6" s="2"/>
      <c r="P6" s="12"/>
      <c r="Q6" s="12"/>
      <c r="R6" s="12"/>
    </row>
    <row r="7" spans="1:18" ht="15.95">
      <c r="A7" s="3" t="s">
        <v>223</v>
      </c>
      <c r="B7" s="9" t="s">
        <v>37</v>
      </c>
      <c r="C7" s="9"/>
      <c r="D7" s="9"/>
      <c r="E7" s="10"/>
      <c r="F7" s="9" t="s">
        <v>218</v>
      </c>
      <c r="G7" s="9"/>
      <c r="H7" s="3"/>
      <c r="I7" s="11"/>
      <c r="J7" s="12"/>
      <c r="K7" s="12"/>
      <c r="L7" s="12"/>
      <c r="M7" s="1"/>
      <c r="N7" s="1"/>
      <c r="O7" s="2"/>
      <c r="P7" s="12"/>
      <c r="Q7" s="12"/>
      <c r="R7" s="12"/>
    </row>
    <row r="8" spans="1:18" ht="15.95">
      <c r="A8" s="14" t="s">
        <v>224</v>
      </c>
      <c r="B8" s="9" t="s">
        <v>37</v>
      </c>
      <c r="C8" s="9"/>
      <c r="D8" s="9"/>
      <c r="E8" s="10"/>
      <c r="F8" s="9"/>
      <c r="G8" s="9"/>
      <c r="H8" s="3"/>
      <c r="I8" s="11"/>
      <c r="J8" s="12"/>
      <c r="K8" s="12"/>
      <c r="L8" s="12"/>
      <c r="M8" s="1"/>
      <c r="N8" s="1"/>
      <c r="O8" s="2"/>
      <c r="P8" s="12"/>
      <c r="Q8" s="12"/>
      <c r="R8" s="12"/>
    </row>
    <row r="9" spans="1:18" ht="15.95">
      <c r="A9" s="3" t="s">
        <v>225</v>
      </c>
      <c r="B9" s="9" t="s">
        <v>37</v>
      </c>
      <c r="C9" s="9"/>
      <c r="D9" s="9"/>
      <c r="E9" s="10"/>
      <c r="F9" s="9"/>
      <c r="G9" s="9"/>
      <c r="H9" s="9" t="s">
        <v>218</v>
      </c>
      <c r="I9" s="11"/>
      <c r="J9" s="12"/>
      <c r="K9" s="12"/>
      <c r="L9" s="12"/>
      <c r="M9" s="1"/>
      <c r="N9" s="1"/>
      <c r="O9" s="2"/>
      <c r="P9" s="12"/>
      <c r="Q9" s="12"/>
      <c r="R9" s="12"/>
    </row>
    <row r="10" spans="1:18" ht="15.95">
      <c r="A10" s="3" t="s">
        <v>226</v>
      </c>
      <c r="B10" s="9" t="s">
        <v>37</v>
      </c>
      <c r="C10" s="9"/>
      <c r="D10" s="9"/>
      <c r="E10" s="10"/>
      <c r="F10" s="9"/>
      <c r="G10" s="9"/>
      <c r="H10" s="9"/>
      <c r="I10" s="11"/>
      <c r="J10" s="12"/>
      <c r="K10" s="12"/>
      <c r="L10" s="12"/>
      <c r="M10" s="1"/>
      <c r="N10" s="1"/>
      <c r="O10" s="2"/>
      <c r="P10" s="12"/>
      <c r="Q10" s="12"/>
      <c r="R10" s="12"/>
    </row>
    <row r="11" spans="1:18" ht="15.95">
      <c r="A11" s="3" t="s">
        <v>227</v>
      </c>
      <c r="B11" s="9" t="s">
        <v>37</v>
      </c>
      <c r="C11" s="9"/>
      <c r="D11" s="9"/>
      <c r="E11" s="10"/>
      <c r="F11" s="9"/>
      <c r="G11" s="9" t="s">
        <v>218</v>
      </c>
      <c r="H11" s="9"/>
      <c r="I11" s="11"/>
      <c r="J11" s="12"/>
      <c r="K11" s="12"/>
      <c r="L11" s="12"/>
      <c r="M11" s="1"/>
      <c r="N11" s="1"/>
      <c r="O11" s="2"/>
      <c r="P11" s="12"/>
      <c r="Q11" s="12"/>
      <c r="R11" s="12"/>
    </row>
    <row r="12" spans="1:18" ht="15.95">
      <c r="A12" s="3" t="s">
        <v>228</v>
      </c>
      <c r="B12" s="9" t="s">
        <v>37</v>
      </c>
      <c r="C12" s="9"/>
      <c r="D12" s="9"/>
      <c r="E12" s="10"/>
      <c r="F12" s="9"/>
      <c r="G12" s="9"/>
      <c r="H12" s="9"/>
      <c r="I12" s="11"/>
      <c r="J12" s="12"/>
      <c r="K12" s="12"/>
      <c r="L12" s="12"/>
      <c r="M12" s="1"/>
      <c r="N12" s="1"/>
      <c r="O12" s="2"/>
      <c r="P12" s="12"/>
      <c r="Q12" s="12"/>
      <c r="R12" s="12"/>
    </row>
    <row r="13" spans="1:18" ht="15.95">
      <c r="A13" s="3" t="s">
        <v>229</v>
      </c>
      <c r="B13" s="9" t="s">
        <v>37</v>
      </c>
      <c r="C13" s="9"/>
      <c r="D13" s="9"/>
      <c r="E13" s="10"/>
      <c r="F13" s="9"/>
      <c r="G13" s="9"/>
      <c r="H13" s="9"/>
      <c r="I13" s="11"/>
      <c r="J13" s="12"/>
      <c r="K13" s="12"/>
      <c r="L13" s="12"/>
      <c r="M13" s="1"/>
      <c r="N13" s="1"/>
      <c r="O13" s="2"/>
      <c r="P13" s="12"/>
      <c r="Q13" s="12"/>
      <c r="R13" s="12"/>
    </row>
    <row r="14" spans="1:18" ht="15.95">
      <c r="A14" s="3" t="s">
        <v>230</v>
      </c>
      <c r="B14" s="9" t="s">
        <v>37</v>
      </c>
      <c r="C14" s="9"/>
      <c r="D14" s="9"/>
      <c r="E14" s="10"/>
      <c r="F14" s="9"/>
      <c r="G14" s="9"/>
      <c r="H14" s="9"/>
      <c r="I14" s="11"/>
      <c r="J14" s="12"/>
      <c r="K14" s="12"/>
      <c r="L14" s="12"/>
      <c r="M14" s="1"/>
      <c r="N14" s="1"/>
      <c r="O14" s="2"/>
      <c r="P14" s="12"/>
      <c r="Q14" s="12"/>
      <c r="R14" s="12"/>
    </row>
    <row r="15" spans="1:18" ht="15.95">
      <c r="A15" s="3" t="s">
        <v>231</v>
      </c>
      <c r="B15" s="9" t="s">
        <v>37</v>
      </c>
      <c r="C15" s="9"/>
      <c r="D15" s="9"/>
      <c r="E15" s="10"/>
      <c r="F15" s="9"/>
      <c r="G15" s="9"/>
      <c r="H15" s="9"/>
      <c r="I15" s="11"/>
      <c r="J15" s="12"/>
      <c r="K15" s="12"/>
      <c r="L15" s="12"/>
      <c r="M15" s="1"/>
      <c r="N15" s="1"/>
      <c r="O15" s="2"/>
      <c r="P15" s="12"/>
      <c r="Q15" s="12"/>
      <c r="R15" s="12"/>
    </row>
    <row r="16" spans="1:18" ht="15.95">
      <c r="A16" s="3" t="s">
        <v>232</v>
      </c>
      <c r="B16" s="9" t="s">
        <v>37</v>
      </c>
      <c r="C16" s="9"/>
      <c r="D16" s="9"/>
      <c r="E16" s="10"/>
      <c r="F16" s="9"/>
      <c r="G16" s="9"/>
      <c r="H16" s="9"/>
      <c r="I16" s="11"/>
      <c r="J16" s="12"/>
      <c r="K16" s="12"/>
      <c r="L16" s="12"/>
      <c r="M16" s="1"/>
      <c r="N16" s="1"/>
      <c r="O16" s="2"/>
      <c r="P16" s="12"/>
      <c r="Q16" s="12"/>
      <c r="R16" s="12"/>
    </row>
    <row r="17" spans="1:18" ht="15.95">
      <c r="A17" s="3" t="s">
        <v>233</v>
      </c>
      <c r="B17" s="9" t="s">
        <v>37</v>
      </c>
      <c r="C17" s="9"/>
      <c r="D17" s="9"/>
      <c r="E17" s="10"/>
      <c r="F17" s="9" t="s">
        <v>218</v>
      </c>
      <c r="G17" s="9"/>
      <c r="H17" s="9"/>
      <c r="I17" s="11"/>
      <c r="J17" s="12"/>
      <c r="K17" s="12"/>
      <c r="L17" s="12"/>
      <c r="M17" s="1"/>
      <c r="N17" s="1"/>
      <c r="O17" s="2"/>
      <c r="P17" s="12"/>
      <c r="Q17" s="12"/>
      <c r="R17" s="12"/>
    </row>
    <row r="18" spans="1:18" ht="15.95">
      <c r="A18" s="3" t="s">
        <v>234</v>
      </c>
      <c r="B18" s="9" t="s">
        <v>37</v>
      </c>
      <c r="C18" s="9"/>
      <c r="D18" s="9"/>
      <c r="E18" s="10"/>
      <c r="F18" s="9"/>
      <c r="G18" s="9"/>
      <c r="H18" s="9"/>
      <c r="I18" s="11"/>
      <c r="J18" s="12"/>
      <c r="K18" s="12"/>
      <c r="L18" s="12"/>
      <c r="M18" s="1"/>
      <c r="N18" s="1"/>
      <c r="O18" s="2"/>
      <c r="P18" s="12"/>
      <c r="Q18" s="12"/>
      <c r="R18" s="12"/>
    </row>
    <row r="19" spans="1:18" ht="17.100000000000001">
      <c r="A19" s="28" t="s">
        <v>235</v>
      </c>
      <c r="B19" s="9" t="s">
        <v>37</v>
      </c>
      <c r="C19" s="9"/>
      <c r="D19" s="9"/>
      <c r="E19" s="10" t="s">
        <v>218</v>
      </c>
      <c r="F19" s="9"/>
      <c r="G19" s="9"/>
      <c r="H19" s="9"/>
      <c r="I19" s="11"/>
      <c r="J19" s="12"/>
      <c r="K19" s="12"/>
      <c r="L19" s="12"/>
      <c r="M19" s="1"/>
      <c r="N19" s="1"/>
      <c r="O19" s="2"/>
      <c r="P19" s="12"/>
      <c r="Q19" s="12"/>
      <c r="R19" s="12"/>
    </row>
    <row r="20" spans="1:18" ht="15.95">
      <c r="A20" s="3" t="s">
        <v>236</v>
      </c>
      <c r="B20" s="9" t="s">
        <v>37</v>
      </c>
      <c r="C20" s="9"/>
      <c r="D20" s="9"/>
      <c r="E20" s="10"/>
      <c r="F20" s="9"/>
      <c r="G20" s="9"/>
      <c r="H20" s="9"/>
      <c r="I20" s="11"/>
      <c r="J20" s="12"/>
      <c r="K20" s="12"/>
      <c r="L20" s="12"/>
      <c r="M20" s="1"/>
      <c r="N20" s="1"/>
      <c r="O20" s="2"/>
      <c r="P20" s="12"/>
      <c r="Q20" s="12"/>
      <c r="R20" s="12"/>
    </row>
    <row r="21" spans="1:18" ht="15.95">
      <c r="A21" s="3" t="s">
        <v>237</v>
      </c>
      <c r="B21" s="9" t="s">
        <v>37</v>
      </c>
      <c r="C21" s="9"/>
      <c r="D21" s="9"/>
      <c r="E21" s="10"/>
      <c r="F21" s="9"/>
      <c r="G21" s="9"/>
      <c r="H21" s="9"/>
      <c r="I21" s="11"/>
      <c r="J21" s="12"/>
      <c r="K21" s="12"/>
      <c r="L21" s="12"/>
      <c r="M21" s="1"/>
      <c r="N21" s="1"/>
      <c r="O21" s="2"/>
      <c r="P21" s="12"/>
      <c r="Q21" s="12"/>
      <c r="R21" s="12"/>
    </row>
    <row r="22" spans="1:18" ht="15.95">
      <c r="A22" s="3" t="s">
        <v>238</v>
      </c>
      <c r="B22" s="9" t="s">
        <v>37</v>
      </c>
      <c r="C22" s="9"/>
      <c r="D22" s="9"/>
      <c r="E22" s="10"/>
      <c r="F22" s="9"/>
      <c r="G22" s="9"/>
      <c r="H22" s="9"/>
      <c r="I22" s="11"/>
      <c r="J22" s="12"/>
      <c r="K22" s="12"/>
      <c r="L22" s="12"/>
      <c r="M22" s="1"/>
      <c r="N22" s="1"/>
      <c r="O22" s="2"/>
      <c r="P22" s="12"/>
      <c r="Q22" s="12"/>
      <c r="R22" s="12"/>
    </row>
    <row r="23" spans="1:18" ht="15.95">
      <c r="A23" s="3" t="s">
        <v>239</v>
      </c>
      <c r="B23" s="9" t="s">
        <v>37</v>
      </c>
      <c r="C23" s="9"/>
      <c r="D23" s="9"/>
      <c r="E23" s="10"/>
      <c r="F23" s="9"/>
      <c r="G23" s="9"/>
      <c r="H23" s="9"/>
      <c r="I23" s="11"/>
      <c r="J23" s="12"/>
      <c r="K23" s="12"/>
      <c r="L23" s="12"/>
      <c r="M23" s="1"/>
      <c r="N23" s="1"/>
      <c r="O23" s="2"/>
      <c r="P23" s="12"/>
      <c r="Q23" s="12"/>
      <c r="R23" s="12"/>
    </row>
    <row r="24" spans="1:18" ht="15.95">
      <c r="A24" s="3" t="s">
        <v>240</v>
      </c>
      <c r="B24" s="9" t="s">
        <v>37</v>
      </c>
      <c r="C24" s="9"/>
      <c r="D24" s="9"/>
      <c r="E24" s="10"/>
      <c r="F24" s="9"/>
      <c r="G24" s="9"/>
      <c r="H24" s="9"/>
      <c r="I24" s="11"/>
      <c r="J24" s="12"/>
      <c r="K24" s="12"/>
      <c r="L24" s="12"/>
      <c r="M24" s="1"/>
      <c r="N24" s="1"/>
      <c r="O24" s="2"/>
      <c r="P24" s="12"/>
      <c r="Q24" s="12"/>
      <c r="R24" s="12"/>
    </row>
    <row r="25" spans="1:18" ht="15.95">
      <c r="A25" s="3" t="s">
        <v>241</v>
      </c>
      <c r="B25" s="9" t="s">
        <v>37</v>
      </c>
      <c r="C25" s="9"/>
      <c r="D25" s="9"/>
      <c r="E25" s="10"/>
      <c r="F25" s="9" t="s">
        <v>218</v>
      </c>
      <c r="G25" s="9"/>
      <c r="H25" s="9"/>
      <c r="I25" s="11"/>
      <c r="J25" s="12"/>
      <c r="K25" s="12"/>
      <c r="L25" s="12"/>
      <c r="M25" s="1"/>
      <c r="N25" s="1"/>
      <c r="O25" s="2"/>
      <c r="P25" s="12"/>
      <c r="Q25" s="12"/>
      <c r="R25" s="12"/>
    </row>
    <row r="26" spans="1:18" ht="15.95">
      <c r="A26" s="3" t="s">
        <v>242</v>
      </c>
      <c r="B26" s="9" t="s">
        <v>37</v>
      </c>
      <c r="C26" s="9"/>
      <c r="D26" s="9"/>
      <c r="E26" s="10"/>
      <c r="F26" s="9"/>
      <c r="G26" s="9"/>
      <c r="H26" s="9"/>
      <c r="I26" s="11"/>
      <c r="J26" s="12"/>
      <c r="K26" s="12"/>
      <c r="L26" s="12"/>
      <c r="M26" s="1"/>
      <c r="N26" s="1"/>
      <c r="O26" s="2"/>
      <c r="P26" s="12"/>
      <c r="Q26" s="12"/>
      <c r="R26" s="12"/>
    </row>
    <row r="27" spans="1:18" ht="15.95">
      <c r="A27" s="3" t="s">
        <v>243</v>
      </c>
      <c r="B27" s="9" t="s">
        <v>37</v>
      </c>
      <c r="C27" s="9"/>
      <c r="D27" s="9"/>
      <c r="E27" s="10"/>
      <c r="F27" s="9"/>
      <c r="G27" s="9" t="s">
        <v>218</v>
      </c>
      <c r="H27" s="9"/>
      <c r="I27" s="11"/>
      <c r="J27" s="12"/>
      <c r="K27" s="12"/>
      <c r="L27" s="12"/>
      <c r="M27" s="1"/>
      <c r="N27" s="1"/>
      <c r="O27" s="2"/>
      <c r="P27" s="12"/>
      <c r="Q27" s="12"/>
      <c r="R27" s="12"/>
    </row>
    <row r="28" spans="1:18" ht="17.100000000000001">
      <c r="A28" s="28" t="s">
        <v>244</v>
      </c>
      <c r="B28" s="9" t="s">
        <v>37</v>
      </c>
      <c r="C28" s="9"/>
      <c r="D28" s="9"/>
      <c r="E28" s="10" t="s">
        <v>218</v>
      </c>
      <c r="F28" s="9" t="s">
        <v>218</v>
      </c>
      <c r="G28" s="9"/>
      <c r="H28" s="9"/>
      <c r="I28" s="11"/>
      <c r="J28" s="12"/>
      <c r="K28" s="12"/>
      <c r="L28" s="12"/>
      <c r="M28" s="1"/>
      <c r="N28" s="1"/>
      <c r="O28" s="2"/>
      <c r="P28" s="12"/>
      <c r="Q28" s="12"/>
      <c r="R28" s="12"/>
    </row>
    <row r="29" spans="1:18" ht="15.95">
      <c r="A29" s="3" t="s">
        <v>245</v>
      </c>
      <c r="B29" s="9" t="s">
        <v>37</v>
      </c>
      <c r="C29" s="9"/>
      <c r="D29" s="9"/>
      <c r="E29" s="10"/>
      <c r="F29" s="9"/>
      <c r="G29" s="9"/>
      <c r="H29" s="9"/>
      <c r="I29" s="11"/>
      <c r="J29" s="12"/>
      <c r="K29" s="12"/>
      <c r="L29" s="12"/>
      <c r="M29" s="1"/>
      <c r="N29" s="1"/>
      <c r="O29" s="2"/>
      <c r="P29" s="12"/>
      <c r="Q29" s="12"/>
      <c r="R29" s="12"/>
    </row>
    <row r="30" spans="1:18" ht="15.95">
      <c r="A30" s="3" t="s">
        <v>246</v>
      </c>
      <c r="B30" s="9" t="s">
        <v>37</v>
      </c>
      <c r="C30" s="9"/>
      <c r="D30" s="9"/>
      <c r="E30" s="10"/>
      <c r="F30" s="9"/>
      <c r="G30" s="9"/>
      <c r="H30" s="9"/>
      <c r="I30" s="11"/>
      <c r="J30" s="12"/>
      <c r="K30" s="12"/>
      <c r="L30" s="12"/>
      <c r="M30" s="1"/>
      <c r="N30" s="1"/>
      <c r="O30" s="2"/>
      <c r="P30" s="12"/>
      <c r="Q30" s="12"/>
      <c r="R30" s="12"/>
    </row>
    <row r="31" spans="1:18" ht="15.95">
      <c r="A31" s="3" t="s">
        <v>247</v>
      </c>
      <c r="B31" s="9" t="s">
        <v>37</v>
      </c>
      <c r="C31" s="9"/>
      <c r="D31" s="9"/>
      <c r="E31" s="10"/>
      <c r="F31" s="9"/>
      <c r="G31" s="9"/>
      <c r="H31" s="9"/>
      <c r="I31" s="11"/>
      <c r="J31" s="12"/>
      <c r="K31" s="12"/>
      <c r="L31" s="12"/>
      <c r="M31" s="1"/>
      <c r="N31" s="1"/>
      <c r="O31" s="2"/>
      <c r="P31" s="12"/>
      <c r="Q31" s="12"/>
      <c r="R31" s="12"/>
    </row>
    <row r="32" spans="1:18" ht="17.100000000000001">
      <c r="A32" s="28" t="s">
        <v>248</v>
      </c>
      <c r="B32" s="9" t="s">
        <v>37</v>
      </c>
      <c r="C32" s="9"/>
      <c r="D32" s="9"/>
      <c r="E32" s="10" t="s">
        <v>218</v>
      </c>
      <c r="F32" s="9"/>
      <c r="G32" s="9"/>
      <c r="H32" s="9"/>
      <c r="I32" s="11"/>
      <c r="J32" s="12"/>
      <c r="K32" s="12"/>
      <c r="L32" s="12"/>
      <c r="M32" s="1"/>
      <c r="N32" s="1"/>
      <c r="O32" s="2"/>
      <c r="P32" s="12"/>
      <c r="Q32" s="12"/>
      <c r="R32" s="12"/>
    </row>
    <row r="33" spans="1:18" ht="17.100000000000001">
      <c r="A33" s="28" t="s">
        <v>249</v>
      </c>
      <c r="B33" s="9" t="s">
        <v>37</v>
      </c>
      <c r="C33" s="9"/>
      <c r="D33" s="9"/>
      <c r="E33" s="10" t="s">
        <v>218</v>
      </c>
      <c r="F33" s="9"/>
      <c r="G33" s="9" t="s">
        <v>218</v>
      </c>
      <c r="H33" s="9"/>
      <c r="I33" s="11"/>
      <c r="J33" s="12"/>
      <c r="K33" s="12"/>
      <c r="L33" s="12"/>
      <c r="M33" s="1"/>
      <c r="N33" s="1"/>
      <c r="O33" s="2"/>
      <c r="P33" s="12"/>
      <c r="Q33" s="12"/>
      <c r="R33" s="12"/>
    </row>
    <row r="34" spans="1:18" ht="17.100000000000001">
      <c r="A34" s="28" t="s">
        <v>250</v>
      </c>
      <c r="B34" s="9" t="s">
        <v>37</v>
      </c>
      <c r="C34" s="9"/>
      <c r="D34" s="9"/>
      <c r="E34" s="10" t="s">
        <v>218</v>
      </c>
      <c r="F34" s="9"/>
      <c r="G34" s="9"/>
      <c r="H34" s="9"/>
      <c r="I34" s="11"/>
      <c r="J34" s="12"/>
      <c r="K34" s="12"/>
      <c r="L34" s="12"/>
      <c r="M34" s="1"/>
      <c r="N34" s="1"/>
      <c r="O34" s="2"/>
      <c r="P34" s="12"/>
      <c r="Q34" s="12"/>
      <c r="R34" s="12"/>
    </row>
    <row r="35" spans="1:18" ht="17.100000000000001">
      <c r="A35" s="28" t="s">
        <v>251</v>
      </c>
      <c r="B35" s="9" t="s">
        <v>37</v>
      </c>
      <c r="C35" s="9"/>
      <c r="D35" s="9"/>
      <c r="E35" s="10" t="s">
        <v>218</v>
      </c>
      <c r="F35" s="9"/>
      <c r="G35" s="9"/>
      <c r="H35" s="9"/>
      <c r="I35" s="11"/>
      <c r="J35" s="12"/>
      <c r="K35" s="12"/>
      <c r="L35" s="12"/>
      <c r="M35" s="1"/>
      <c r="N35" s="1"/>
      <c r="O35" s="2"/>
      <c r="P35" s="12"/>
      <c r="Q35" s="12"/>
      <c r="R35" s="12"/>
    </row>
    <row r="36" spans="1:18" ht="15.95">
      <c r="A36" s="3" t="s">
        <v>252</v>
      </c>
      <c r="B36" s="9" t="s">
        <v>37</v>
      </c>
      <c r="C36" s="9"/>
      <c r="D36" s="9"/>
      <c r="E36" s="10"/>
      <c r="F36" s="9"/>
      <c r="G36" s="9" t="s">
        <v>218</v>
      </c>
      <c r="H36" s="9"/>
      <c r="I36" s="11"/>
      <c r="J36" s="12"/>
      <c r="K36" s="12"/>
      <c r="L36" s="12"/>
      <c r="M36" s="1"/>
      <c r="N36" s="1"/>
      <c r="O36" s="2"/>
      <c r="P36" s="12"/>
      <c r="Q36" s="12"/>
      <c r="R36" s="12"/>
    </row>
    <row r="37" spans="1:18" ht="15.95">
      <c r="A37" s="3" t="s">
        <v>253</v>
      </c>
      <c r="B37" s="9" t="s">
        <v>37</v>
      </c>
      <c r="C37" s="9"/>
      <c r="D37" s="9"/>
      <c r="E37" s="10"/>
      <c r="F37" s="9"/>
      <c r="G37" s="9"/>
      <c r="H37" s="9"/>
      <c r="I37" s="11"/>
      <c r="J37" s="12"/>
      <c r="K37" s="12"/>
      <c r="L37" s="12"/>
      <c r="M37" s="1"/>
      <c r="N37" s="1"/>
      <c r="O37" s="2"/>
      <c r="P37" s="12"/>
      <c r="Q37" s="12"/>
      <c r="R37" s="12"/>
    </row>
    <row r="38" spans="1:18" ht="15.95">
      <c r="A38" s="3" t="s">
        <v>254</v>
      </c>
      <c r="B38" s="9" t="s">
        <v>37</v>
      </c>
      <c r="C38" s="9"/>
      <c r="D38" s="9"/>
      <c r="E38" s="10"/>
      <c r="F38" s="9"/>
      <c r="G38" s="9"/>
      <c r="H38" s="9"/>
      <c r="I38" s="11"/>
      <c r="J38" s="12"/>
      <c r="K38" s="12"/>
      <c r="L38" s="12"/>
      <c r="M38" s="1"/>
      <c r="N38" s="1"/>
      <c r="O38" s="2"/>
      <c r="P38" s="12"/>
      <c r="Q38" s="12"/>
      <c r="R38" s="12"/>
    </row>
    <row r="39" spans="1:18" ht="15.95">
      <c r="A39" s="3" t="s">
        <v>255</v>
      </c>
      <c r="B39" s="9" t="s">
        <v>37</v>
      </c>
      <c r="C39" s="9"/>
      <c r="D39" s="9"/>
      <c r="E39" s="10"/>
      <c r="F39" s="9"/>
      <c r="G39" s="9"/>
      <c r="H39" s="9"/>
      <c r="I39" s="11"/>
      <c r="J39" s="12"/>
      <c r="K39" s="12"/>
      <c r="L39" s="12"/>
      <c r="M39" s="1"/>
      <c r="N39" s="1"/>
      <c r="O39" s="2"/>
      <c r="P39" s="12"/>
      <c r="Q39" s="12"/>
      <c r="R39" s="12"/>
    </row>
    <row r="40" spans="1:18" ht="15.95">
      <c r="A40" s="3" t="s">
        <v>256</v>
      </c>
      <c r="B40" s="9" t="s">
        <v>37</v>
      </c>
      <c r="C40" s="9"/>
      <c r="D40" s="9"/>
      <c r="E40" s="10"/>
      <c r="F40" s="9"/>
      <c r="G40" s="9"/>
      <c r="H40" s="9"/>
      <c r="I40" s="11"/>
      <c r="J40" s="12"/>
      <c r="K40" s="12"/>
      <c r="L40" s="12"/>
      <c r="M40" s="1"/>
      <c r="N40" s="1"/>
      <c r="O40" s="2"/>
      <c r="P40" s="12"/>
      <c r="Q40" s="12"/>
      <c r="R40" s="12"/>
    </row>
    <row r="41" spans="1:18" ht="15.95">
      <c r="A41" s="3" t="s">
        <v>257</v>
      </c>
      <c r="B41" s="9" t="s">
        <v>37</v>
      </c>
      <c r="C41" s="9"/>
      <c r="D41" s="9"/>
      <c r="E41" s="10"/>
      <c r="F41" s="9" t="s">
        <v>218</v>
      </c>
      <c r="G41" s="9"/>
      <c r="H41" s="9"/>
      <c r="I41" s="11"/>
      <c r="J41" s="12"/>
      <c r="K41" s="12"/>
      <c r="L41" s="12"/>
      <c r="M41" s="1"/>
      <c r="N41" s="1"/>
      <c r="O41" s="2"/>
      <c r="P41" s="12"/>
      <c r="Q41" s="12"/>
      <c r="R41" s="12"/>
    </row>
    <row r="42" spans="1:18" ht="15.95">
      <c r="A42" s="28" t="s">
        <v>258</v>
      </c>
      <c r="B42" s="9" t="s">
        <v>37</v>
      </c>
      <c r="C42" s="9"/>
      <c r="D42" s="9"/>
      <c r="E42" s="10"/>
      <c r="F42" s="9"/>
      <c r="G42" s="9" t="s">
        <v>218</v>
      </c>
      <c r="H42" s="9"/>
      <c r="I42" s="11"/>
      <c r="J42" s="12"/>
      <c r="K42" s="12"/>
      <c r="L42" s="12"/>
      <c r="M42" s="1"/>
      <c r="N42" s="1"/>
      <c r="O42" s="2"/>
      <c r="P42" s="12"/>
      <c r="Q42" s="12"/>
      <c r="R42" s="12"/>
    </row>
    <row r="43" spans="1:18" ht="15.95">
      <c r="A43" s="3" t="s">
        <v>259</v>
      </c>
      <c r="B43" s="9" t="s">
        <v>37</v>
      </c>
      <c r="C43" s="9"/>
      <c r="D43" s="9"/>
      <c r="E43" s="10"/>
      <c r="F43" s="9"/>
      <c r="G43" s="9" t="s">
        <v>218</v>
      </c>
      <c r="H43" s="9"/>
      <c r="I43" s="11"/>
      <c r="J43" s="12"/>
      <c r="K43" s="12"/>
      <c r="L43" s="12"/>
      <c r="M43" s="1"/>
      <c r="N43" s="1"/>
      <c r="O43" s="2"/>
      <c r="P43" s="12"/>
      <c r="Q43" s="12"/>
      <c r="R43" s="12"/>
    </row>
    <row r="44" spans="1:18" ht="17.100000000000001">
      <c r="A44" s="28" t="s">
        <v>260</v>
      </c>
      <c r="B44" s="9" t="s">
        <v>37</v>
      </c>
      <c r="C44" s="9"/>
      <c r="D44" s="9"/>
      <c r="E44" s="10" t="s">
        <v>218</v>
      </c>
      <c r="F44" s="9"/>
      <c r="G44" s="9"/>
      <c r="H44" s="9"/>
      <c r="I44" s="11"/>
      <c r="J44" s="12"/>
      <c r="K44" s="12"/>
      <c r="L44" s="12"/>
      <c r="M44" s="1"/>
      <c r="N44" s="1"/>
      <c r="O44" s="2"/>
      <c r="P44" s="12"/>
      <c r="Q44" s="12"/>
      <c r="R44" s="12"/>
    </row>
    <row r="45" spans="1:18" ht="15.95">
      <c r="A45" s="3" t="s">
        <v>261</v>
      </c>
      <c r="B45" s="9" t="s">
        <v>37</v>
      </c>
      <c r="C45" s="9"/>
      <c r="D45" s="9"/>
      <c r="E45" s="10"/>
      <c r="F45" s="9"/>
      <c r="G45" s="9" t="s">
        <v>218</v>
      </c>
      <c r="H45" s="9"/>
      <c r="I45" s="11"/>
      <c r="J45" s="12"/>
      <c r="K45" s="12"/>
      <c r="L45" s="12"/>
      <c r="M45" s="1"/>
      <c r="N45" s="1"/>
      <c r="O45" s="2"/>
      <c r="P45" s="12"/>
      <c r="Q45" s="12"/>
      <c r="R45" s="12"/>
    </row>
    <row r="46" spans="1:18" ht="15.95">
      <c r="A46" s="3" t="s">
        <v>262</v>
      </c>
      <c r="B46" s="9" t="s">
        <v>37</v>
      </c>
      <c r="C46" s="9"/>
      <c r="D46" s="9"/>
      <c r="E46" s="15"/>
      <c r="F46" s="15"/>
      <c r="G46" s="15" t="s">
        <v>218</v>
      </c>
      <c r="H46" s="15" t="s">
        <v>218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spans="1:18" ht="15.95">
      <c r="A47" s="3" t="s">
        <v>263</v>
      </c>
      <c r="B47" s="9" t="s">
        <v>37</v>
      </c>
      <c r="C47" s="9"/>
      <c r="D47" s="9"/>
      <c r="E47" s="15"/>
      <c r="F47" s="15"/>
      <c r="G47" s="15" t="s">
        <v>218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spans="1:18" ht="15.95">
      <c r="A48" s="3" t="s">
        <v>264</v>
      </c>
      <c r="B48" s="9" t="s">
        <v>37</v>
      </c>
      <c r="C48" s="9"/>
      <c r="D48" s="9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ht="15.95">
      <c r="A49" s="28" t="s">
        <v>265</v>
      </c>
      <c r="B49" s="9" t="s">
        <v>37</v>
      </c>
      <c r="C49" s="9"/>
      <c r="D49" s="9"/>
      <c r="E49" s="15" t="s">
        <v>218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spans="1:18" ht="15.95">
      <c r="A50" s="23" t="s">
        <v>266</v>
      </c>
      <c r="B50" s="9" t="s">
        <v>37</v>
      </c>
      <c r="C50" s="9"/>
      <c r="D50" s="9"/>
      <c r="E50" s="15" t="s">
        <v>218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spans="1:18" ht="15.95">
      <c r="A51" s="24" t="s">
        <v>267</v>
      </c>
      <c r="B51" s="9" t="s">
        <v>37</v>
      </c>
      <c r="C51" s="9"/>
      <c r="D51" s="9"/>
      <c r="E51" s="15" t="s">
        <v>218</v>
      </c>
      <c r="F51" s="15"/>
      <c r="G51" s="15"/>
      <c r="H51" s="15" t="s">
        <v>218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spans="1:18" ht="15.95">
      <c r="A52" s="23" t="s">
        <v>268</v>
      </c>
      <c r="B52" s="9" t="s">
        <v>37</v>
      </c>
      <c r="C52" s="9"/>
      <c r="D52" s="9"/>
      <c r="E52" s="15" t="s">
        <v>218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spans="1:18" ht="15.95">
      <c r="A53" s="24" t="s">
        <v>269</v>
      </c>
      <c r="B53" s="9" t="s">
        <v>37</v>
      </c>
      <c r="C53" s="9"/>
      <c r="D53" s="9"/>
      <c r="E53" s="15" t="s">
        <v>218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spans="1:18" ht="15.95">
      <c r="A54" s="25" t="s">
        <v>270</v>
      </c>
      <c r="B54" s="9" t="s">
        <v>37</v>
      </c>
      <c r="C54" s="9"/>
      <c r="D54" s="9"/>
      <c r="E54" s="15" t="s">
        <v>218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spans="1:18" ht="15.95">
      <c r="A55" s="24" t="s">
        <v>271</v>
      </c>
      <c r="B55" s="9" t="s">
        <v>37</v>
      </c>
      <c r="C55" s="9"/>
      <c r="D55" s="9"/>
      <c r="E55" s="15" t="s">
        <v>218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spans="1:18" ht="15.95">
      <c r="A56" s="25" t="s">
        <v>272</v>
      </c>
      <c r="B56" s="9" t="s">
        <v>37</v>
      </c>
      <c r="C56" s="9"/>
      <c r="D56" s="9"/>
      <c r="E56" s="15" t="s">
        <v>218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spans="1:18" ht="15.95">
      <c r="A57" s="24" t="s">
        <v>273</v>
      </c>
      <c r="B57" s="9" t="s">
        <v>37</v>
      </c>
      <c r="C57" s="9"/>
      <c r="D57" s="9"/>
      <c r="E57" s="15" t="s">
        <v>218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spans="1:18" ht="15.95">
      <c r="A58" s="24" t="s">
        <v>274</v>
      </c>
      <c r="B58" s="9" t="s">
        <v>37</v>
      </c>
      <c r="C58" s="9"/>
      <c r="D58" s="9"/>
      <c r="E58" s="15" t="s">
        <v>218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spans="1:18" ht="15.95">
      <c r="A59" s="24" t="s">
        <v>275</v>
      </c>
      <c r="B59" s="9" t="s">
        <v>37</v>
      </c>
      <c r="C59" s="9"/>
      <c r="D59" s="9"/>
      <c r="E59" s="15" t="s">
        <v>218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8" ht="15.95">
      <c r="A60" s="23" t="s">
        <v>276</v>
      </c>
      <c r="B60" s="9" t="s">
        <v>37</v>
      </c>
      <c r="C60" s="9"/>
      <c r="D60" s="9"/>
      <c r="E60" s="15" t="s">
        <v>218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1:18" ht="15.95">
      <c r="A61" s="23" t="s">
        <v>277</v>
      </c>
      <c r="B61" s="9" t="s">
        <v>37</v>
      </c>
      <c r="C61" s="9"/>
      <c r="D61" s="9"/>
      <c r="E61" s="15" t="s">
        <v>218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spans="1:18" ht="15.95">
      <c r="A62" s="24" t="s">
        <v>278</v>
      </c>
      <c r="B62" s="9" t="s">
        <v>37</v>
      </c>
      <c r="C62" s="9"/>
      <c r="D62" s="9"/>
      <c r="E62" s="15" t="s">
        <v>218</v>
      </c>
      <c r="F62" s="15"/>
      <c r="G62" s="15" t="s">
        <v>218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spans="1:18" ht="15.95">
      <c r="A63" s="25" t="s">
        <v>279</v>
      </c>
      <c r="B63" s="9" t="s">
        <v>37</v>
      </c>
      <c r="C63" s="9"/>
      <c r="D63" s="9"/>
      <c r="E63" s="15" t="s">
        <v>218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spans="1:18" ht="15.95">
      <c r="A64" s="24" t="s">
        <v>280</v>
      </c>
      <c r="B64" s="9" t="s">
        <v>37</v>
      </c>
      <c r="C64" s="9"/>
      <c r="D64" s="9"/>
      <c r="E64" s="15" t="s">
        <v>218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spans="1:18" ht="15.95">
      <c r="A65" s="23" t="s">
        <v>281</v>
      </c>
      <c r="B65" s="9" t="s">
        <v>37</v>
      </c>
      <c r="C65" s="9"/>
      <c r="D65" s="9"/>
      <c r="E65" s="15" t="s">
        <v>218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spans="1:18" ht="15.95">
      <c r="A66" s="26" t="s">
        <v>282</v>
      </c>
      <c r="B66" s="9" t="s">
        <v>37</v>
      </c>
      <c r="C66" s="9"/>
      <c r="D66" s="9"/>
      <c r="E66" s="15" t="s">
        <v>218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1:18" ht="15.95">
      <c r="A67" s="25" t="s">
        <v>283</v>
      </c>
      <c r="B67" s="9" t="s">
        <v>37</v>
      </c>
      <c r="C67" s="9"/>
      <c r="D67" s="9"/>
      <c r="E67" s="15" t="s">
        <v>218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1:18" ht="15.95">
      <c r="A68" s="24" t="s">
        <v>284</v>
      </c>
      <c r="B68" s="9" t="s">
        <v>37</v>
      </c>
      <c r="C68" s="9"/>
      <c r="D68" s="9"/>
      <c r="E68" s="15" t="s">
        <v>218</v>
      </c>
      <c r="F68" s="15" t="s">
        <v>218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ht="15.95">
      <c r="A69" s="23" t="s">
        <v>285</v>
      </c>
      <c r="B69" s="9" t="s">
        <v>37</v>
      </c>
      <c r="C69" s="9"/>
      <c r="D69" s="9"/>
      <c r="E69" s="15" t="s">
        <v>218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spans="1:18" ht="15.95">
      <c r="A70" s="24" t="s">
        <v>286</v>
      </c>
      <c r="B70" s="9" t="s">
        <v>37</v>
      </c>
      <c r="C70" s="9"/>
      <c r="D70" s="9"/>
      <c r="E70" s="15" t="s">
        <v>218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spans="1:18" ht="15.95">
      <c r="A71" s="23" t="s">
        <v>287</v>
      </c>
      <c r="B71" s="9" t="s">
        <v>37</v>
      </c>
      <c r="C71" s="9"/>
      <c r="D71" s="9"/>
      <c r="E71" s="15" t="s">
        <v>218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1:18" ht="15.95">
      <c r="A72" s="27" t="s">
        <v>288</v>
      </c>
      <c r="B72" s="9" t="s">
        <v>37</v>
      </c>
      <c r="C72" s="9"/>
      <c r="D72" s="9"/>
      <c r="E72" s="15" t="s">
        <v>218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1:18" ht="15.95">
      <c r="A73" s="27" t="s">
        <v>289</v>
      </c>
      <c r="B73" s="9" t="s">
        <v>37</v>
      </c>
      <c r="C73" s="9"/>
      <c r="D73" s="9"/>
      <c r="E73" s="15" t="s">
        <v>218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spans="1:18" ht="15.95">
      <c r="A74" s="24" t="s">
        <v>290</v>
      </c>
      <c r="B74" s="9" t="s">
        <v>37</v>
      </c>
      <c r="C74" s="9"/>
      <c r="D74" s="9"/>
      <c r="E74" s="15" t="s">
        <v>218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spans="1:18" ht="15.95">
      <c r="A75" s="27" t="s">
        <v>291</v>
      </c>
      <c r="B75" s="9" t="s">
        <v>37</v>
      </c>
      <c r="C75" s="9"/>
      <c r="D75" s="9"/>
      <c r="E75" s="15" t="s">
        <v>218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spans="1:18" ht="15.95">
      <c r="A76" s="27" t="s">
        <v>292</v>
      </c>
      <c r="B76" s="9" t="s">
        <v>37</v>
      </c>
      <c r="C76" s="9"/>
      <c r="D76" s="9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ht="15.95">
      <c r="A77" s="27" t="s">
        <v>293</v>
      </c>
      <c r="B77" s="9" t="s">
        <v>294</v>
      </c>
      <c r="C77" s="9"/>
      <c r="D77" s="9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ht="15.95">
      <c r="A78" s="27" t="s">
        <v>295</v>
      </c>
      <c r="B78" s="9" t="s">
        <v>294</v>
      </c>
      <c r="C78" s="9"/>
      <c r="D78" s="9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ht="15.95">
      <c r="A79" s="3" t="s">
        <v>296</v>
      </c>
      <c r="B79" s="3" t="s">
        <v>297</v>
      </c>
      <c r="C79" s="9"/>
      <c r="D79" s="9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8" ht="15.95">
      <c r="A80" s="3" t="s">
        <v>298</v>
      </c>
      <c r="B80" s="3" t="s">
        <v>297</v>
      </c>
      <c r="C80" s="3"/>
      <c r="D80" s="3"/>
      <c r="E80" s="3"/>
      <c r="F80" s="3" t="s">
        <v>218</v>
      </c>
      <c r="G80" s="3" t="s">
        <v>218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5.95">
      <c r="A81" s="3" t="s">
        <v>299</v>
      </c>
      <c r="B81" s="3" t="s">
        <v>297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5.95">
      <c r="A82" s="3" t="s">
        <v>300</v>
      </c>
      <c r="B82" s="3" t="s">
        <v>172</v>
      </c>
      <c r="C82" s="3"/>
      <c r="D82" s="3"/>
      <c r="E82" s="3" t="s">
        <v>218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5.95">
      <c r="A83" s="3" t="s">
        <v>301</v>
      </c>
      <c r="B83" s="3" t="s">
        <v>172</v>
      </c>
      <c r="C83" s="3"/>
      <c r="D83" s="3"/>
      <c r="E83" s="3" t="s">
        <v>218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5.95">
      <c r="A84" s="3" t="s">
        <v>302</v>
      </c>
      <c r="B84" s="3" t="s">
        <v>172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5.95">
      <c r="A85" s="3" t="s">
        <v>303</v>
      </c>
      <c r="B85" s="3" t="s">
        <v>172</v>
      </c>
      <c r="C85" s="3"/>
      <c r="D85" s="3"/>
      <c r="E85" s="3" t="s">
        <v>218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5.95">
      <c r="A86" s="3" t="s">
        <v>304</v>
      </c>
      <c r="B86" s="3" t="s">
        <v>172</v>
      </c>
      <c r="C86" s="3"/>
      <c r="D86" s="3"/>
      <c r="E86" s="3" t="s">
        <v>218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5.95">
      <c r="A87" s="3" t="s">
        <v>305</v>
      </c>
      <c r="B87" s="3" t="s">
        <v>172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5.95">
      <c r="A88" s="3" t="s">
        <v>306</v>
      </c>
      <c r="B88" s="3" t="s">
        <v>172</v>
      </c>
      <c r="C88" s="3"/>
      <c r="D88" s="3"/>
      <c r="E88" s="3" t="s">
        <v>218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5.95">
      <c r="A89" s="3" t="s">
        <v>307</v>
      </c>
      <c r="B89" s="3" t="s">
        <v>172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5.95">
      <c r="A90" s="3" t="s">
        <v>308</v>
      </c>
      <c r="B90" s="3" t="s">
        <v>172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5.95">
      <c r="A91" s="3" t="s">
        <v>309</v>
      </c>
      <c r="B91" s="3" t="s">
        <v>172</v>
      </c>
      <c r="C91" s="3"/>
      <c r="D91" s="3"/>
      <c r="E91" s="3" t="s">
        <v>218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5.95">
      <c r="A92" s="3" t="s">
        <v>310</v>
      </c>
      <c r="B92" s="3" t="s">
        <v>172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5.95">
      <c r="A93" s="3" t="s">
        <v>311</v>
      </c>
      <c r="B93" s="3" t="s">
        <v>172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5.95">
      <c r="A94" s="3" t="s">
        <v>312</v>
      </c>
      <c r="B94" s="3" t="s">
        <v>172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5.95">
      <c r="A95" s="3" t="s">
        <v>313</v>
      </c>
      <c r="B95" s="3" t="s">
        <v>172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5.95">
      <c r="A96" s="3" t="s">
        <v>314</v>
      </c>
      <c r="B96" s="3" t="s">
        <v>172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5.95">
      <c r="A97" s="3" t="s">
        <v>315</v>
      </c>
      <c r="B97" s="3" t="s">
        <v>172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5.95">
      <c r="A98" s="3" t="s">
        <v>316</v>
      </c>
      <c r="B98" s="3" t="s">
        <v>172</v>
      </c>
      <c r="C98" s="3"/>
      <c r="D98" s="3"/>
      <c r="E98" s="3" t="s">
        <v>218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5.95">
      <c r="A99" s="3" t="s">
        <v>317</v>
      </c>
      <c r="B99" s="3" t="s">
        <v>172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5.95">
      <c r="A100" s="3" t="s">
        <v>318</v>
      </c>
      <c r="B100" s="3" t="s">
        <v>172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.95">
      <c r="A101" s="3" t="s">
        <v>319</v>
      </c>
      <c r="B101" s="3" t="s">
        <v>172</v>
      </c>
      <c r="C101" s="3"/>
      <c r="D101" s="3"/>
      <c r="E101" s="3" t="s">
        <v>218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5.95">
      <c r="A102" s="3" t="s">
        <v>320</v>
      </c>
      <c r="B102" s="3" t="s">
        <v>172</v>
      </c>
      <c r="C102" s="3"/>
      <c r="D102" s="3"/>
      <c r="E102" s="3" t="s">
        <v>218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5.95">
      <c r="A103" s="3" t="s">
        <v>321</v>
      </c>
      <c r="B103" s="3" t="s">
        <v>297</v>
      </c>
      <c r="C103" s="3"/>
      <c r="D103" s="3"/>
      <c r="E103" s="3" t="s">
        <v>218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5.95">
      <c r="A104" s="16" t="s">
        <v>322</v>
      </c>
      <c r="B104" s="3" t="s">
        <v>27</v>
      </c>
      <c r="C104" s="17">
        <v>31227000000</v>
      </c>
      <c r="D104" s="18">
        <v>95000</v>
      </c>
      <c r="E104" s="3"/>
      <c r="F104" s="3" t="s">
        <v>218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5.95">
      <c r="A105" s="16" t="s">
        <v>323</v>
      </c>
      <c r="B105" s="3" t="s">
        <v>27</v>
      </c>
      <c r="C105" s="17">
        <v>27400000000</v>
      </c>
      <c r="D105" s="19" t="s">
        <v>324</v>
      </c>
      <c r="E105" s="3" t="s">
        <v>218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5.95">
      <c r="A106" s="16" t="s">
        <v>325</v>
      </c>
      <c r="B106" s="3" t="s">
        <v>27</v>
      </c>
      <c r="C106" s="17">
        <v>22799700000</v>
      </c>
      <c r="D106" s="18">
        <v>69500</v>
      </c>
      <c r="E106" s="3" t="s">
        <v>218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5.95">
      <c r="A107" s="16" t="s">
        <v>326</v>
      </c>
      <c r="B107" s="3" t="s">
        <v>27</v>
      </c>
      <c r="C107" s="17">
        <v>21200000000</v>
      </c>
      <c r="D107" s="18">
        <v>35000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5.95">
      <c r="A108" s="16" t="s">
        <v>327</v>
      </c>
      <c r="B108" s="3" t="s">
        <v>27</v>
      </c>
      <c r="C108" s="17">
        <v>18718350000</v>
      </c>
      <c r="D108" s="18">
        <v>77233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5.95">
      <c r="A109" s="16" t="s">
        <v>328</v>
      </c>
      <c r="B109" s="3" t="s">
        <v>27</v>
      </c>
      <c r="C109" s="17">
        <v>18449000000</v>
      </c>
      <c r="D109" s="18">
        <v>51000</v>
      </c>
      <c r="E109" s="3"/>
      <c r="F109" s="3" t="s">
        <v>218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5.95">
      <c r="A110" s="16" t="s">
        <v>329</v>
      </c>
      <c r="B110" s="3" t="s">
        <v>27</v>
      </c>
      <c r="C110" s="17">
        <v>18341000000</v>
      </c>
      <c r="D110" s="18">
        <v>50000</v>
      </c>
      <c r="E110" s="3"/>
      <c r="F110" s="3" t="s">
        <v>218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5.95">
      <c r="A111" s="16" t="s">
        <v>330</v>
      </c>
      <c r="B111" s="3" t="s">
        <v>27</v>
      </c>
      <c r="C111" s="17">
        <v>15887000000</v>
      </c>
      <c r="D111" s="19" t="s">
        <v>324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5.95">
      <c r="A112" s="16" t="s">
        <v>331</v>
      </c>
      <c r="B112" s="3" t="s">
        <v>27</v>
      </c>
      <c r="C112" s="17">
        <v>15113000000</v>
      </c>
      <c r="D112" s="18">
        <v>60000</v>
      </c>
      <c r="E112" s="3"/>
      <c r="F112" s="3" t="s">
        <v>218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5.95">
      <c r="A113" s="16" t="s">
        <v>332</v>
      </c>
      <c r="B113" s="3" t="s">
        <v>27</v>
      </c>
      <c r="C113" s="17">
        <v>14687000000</v>
      </c>
      <c r="D113" s="19" t="s">
        <v>324</v>
      </c>
      <c r="E113" s="3"/>
      <c r="F113" s="3" t="s">
        <v>218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5.95">
      <c r="A114" s="16" t="s">
        <v>333</v>
      </c>
      <c r="B114" s="3" t="s">
        <v>27</v>
      </c>
      <c r="C114" s="17">
        <v>13305000000</v>
      </c>
      <c r="D114" s="19" t="s">
        <v>324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5.95">
      <c r="A115" s="16" t="s">
        <v>334</v>
      </c>
      <c r="B115" s="3" t="s">
        <v>27</v>
      </c>
      <c r="C115" s="17">
        <v>12682000000</v>
      </c>
      <c r="D115" s="18">
        <v>45000</v>
      </c>
      <c r="E115" s="3"/>
      <c r="F115" s="3" t="s">
        <v>218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5.95">
      <c r="A116" s="16" t="s">
        <v>335</v>
      </c>
      <c r="B116" s="3" t="s">
        <v>27</v>
      </c>
      <c r="C116" s="17">
        <v>12647000000</v>
      </c>
      <c r="D116" s="18">
        <v>22000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5.95">
      <c r="A117" s="16" t="s">
        <v>336</v>
      </c>
      <c r="B117" s="3" t="s">
        <v>27</v>
      </c>
      <c r="C117" s="17">
        <v>9955475000</v>
      </c>
      <c r="D117" s="18">
        <v>20000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5.95">
      <c r="A118" s="16" t="s">
        <v>337</v>
      </c>
      <c r="B118" s="3" t="s">
        <v>27</v>
      </c>
      <c r="C118" s="17">
        <v>8924895000</v>
      </c>
      <c r="D118" s="18">
        <v>65000</v>
      </c>
      <c r="E118" s="3" t="s">
        <v>218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95">
      <c r="A119" s="16" t="s">
        <v>338</v>
      </c>
      <c r="B119" s="3" t="s">
        <v>27</v>
      </c>
      <c r="C119" s="17">
        <v>8717000000</v>
      </c>
      <c r="D119" s="18">
        <v>25178</v>
      </c>
      <c r="E119" s="3" t="s">
        <v>218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5.95">
      <c r="A120" s="16" t="s">
        <v>339</v>
      </c>
      <c r="B120" s="3" t="s">
        <v>27</v>
      </c>
      <c r="C120" s="17">
        <v>8421000000</v>
      </c>
      <c r="D120" s="19" t="s">
        <v>324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5.95">
      <c r="A121" s="16" t="s">
        <v>340</v>
      </c>
      <c r="B121" s="3" t="s">
        <v>27</v>
      </c>
      <c r="C121" s="17">
        <v>6982410472</v>
      </c>
      <c r="D121" s="19" t="s">
        <v>324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5.95">
      <c r="A122" s="16" t="s">
        <v>341</v>
      </c>
      <c r="B122" s="3" t="s">
        <v>27</v>
      </c>
      <c r="C122" s="17">
        <v>6939900000</v>
      </c>
      <c r="D122" s="18">
        <v>18000</v>
      </c>
      <c r="E122" s="3" t="s">
        <v>218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5.95">
      <c r="A123" s="16" t="s">
        <v>342</v>
      </c>
      <c r="B123" s="3" t="s">
        <v>27</v>
      </c>
      <c r="C123" s="17">
        <v>6618266241</v>
      </c>
      <c r="D123" s="18">
        <v>22756</v>
      </c>
      <c r="E123" s="3" t="s">
        <v>218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5.95">
      <c r="A124" s="16" t="s">
        <v>343</v>
      </c>
      <c r="B124" s="3" t="s">
        <v>27</v>
      </c>
      <c r="C124" s="17">
        <v>6239280870</v>
      </c>
      <c r="D124" s="18">
        <v>30207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5.95">
      <c r="A125" s="16" t="s">
        <v>344</v>
      </c>
      <c r="B125" s="3" t="s">
        <v>27</v>
      </c>
      <c r="C125" s="17">
        <v>6222200000</v>
      </c>
      <c r="D125" s="18">
        <v>12120</v>
      </c>
      <c r="E125" s="3"/>
      <c r="F125" s="3" t="s">
        <v>218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5.95">
      <c r="A126" s="16" t="s">
        <v>345</v>
      </c>
      <c r="B126" s="3" t="s">
        <v>27</v>
      </c>
      <c r="C126" s="17">
        <v>5382400000</v>
      </c>
      <c r="D126" s="18">
        <v>18300</v>
      </c>
      <c r="E126" s="3" t="s">
        <v>218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5.95">
      <c r="A127" s="16" t="s">
        <v>346</v>
      </c>
      <c r="B127" s="3" t="s">
        <v>27</v>
      </c>
      <c r="C127" s="17">
        <v>5215000000</v>
      </c>
      <c r="D127" s="18">
        <v>19012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5.95">
      <c r="A128" s="16" t="s">
        <v>347</v>
      </c>
      <c r="B128" s="3" t="s">
        <v>27</v>
      </c>
      <c r="C128" s="17">
        <v>4957839000</v>
      </c>
      <c r="D128" s="18">
        <v>17100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5.95">
      <c r="A129" s="16" t="s">
        <v>348</v>
      </c>
      <c r="B129" s="3" t="s">
        <v>27</v>
      </c>
      <c r="C129" s="17">
        <v>4862800000</v>
      </c>
      <c r="D129" s="18">
        <v>6944</v>
      </c>
      <c r="E129" s="3"/>
      <c r="F129" s="3" t="s">
        <v>218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5.95">
      <c r="A130" s="16" t="s">
        <v>349</v>
      </c>
      <c r="B130" s="3" t="s">
        <v>27</v>
      </c>
      <c r="C130" s="17">
        <v>4513300639</v>
      </c>
      <c r="D130" s="18">
        <v>16099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5.95">
      <c r="A131" s="16" t="s">
        <v>350</v>
      </c>
      <c r="B131" s="3" t="s">
        <v>27</v>
      </c>
      <c r="C131" s="17">
        <v>4179000000</v>
      </c>
      <c r="D131" s="19" t="s">
        <v>324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5.95">
      <c r="A132" s="16" t="s">
        <v>351</v>
      </c>
      <c r="B132" s="3" t="s">
        <v>27</v>
      </c>
      <c r="C132" s="17">
        <v>3922000000</v>
      </c>
      <c r="D132" s="18">
        <v>15000</v>
      </c>
      <c r="E132" s="3"/>
      <c r="F132" s="3" t="s">
        <v>218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5.95">
      <c r="A133" s="16" t="s">
        <v>352</v>
      </c>
      <c r="B133" s="3" t="s">
        <v>27</v>
      </c>
      <c r="C133" s="17">
        <v>3914136126</v>
      </c>
      <c r="D133" s="18">
        <v>17608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5.95">
      <c r="A134" s="16" t="s">
        <v>353</v>
      </c>
      <c r="B134" s="3" t="s">
        <v>27</v>
      </c>
      <c r="C134" s="17">
        <v>3904878255</v>
      </c>
      <c r="D134" s="19" t="s">
        <v>324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5.95">
      <c r="A135" s="16" t="s">
        <v>354</v>
      </c>
      <c r="B135" s="3" t="s">
        <v>27</v>
      </c>
      <c r="C135" s="17">
        <v>3734635000</v>
      </c>
      <c r="D135" s="18">
        <v>23165</v>
      </c>
      <c r="E135" s="3" t="s">
        <v>218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5.95">
      <c r="A136" s="16" t="s">
        <v>355</v>
      </c>
      <c r="B136" s="3" t="s">
        <v>27</v>
      </c>
      <c r="C136" s="17">
        <v>3610466846</v>
      </c>
      <c r="D136" s="19" t="s">
        <v>324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5.95">
      <c r="A137" s="16" t="s">
        <v>356</v>
      </c>
      <c r="B137" s="3" t="s">
        <v>27</v>
      </c>
      <c r="C137" s="17">
        <v>3578127000</v>
      </c>
      <c r="D137" s="18">
        <v>8160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5.95">
      <c r="A138" s="16" t="s">
        <v>357</v>
      </c>
      <c r="B138" s="3" t="s">
        <v>27</v>
      </c>
      <c r="C138" s="17">
        <v>3308400000</v>
      </c>
      <c r="D138" s="18">
        <v>14000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5.95">
      <c r="A139" s="16" t="s">
        <v>358</v>
      </c>
      <c r="B139" s="3" t="s">
        <v>27</v>
      </c>
      <c r="C139" s="17">
        <v>3194587814</v>
      </c>
      <c r="D139" s="18">
        <v>27220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5.95">
      <c r="A140" s="16" t="s">
        <v>359</v>
      </c>
      <c r="B140" s="3" t="s">
        <v>27</v>
      </c>
      <c r="C140" s="17">
        <v>3189755036</v>
      </c>
      <c r="D140" s="18">
        <v>13650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5.95">
      <c r="A141" s="16" t="s">
        <v>360</v>
      </c>
      <c r="B141" s="3" t="s">
        <v>27</v>
      </c>
      <c r="C141" s="17">
        <v>2909800000</v>
      </c>
      <c r="D141" s="18">
        <v>7600</v>
      </c>
      <c r="E141" s="3" t="s">
        <v>218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5.95">
      <c r="A142" s="16" t="s">
        <v>361</v>
      </c>
      <c r="B142" s="3" t="s">
        <v>27</v>
      </c>
      <c r="C142" s="17">
        <v>2802249000</v>
      </c>
      <c r="D142" s="18">
        <v>8200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5.95">
      <c r="A143" s="16" t="s">
        <v>362</v>
      </c>
      <c r="B143" s="3" t="s">
        <v>27</v>
      </c>
      <c r="C143" s="17">
        <v>2796287694</v>
      </c>
      <c r="D143" s="18">
        <v>11000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5.95">
      <c r="A144" s="16" t="s">
        <v>363</v>
      </c>
      <c r="B144" s="3" t="s">
        <v>27</v>
      </c>
      <c r="C144" s="17">
        <v>2791041000</v>
      </c>
      <c r="D144" s="18">
        <v>15500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5.95">
      <c r="A145" s="16" t="s">
        <v>364</v>
      </c>
      <c r="B145" s="3" t="s">
        <v>27</v>
      </c>
      <c r="C145" s="17">
        <v>2633995423</v>
      </c>
      <c r="D145" s="19" t="s">
        <v>324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5.95">
      <c r="A146" s="16" t="s">
        <v>365</v>
      </c>
      <c r="B146" s="3" t="s">
        <v>27</v>
      </c>
      <c r="C146" s="17">
        <v>2569100000</v>
      </c>
      <c r="D146" s="18">
        <v>12700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5.95">
      <c r="A147" s="16" t="s">
        <v>366</v>
      </c>
      <c r="B147" s="3" t="s">
        <v>27</v>
      </c>
      <c r="C147" s="17">
        <v>2530700000</v>
      </c>
      <c r="D147" s="18">
        <v>8525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5.95">
      <c r="A148" s="16" t="s">
        <v>367</v>
      </c>
      <c r="B148" s="3" t="s">
        <v>27</v>
      </c>
      <c r="C148" s="17">
        <v>2468550000</v>
      </c>
      <c r="D148" s="18">
        <v>12000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5.95">
      <c r="A149" s="16" t="s">
        <v>368</v>
      </c>
      <c r="B149" s="3" t="s">
        <v>27</v>
      </c>
      <c r="C149" s="17">
        <v>2427180000</v>
      </c>
      <c r="D149" s="18">
        <v>10290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5.95">
      <c r="A150" s="16" t="s">
        <v>369</v>
      </c>
      <c r="B150" s="3" t="s">
        <v>27</v>
      </c>
      <c r="C150" s="17">
        <v>2279997000</v>
      </c>
      <c r="D150" s="18">
        <v>14500</v>
      </c>
      <c r="E150" s="3" t="s">
        <v>218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5.95">
      <c r="A151" s="16" t="s">
        <v>370</v>
      </c>
      <c r="B151" s="3" t="s">
        <v>27</v>
      </c>
      <c r="C151" s="17">
        <v>2225055000</v>
      </c>
      <c r="D151" s="18">
        <v>19400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5.95">
      <c r="A152" s="16" t="s">
        <v>371</v>
      </c>
      <c r="B152" s="3" t="s">
        <v>27</v>
      </c>
      <c r="C152" s="17">
        <v>2216555000</v>
      </c>
      <c r="D152" s="18">
        <v>10400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5.95">
      <c r="A153" s="16" t="s">
        <v>372</v>
      </c>
      <c r="B153" s="3" t="s">
        <v>27</v>
      </c>
      <c r="C153" s="17">
        <v>2200000000</v>
      </c>
      <c r="D153" s="18">
        <v>10270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5.95">
      <c r="A154" s="16" t="s">
        <v>373</v>
      </c>
      <c r="B154" s="3" t="s">
        <v>27</v>
      </c>
      <c r="C154" s="17">
        <v>2073500000</v>
      </c>
      <c r="D154" s="18">
        <v>10000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5.95">
      <c r="A155" s="16" t="s">
        <v>374</v>
      </c>
      <c r="B155" s="3" t="s">
        <v>27</v>
      </c>
      <c r="C155" s="17">
        <v>2035800000</v>
      </c>
      <c r="D155" s="18">
        <v>4000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5.95">
      <c r="A156" s="16" t="s">
        <v>375</v>
      </c>
      <c r="B156" s="3" t="s">
        <v>27</v>
      </c>
      <c r="C156" s="17">
        <v>1997977800</v>
      </c>
      <c r="D156" s="18">
        <v>4224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5.95">
      <c r="A157" s="16" t="s">
        <v>376</v>
      </c>
      <c r="B157" s="3" t="s">
        <v>27</v>
      </c>
      <c r="C157" s="17">
        <v>1984650716</v>
      </c>
      <c r="D157" s="19" t="s">
        <v>324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5.95">
      <c r="A158" s="16" t="s">
        <v>377</v>
      </c>
      <c r="B158" s="3" t="s">
        <v>27</v>
      </c>
      <c r="C158" s="17">
        <v>1912575000</v>
      </c>
      <c r="D158" s="19" t="s">
        <v>324</v>
      </c>
      <c r="E158" s="3" t="s">
        <v>218</v>
      </c>
      <c r="F158" s="3" t="s">
        <v>378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5.95">
      <c r="A159" s="16" t="s">
        <v>379</v>
      </c>
      <c r="B159" s="3" t="s">
        <v>27</v>
      </c>
      <c r="C159" s="17">
        <v>1667276160</v>
      </c>
      <c r="D159" s="18">
        <v>4587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5.95">
      <c r="A160" s="16" t="s">
        <v>380</v>
      </c>
      <c r="B160" s="3" t="s">
        <v>27</v>
      </c>
      <c r="C160" s="17">
        <v>1571616680</v>
      </c>
      <c r="D160" s="18">
        <v>5751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5.95">
      <c r="A161" s="16" t="s">
        <v>381</v>
      </c>
      <c r="B161" s="3" t="s">
        <v>27</v>
      </c>
      <c r="C161" s="17">
        <v>1563101000</v>
      </c>
      <c r="D161" s="18">
        <v>6800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5.95">
      <c r="A162" s="16" t="s">
        <v>382</v>
      </c>
      <c r="B162" s="3" t="s">
        <v>27</v>
      </c>
      <c r="C162" s="17">
        <v>1557666000</v>
      </c>
      <c r="D162" s="18">
        <v>3722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5.95">
      <c r="A163" s="16" t="s">
        <v>383</v>
      </c>
      <c r="B163" s="3" t="s">
        <v>27</v>
      </c>
      <c r="C163" s="17">
        <v>1376096000</v>
      </c>
      <c r="D163" s="18">
        <v>10000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5.95">
      <c r="A164" s="16" t="s">
        <v>384</v>
      </c>
      <c r="B164" s="3" t="s">
        <v>27</v>
      </c>
      <c r="C164" s="17">
        <v>1305300000</v>
      </c>
      <c r="D164" s="18">
        <v>2600</v>
      </c>
      <c r="E164" s="3"/>
      <c r="F164" s="3"/>
      <c r="G164" s="3"/>
      <c r="H164" s="3"/>
      <c r="I164" s="3"/>
      <c r="J164" s="3"/>
      <c r="K164" s="3"/>
      <c r="L164" s="15"/>
      <c r="M164" s="15"/>
      <c r="N164" s="15"/>
      <c r="O164" s="15"/>
      <c r="P164" s="15"/>
      <c r="Q164" s="15"/>
      <c r="R164" s="15"/>
    </row>
    <row r="165" spans="1:18" ht="15.95">
      <c r="A165" s="16" t="s">
        <v>385</v>
      </c>
      <c r="B165" s="3" t="s">
        <v>27</v>
      </c>
      <c r="C165" s="17">
        <v>1201942000</v>
      </c>
      <c r="D165" s="18">
        <v>3000</v>
      </c>
      <c r="E165" s="3" t="s">
        <v>218</v>
      </c>
      <c r="F165" s="3"/>
      <c r="G165" s="3"/>
      <c r="H165" s="3"/>
      <c r="I165" s="3"/>
      <c r="J165" s="3"/>
      <c r="K165" s="3"/>
      <c r="L165" s="15"/>
      <c r="M165" s="15"/>
      <c r="N165" s="15"/>
      <c r="O165" s="15"/>
      <c r="P165" s="15"/>
      <c r="Q165" s="15"/>
      <c r="R165" s="15"/>
    </row>
    <row r="166" spans="1:18" ht="15.95">
      <c r="A166" s="16" t="s">
        <v>386</v>
      </c>
      <c r="B166" s="3" t="s">
        <v>27</v>
      </c>
      <c r="C166" s="17">
        <v>1168660000</v>
      </c>
      <c r="D166" s="18">
        <v>3034</v>
      </c>
      <c r="E166" s="3"/>
      <c r="F166" s="3" t="s">
        <v>218</v>
      </c>
      <c r="G166" s="3"/>
      <c r="H166" s="3"/>
      <c r="I166" s="3"/>
      <c r="J166" s="3"/>
      <c r="K166" s="3"/>
      <c r="L166" s="15"/>
      <c r="M166" s="15"/>
      <c r="N166" s="15"/>
      <c r="O166" s="15"/>
      <c r="P166" s="15"/>
      <c r="Q166" s="15"/>
      <c r="R166" s="15"/>
    </row>
    <row r="167" spans="1:18" ht="15.95">
      <c r="A167" s="16" t="s">
        <v>387</v>
      </c>
      <c r="B167" s="3" t="s">
        <v>27</v>
      </c>
      <c r="C167" s="17">
        <v>1150981000</v>
      </c>
      <c r="D167" s="18">
        <v>6846</v>
      </c>
      <c r="E167" s="3"/>
      <c r="F167" s="3"/>
      <c r="G167" s="3"/>
      <c r="H167" s="3"/>
      <c r="I167" s="3"/>
      <c r="J167" s="3"/>
      <c r="K167" s="3"/>
      <c r="L167" s="15"/>
      <c r="M167" s="15"/>
      <c r="N167" s="15"/>
      <c r="O167" s="15"/>
      <c r="P167" s="15"/>
      <c r="Q167" s="15"/>
      <c r="R167" s="15"/>
    </row>
    <row r="168" spans="1:18" ht="15.95">
      <c r="A168" s="16" t="s">
        <v>388</v>
      </c>
      <c r="B168" s="3" t="s">
        <v>27</v>
      </c>
      <c r="C168" s="17">
        <v>1140728610</v>
      </c>
      <c r="D168" s="18">
        <v>4500</v>
      </c>
      <c r="E168" s="3"/>
      <c r="F168" s="3"/>
      <c r="G168" s="3"/>
      <c r="H168" s="3"/>
      <c r="I168" s="3"/>
      <c r="J168" s="3"/>
      <c r="K168" s="3"/>
      <c r="L168" s="15"/>
      <c r="M168" s="15"/>
      <c r="N168" s="15"/>
      <c r="O168" s="15"/>
      <c r="P168" s="15"/>
      <c r="Q168" s="15"/>
      <c r="R168" s="15"/>
    </row>
    <row r="169" spans="1:18" ht="15.95">
      <c r="A169" s="16" t="s">
        <v>389</v>
      </c>
      <c r="B169" s="3" t="s">
        <v>27</v>
      </c>
      <c r="C169" s="17">
        <v>1129500000</v>
      </c>
      <c r="D169" s="18">
        <v>2000</v>
      </c>
      <c r="E169" s="3"/>
      <c r="F169" s="3"/>
      <c r="G169" s="3"/>
      <c r="H169" s="3"/>
      <c r="I169" s="3"/>
      <c r="J169" s="3"/>
      <c r="K169" s="3"/>
      <c r="L169" s="15"/>
      <c r="M169" s="15"/>
      <c r="N169" s="15"/>
      <c r="O169" s="15"/>
      <c r="P169" s="15"/>
      <c r="Q169" s="15"/>
      <c r="R169" s="15"/>
    </row>
    <row r="170" spans="1:18" s="21" customFormat="1" ht="15.95">
      <c r="A170" s="16" t="s">
        <v>390</v>
      </c>
      <c r="B170" s="3" t="s">
        <v>27</v>
      </c>
      <c r="C170" s="17">
        <v>1080946212</v>
      </c>
      <c r="D170" s="19" t="s">
        <v>324</v>
      </c>
      <c r="E170" s="3"/>
      <c r="F170" s="3"/>
      <c r="G170" s="3"/>
      <c r="H170" s="3"/>
      <c r="I170" s="3"/>
      <c r="J170" s="3"/>
      <c r="K170" s="3"/>
      <c r="L170" s="20"/>
      <c r="M170" s="20"/>
      <c r="N170" s="20"/>
      <c r="O170" s="20"/>
      <c r="P170" s="20"/>
      <c r="Q170" s="20"/>
      <c r="R170" s="20"/>
    </row>
    <row r="171" spans="1:18" s="21" customFormat="1" ht="15.95">
      <c r="A171" s="16" t="s">
        <v>391</v>
      </c>
      <c r="B171" s="3" t="s">
        <v>27</v>
      </c>
      <c r="C171" s="17">
        <v>1048236369</v>
      </c>
      <c r="D171" s="19" t="s">
        <v>324</v>
      </c>
      <c r="E171" s="3"/>
      <c r="F171" s="3"/>
      <c r="G171" s="3"/>
      <c r="H171" s="3"/>
      <c r="I171" s="3"/>
      <c r="J171" s="3"/>
      <c r="K171" s="3"/>
      <c r="L171" s="20"/>
      <c r="M171" s="20"/>
      <c r="N171" s="20"/>
      <c r="O171" s="20"/>
      <c r="P171" s="20"/>
      <c r="Q171" s="20"/>
      <c r="R171" s="20"/>
    </row>
    <row r="172" spans="1:18" s="21" customFormat="1" ht="15.95">
      <c r="A172" s="16" t="s">
        <v>392</v>
      </c>
      <c r="B172" s="3" t="s">
        <v>27</v>
      </c>
      <c r="C172" s="17">
        <v>1045472000</v>
      </c>
      <c r="D172" s="18">
        <v>4100</v>
      </c>
      <c r="E172" s="3" t="s">
        <v>218</v>
      </c>
      <c r="F172" s="3"/>
      <c r="G172" s="3"/>
      <c r="H172" s="3"/>
      <c r="I172" s="3"/>
      <c r="J172" s="3"/>
      <c r="K172" s="3"/>
      <c r="L172" s="20"/>
      <c r="M172" s="20"/>
      <c r="N172" s="20"/>
      <c r="O172" s="20"/>
      <c r="P172" s="20"/>
      <c r="Q172" s="20"/>
      <c r="R172" s="20"/>
    </row>
    <row r="173" spans="1:18" s="21" customFormat="1" ht="15.95">
      <c r="A173" s="16" t="s">
        <v>393</v>
      </c>
      <c r="B173" s="3" t="s">
        <v>27</v>
      </c>
      <c r="C173" s="17">
        <v>1024259293</v>
      </c>
      <c r="D173" s="19" t="s">
        <v>324</v>
      </c>
      <c r="E173" s="3"/>
      <c r="F173" s="3"/>
      <c r="G173" s="3"/>
      <c r="H173" s="3"/>
      <c r="I173" s="3"/>
      <c r="J173" s="3"/>
      <c r="K173" s="3"/>
      <c r="L173" s="20"/>
      <c r="M173" s="20"/>
      <c r="N173" s="20"/>
      <c r="O173" s="20"/>
      <c r="P173" s="20"/>
      <c r="Q173" s="20"/>
      <c r="R173" s="20"/>
    </row>
    <row r="174" spans="1:18" s="21" customFormat="1" ht="15.95">
      <c r="A174" s="16" t="s">
        <v>394</v>
      </c>
      <c r="B174" s="3" t="s">
        <v>27</v>
      </c>
      <c r="C174" s="17">
        <v>1022843000</v>
      </c>
      <c r="D174" s="18">
        <v>2600</v>
      </c>
      <c r="E174" s="3"/>
      <c r="F174" s="3"/>
      <c r="G174" s="3"/>
      <c r="H174" s="3"/>
      <c r="I174" s="3"/>
      <c r="J174" s="3"/>
      <c r="K174" s="3"/>
      <c r="L174" s="20"/>
      <c r="M174" s="20"/>
      <c r="N174" s="20"/>
      <c r="O174" s="20"/>
      <c r="P174" s="20"/>
      <c r="Q174" s="20"/>
      <c r="R174" s="20"/>
    </row>
    <row r="175" spans="1:18" s="21" customFormat="1" ht="15.95">
      <c r="A175" s="16" t="s">
        <v>395</v>
      </c>
      <c r="B175" s="3" t="s">
        <v>27</v>
      </c>
      <c r="C175" s="17">
        <v>1021805000</v>
      </c>
      <c r="D175" s="18">
        <v>2900</v>
      </c>
      <c r="E175" s="3" t="s">
        <v>218</v>
      </c>
      <c r="F175" s="3"/>
      <c r="G175" s="3"/>
      <c r="H175" s="3"/>
      <c r="I175" s="3"/>
      <c r="J175" s="3"/>
      <c r="K175" s="3"/>
      <c r="L175" s="20"/>
      <c r="M175" s="20"/>
      <c r="N175" s="20"/>
      <c r="O175" s="20"/>
      <c r="P175" s="20"/>
      <c r="Q175" s="20"/>
      <c r="R175" s="20"/>
    </row>
    <row r="176" spans="1:18" s="21" customFormat="1" ht="15.95">
      <c r="A176" s="16" t="s">
        <v>396</v>
      </c>
      <c r="B176" s="3" t="s">
        <v>27</v>
      </c>
      <c r="C176" s="17">
        <v>1005737710</v>
      </c>
      <c r="D176" s="18">
        <v>6564</v>
      </c>
      <c r="E176" s="3" t="s">
        <v>218</v>
      </c>
      <c r="F176" s="3"/>
      <c r="G176" s="3"/>
      <c r="H176" s="3"/>
      <c r="I176" s="3"/>
      <c r="J176" s="3"/>
      <c r="K176" s="3"/>
      <c r="L176" s="20"/>
      <c r="M176" s="20"/>
      <c r="N176" s="20"/>
      <c r="O176" s="20"/>
      <c r="P176" s="20"/>
      <c r="Q176" s="20"/>
      <c r="R176" s="20"/>
    </row>
    <row r="177" spans="1:18" s="21" customFormat="1" ht="15.95">
      <c r="A177" s="20" t="s">
        <v>397</v>
      </c>
      <c r="B177" s="3" t="s">
        <v>27</v>
      </c>
      <c r="C177" s="20"/>
      <c r="D177" s="20"/>
      <c r="E177" s="3"/>
      <c r="F177" s="3"/>
      <c r="G177" s="3"/>
      <c r="H177" s="3"/>
      <c r="I177" s="3"/>
      <c r="J177" s="3"/>
      <c r="K177" s="3"/>
      <c r="L177" s="20"/>
      <c r="M177" s="20"/>
      <c r="N177" s="20"/>
      <c r="O177" s="20"/>
      <c r="P177" s="20"/>
      <c r="Q177" s="20"/>
      <c r="R177" s="20"/>
    </row>
    <row r="178" spans="1:18" s="21" customFormat="1" ht="15.95">
      <c r="A178" s="20" t="s">
        <v>398</v>
      </c>
      <c r="B178" s="3" t="s">
        <v>27</v>
      </c>
      <c r="C178" s="20"/>
      <c r="D178" s="20"/>
      <c r="E178" s="3"/>
      <c r="F178" s="3"/>
      <c r="G178" s="3"/>
      <c r="H178" s="3"/>
      <c r="I178" s="3"/>
      <c r="J178" s="3"/>
      <c r="K178" s="3"/>
      <c r="L178" s="20"/>
      <c r="M178" s="20"/>
      <c r="N178" s="20"/>
      <c r="O178" s="20"/>
      <c r="P178" s="20"/>
      <c r="Q178" s="20"/>
      <c r="R178" s="20"/>
    </row>
    <row r="179" spans="1:18" s="21" customFormat="1" ht="15.95">
      <c r="A179" s="3" t="s">
        <v>399</v>
      </c>
      <c r="B179" s="3" t="s">
        <v>27</v>
      </c>
      <c r="C179" s="20"/>
      <c r="D179" s="20"/>
      <c r="E179" s="3"/>
      <c r="F179" s="3"/>
      <c r="G179" s="3"/>
      <c r="H179" s="3"/>
      <c r="I179" s="3"/>
      <c r="J179" s="3"/>
      <c r="K179" s="3"/>
      <c r="L179" s="20"/>
      <c r="M179" s="20"/>
      <c r="N179" s="20"/>
      <c r="O179" s="20"/>
      <c r="P179" s="20"/>
      <c r="Q179" s="20"/>
      <c r="R179" s="20"/>
    </row>
    <row r="180" spans="1:18" s="21" customFormat="1" ht="15.95">
      <c r="A180" s="3" t="s">
        <v>400</v>
      </c>
      <c r="B180" s="3" t="s">
        <v>27</v>
      </c>
      <c r="C180" s="20"/>
      <c r="D180" s="20"/>
      <c r="E180" s="3"/>
      <c r="F180" s="3"/>
      <c r="G180" s="3"/>
      <c r="H180" s="3"/>
      <c r="I180" s="3"/>
      <c r="J180" s="3"/>
      <c r="K180" s="3"/>
      <c r="L180" s="20"/>
      <c r="M180" s="20"/>
      <c r="N180" s="20"/>
      <c r="O180" s="20"/>
      <c r="P180" s="20"/>
      <c r="Q180" s="20"/>
      <c r="R180" s="20"/>
    </row>
    <row r="181" spans="1:18" s="21" customFormat="1" ht="15.95">
      <c r="A181" s="3" t="s">
        <v>401</v>
      </c>
      <c r="B181" s="3" t="s">
        <v>27</v>
      </c>
      <c r="C181" s="20"/>
      <c r="D181" s="20"/>
      <c r="E181" s="3"/>
      <c r="F181" s="3"/>
      <c r="G181" s="3"/>
      <c r="H181" s="3"/>
      <c r="I181" s="3"/>
      <c r="J181" s="3"/>
      <c r="K181" s="3"/>
      <c r="L181" s="20"/>
      <c r="M181" s="20"/>
      <c r="N181" s="20"/>
      <c r="O181" s="20"/>
      <c r="P181" s="20"/>
      <c r="Q181" s="20"/>
      <c r="R181" s="20"/>
    </row>
    <row r="182" spans="1:18" s="21" customFormat="1" ht="15.95">
      <c r="A182" s="3" t="s">
        <v>388</v>
      </c>
      <c r="B182" s="3" t="s">
        <v>27</v>
      </c>
      <c r="C182" s="20"/>
      <c r="D182" s="20"/>
      <c r="E182" s="3"/>
      <c r="F182" s="3"/>
      <c r="G182" s="15"/>
      <c r="H182" s="15"/>
      <c r="I182" s="15"/>
      <c r="J182" s="15"/>
      <c r="K182" s="15"/>
      <c r="L182" s="20"/>
      <c r="M182" s="20"/>
      <c r="N182" s="20"/>
      <c r="O182" s="20"/>
      <c r="P182" s="20"/>
      <c r="Q182" s="20"/>
      <c r="R182" s="20"/>
    </row>
    <row r="183" spans="1:18" s="21" customFormat="1" ht="15.95">
      <c r="A183" s="3" t="s">
        <v>392</v>
      </c>
      <c r="B183" s="3" t="s">
        <v>27</v>
      </c>
      <c r="C183" s="20"/>
      <c r="D183" s="20"/>
      <c r="E183" s="3"/>
      <c r="F183" s="3"/>
      <c r="G183" s="15"/>
      <c r="H183" s="15"/>
      <c r="I183" s="15"/>
      <c r="J183" s="15"/>
      <c r="K183" s="15"/>
      <c r="L183" s="20"/>
      <c r="M183" s="20"/>
      <c r="N183" s="20"/>
      <c r="O183" s="20"/>
      <c r="P183" s="20"/>
      <c r="Q183" s="20"/>
      <c r="R183" s="20"/>
    </row>
    <row r="184" spans="1:18" s="21" customFormat="1" ht="15.95">
      <c r="A184" s="9" t="s">
        <v>396</v>
      </c>
      <c r="B184" s="3" t="s">
        <v>27</v>
      </c>
      <c r="C184" s="20"/>
      <c r="D184" s="20"/>
      <c r="E184" s="3"/>
      <c r="F184" s="3"/>
      <c r="G184" s="15"/>
      <c r="H184" s="15"/>
      <c r="I184" s="15"/>
      <c r="J184" s="15"/>
      <c r="K184" s="15"/>
      <c r="L184" s="20"/>
      <c r="M184" s="20"/>
      <c r="N184" s="20"/>
      <c r="O184" s="20"/>
      <c r="P184" s="20"/>
      <c r="Q184" s="20"/>
      <c r="R184" s="20"/>
    </row>
    <row r="185" spans="1:18" s="21" customFormat="1" ht="15.95">
      <c r="A185" s="3" t="s">
        <v>402</v>
      </c>
      <c r="B185" s="3" t="s">
        <v>27</v>
      </c>
      <c r="C185" s="20"/>
      <c r="D185" s="20"/>
      <c r="E185" s="3"/>
      <c r="F185" s="3"/>
      <c r="G185" s="15"/>
      <c r="H185" s="15"/>
      <c r="I185" s="15"/>
      <c r="J185" s="15"/>
      <c r="K185" s="15"/>
      <c r="L185" s="20"/>
      <c r="M185" s="20"/>
      <c r="N185" s="20"/>
      <c r="O185" s="20"/>
      <c r="P185" s="20"/>
      <c r="Q185" s="20"/>
      <c r="R185" s="20"/>
    </row>
    <row r="186" spans="1:18" s="21" customFormat="1" ht="15.95">
      <c r="A186" s="3" t="s">
        <v>403</v>
      </c>
      <c r="B186" s="3" t="s">
        <v>27</v>
      </c>
      <c r="C186" s="20"/>
      <c r="D186" s="20"/>
      <c r="E186" s="3"/>
      <c r="F186" s="3"/>
      <c r="G186" s="15"/>
      <c r="H186" s="15"/>
      <c r="I186" s="15"/>
      <c r="J186" s="15"/>
      <c r="K186" s="15"/>
      <c r="L186" s="20"/>
      <c r="M186" s="20"/>
      <c r="N186" s="20"/>
      <c r="O186" s="20"/>
      <c r="P186" s="20"/>
      <c r="Q186" s="20"/>
      <c r="R186" s="20"/>
    </row>
    <row r="187" spans="1:18" s="21" customFormat="1" ht="15.95">
      <c r="A187" s="8"/>
      <c r="B187" s="8"/>
      <c r="E187" s="8"/>
      <c r="F187" s="8"/>
      <c r="G187" s="13"/>
      <c r="H187" s="13"/>
      <c r="I187" s="13"/>
      <c r="J187" s="13"/>
      <c r="K187" s="13"/>
    </row>
    <row r="188" spans="1:18" s="21" customFormat="1" ht="15.95">
      <c r="A188" s="8"/>
      <c r="B188" s="8"/>
      <c r="E188" s="8"/>
      <c r="F188" s="8"/>
      <c r="G188" s="13"/>
      <c r="H188" s="13"/>
      <c r="I188" s="13"/>
      <c r="J188" s="13"/>
      <c r="K188" s="13"/>
    </row>
    <row r="189" spans="1:18" s="21" customFormat="1" ht="15.95">
      <c r="A189" s="8"/>
      <c r="B189" s="8"/>
      <c r="E189" s="8"/>
      <c r="F189" s="8"/>
      <c r="G189" s="13"/>
      <c r="H189" s="13"/>
      <c r="I189" s="13"/>
      <c r="J189" s="13"/>
      <c r="K189" s="13"/>
    </row>
    <row r="190" spans="1:18">
      <c r="A190" s="22" t="s">
        <v>404</v>
      </c>
    </row>
    <row r="191" spans="1:18">
      <c r="A191" s="13" t="s">
        <v>405</v>
      </c>
    </row>
    <row r="192" spans="1:18">
      <c r="A192" s="13" t="s">
        <v>406</v>
      </c>
    </row>
    <row r="193" spans="1:1">
      <c r="A193" s="13" t="s">
        <v>407</v>
      </c>
    </row>
    <row r="194" spans="1:1">
      <c r="A194" s="13" t="s">
        <v>408</v>
      </c>
    </row>
    <row r="195" spans="1:1">
      <c r="A195" s="13" t="s">
        <v>409</v>
      </c>
    </row>
    <row r="196" spans="1:1">
      <c r="A196" s="13" t="s">
        <v>410</v>
      </c>
    </row>
    <row r="197" spans="1:1">
      <c r="A197" s="13" t="s">
        <v>411</v>
      </c>
    </row>
    <row r="198" spans="1:1">
      <c r="A198" s="13" t="s">
        <v>412</v>
      </c>
    </row>
    <row r="199" spans="1:1">
      <c r="A199" s="13" t="s">
        <v>413</v>
      </c>
    </row>
    <row r="200" spans="1:1">
      <c r="A200" s="13" t="s">
        <v>414</v>
      </c>
    </row>
    <row r="201" spans="1:1">
      <c r="A201" s="13" t="s">
        <v>415</v>
      </c>
    </row>
    <row r="202" spans="1:1">
      <c r="A202" s="13" t="s">
        <v>416</v>
      </c>
    </row>
    <row r="203" spans="1:1">
      <c r="A203" s="13" t="s">
        <v>417</v>
      </c>
    </row>
    <row r="204" spans="1:1">
      <c r="A204" s="13" t="s">
        <v>418</v>
      </c>
    </row>
    <row r="205" spans="1:1">
      <c r="A205" s="13" t="s">
        <v>419</v>
      </c>
    </row>
    <row r="206" spans="1:1">
      <c r="A206" s="13" t="s">
        <v>420</v>
      </c>
    </row>
    <row r="207" spans="1:1">
      <c r="A207" s="13" t="s">
        <v>421</v>
      </c>
    </row>
    <row r="208" spans="1:1">
      <c r="A208" s="13" t="s">
        <v>422</v>
      </c>
    </row>
    <row r="209" spans="1:1">
      <c r="A209" s="13" t="s">
        <v>423</v>
      </c>
    </row>
    <row r="210" spans="1:1">
      <c r="A210" s="13" t="s">
        <v>424</v>
      </c>
    </row>
    <row r="211" spans="1:1">
      <c r="A211" s="13" t="s">
        <v>425</v>
      </c>
    </row>
    <row r="212" spans="1:1">
      <c r="A212" s="13" t="s">
        <v>426</v>
      </c>
    </row>
    <row r="213" spans="1:1">
      <c r="A213" s="13" t="s">
        <v>427</v>
      </c>
    </row>
    <row r="214" spans="1:1">
      <c r="A214" s="13" t="s">
        <v>428</v>
      </c>
    </row>
    <row r="215" spans="1:1">
      <c r="A215" s="13" t="s">
        <v>429</v>
      </c>
    </row>
    <row r="216" spans="1:1">
      <c r="A216" s="13" t="s">
        <v>430</v>
      </c>
    </row>
    <row r="217" spans="1:1">
      <c r="A217" s="13" t="s">
        <v>431</v>
      </c>
    </row>
    <row r="218" spans="1:1">
      <c r="A218" s="13" t="s">
        <v>432</v>
      </c>
    </row>
    <row r="219" spans="1:1">
      <c r="A219" s="13" t="s">
        <v>433</v>
      </c>
    </row>
    <row r="220" spans="1:1">
      <c r="A220" s="13" t="s">
        <v>434</v>
      </c>
    </row>
    <row r="221" spans="1:1">
      <c r="A221" s="13" t="s">
        <v>435</v>
      </c>
    </row>
    <row r="222" spans="1:1">
      <c r="A222" s="13" t="s">
        <v>436</v>
      </c>
    </row>
    <row r="223" spans="1:1">
      <c r="A223" s="13" t="s">
        <v>437</v>
      </c>
    </row>
    <row r="224" spans="1:1">
      <c r="A224" s="13" t="s">
        <v>438</v>
      </c>
    </row>
    <row r="225" spans="1:1">
      <c r="A225" s="13" t="s">
        <v>439</v>
      </c>
    </row>
    <row r="226" spans="1:1">
      <c r="A226" s="13" t="s">
        <v>440</v>
      </c>
    </row>
    <row r="227" spans="1:1">
      <c r="A227" s="13" t="s">
        <v>441</v>
      </c>
    </row>
    <row r="228" spans="1:1">
      <c r="A228" s="13" t="s">
        <v>442</v>
      </c>
    </row>
    <row r="229" spans="1:1">
      <c r="A229" s="13" t="s">
        <v>443</v>
      </c>
    </row>
    <row r="230" spans="1:1">
      <c r="A230" s="13" t="s">
        <v>444</v>
      </c>
    </row>
    <row r="231" spans="1:1">
      <c r="A231" s="13" t="s">
        <v>445</v>
      </c>
    </row>
    <row r="232" spans="1:1">
      <c r="A232" s="13" t="s">
        <v>446</v>
      </c>
    </row>
    <row r="233" spans="1:1">
      <c r="A233" s="13" t="s">
        <v>447</v>
      </c>
    </row>
    <row r="234" spans="1:1">
      <c r="A234" s="13" t="s">
        <v>448</v>
      </c>
    </row>
    <row r="235" spans="1:1">
      <c r="A235" s="13" t="s">
        <v>449</v>
      </c>
    </row>
    <row r="236" spans="1:1">
      <c r="A236" s="13" t="s">
        <v>450</v>
      </c>
    </row>
    <row r="237" spans="1:1">
      <c r="A237" s="13" t="s">
        <v>451</v>
      </c>
    </row>
    <row r="238" spans="1:1">
      <c r="A238" s="13" t="s">
        <v>452</v>
      </c>
    </row>
    <row r="239" spans="1:1">
      <c r="A239" s="13" t="s">
        <v>453</v>
      </c>
    </row>
    <row r="240" spans="1:1">
      <c r="A240" s="13" t="s">
        <v>454</v>
      </c>
    </row>
    <row r="241" spans="1:1">
      <c r="A241" s="13" t="s">
        <v>455</v>
      </c>
    </row>
    <row r="242" spans="1:1">
      <c r="A242" s="13" t="s">
        <v>456</v>
      </c>
    </row>
    <row r="243" spans="1:1">
      <c r="A243" s="13" t="s">
        <v>457</v>
      </c>
    </row>
    <row r="244" spans="1:1">
      <c r="A244" s="13" t="s">
        <v>458</v>
      </c>
    </row>
    <row r="245" spans="1:1">
      <c r="A245" s="13" t="s">
        <v>459</v>
      </c>
    </row>
    <row r="246" spans="1:1">
      <c r="A246" s="13" t="s">
        <v>460</v>
      </c>
    </row>
    <row r="247" spans="1:1">
      <c r="A247" s="13" t="s">
        <v>461</v>
      </c>
    </row>
    <row r="248" spans="1:1">
      <c r="A248" s="13" t="s">
        <v>462</v>
      </c>
    </row>
    <row r="249" spans="1:1">
      <c r="A249" s="13" t="s">
        <v>463</v>
      </c>
    </row>
    <row r="250" spans="1:1">
      <c r="A250" s="13" t="s">
        <v>464</v>
      </c>
    </row>
    <row r="251" spans="1:1">
      <c r="A251" s="13" t="s">
        <v>465</v>
      </c>
    </row>
    <row r="252" spans="1:1">
      <c r="A252" s="13" t="s">
        <v>466</v>
      </c>
    </row>
    <row r="253" spans="1:1">
      <c r="A253" s="13" t="s">
        <v>467</v>
      </c>
    </row>
    <row r="254" spans="1:1">
      <c r="A254" s="13" t="s">
        <v>468</v>
      </c>
    </row>
    <row r="255" spans="1:1">
      <c r="A255" s="13" t="s">
        <v>469</v>
      </c>
    </row>
    <row r="256" spans="1:1">
      <c r="A256" s="13" t="s">
        <v>470</v>
      </c>
    </row>
    <row r="257" spans="1:1">
      <c r="A257" s="13" t="s">
        <v>471</v>
      </c>
    </row>
    <row r="258" spans="1:1">
      <c r="A258" s="13" t="s">
        <v>472</v>
      </c>
    </row>
    <row r="259" spans="1:1">
      <c r="A259" s="13" t="s">
        <v>473</v>
      </c>
    </row>
    <row r="260" spans="1:1">
      <c r="A260" s="13" t="s">
        <v>474</v>
      </c>
    </row>
    <row r="261" spans="1:1">
      <c r="A261" s="13" t="s">
        <v>475</v>
      </c>
    </row>
    <row r="262" spans="1:1">
      <c r="A262" s="13" t="s">
        <v>476</v>
      </c>
    </row>
    <row r="263" spans="1:1">
      <c r="A263" s="13" t="s">
        <v>477</v>
      </c>
    </row>
    <row r="264" spans="1:1">
      <c r="A264" s="13" t="s">
        <v>478</v>
      </c>
    </row>
    <row r="265" spans="1:1">
      <c r="A265" s="13" t="s">
        <v>479</v>
      </c>
    </row>
    <row r="266" spans="1:1">
      <c r="A266" s="13" t="s">
        <v>480</v>
      </c>
    </row>
    <row r="267" spans="1:1">
      <c r="A267" s="13" t="s">
        <v>481</v>
      </c>
    </row>
    <row r="268" spans="1:1">
      <c r="A268" s="13" t="s">
        <v>482</v>
      </c>
    </row>
    <row r="269" spans="1:1">
      <c r="A269" s="13" t="s">
        <v>483</v>
      </c>
    </row>
    <row r="270" spans="1:1">
      <c r="A270" s="13" t="s">
        <v>484</v>
      </c>
    </row>
    <row r="271" spans="1:1">
      <c r="A271" s="13" t="s">
        <v>485</v>
      </c>
    </row>
    <row r="272" spans="1:1">
      <c r="A272" s="13" t="s">
        <v>486</v>
      </c>
    </row>
    <row r="273" spans="1:1">
      <c r="A273" s="13" t="s">
        <v>487</v>
      </c>
    </row>
    <row r="274" spans="1:1">
      <c r="A274" s="13" t="s">
        <v>488</v>
      </c>
    </row>
    <row r="275" spans="1:1">
      <c r="A275" s="13" t="s">
        <v>489</v>
      </c>
    </row>
    <row r="276" spans="1:1">
      <c r="A276" s="13" t="s">
        <v>490</v>
      </c>
    </row>
    <row r="277" spans="1:1">
      <c r="A277" s="13" t="s">
        <v>491</v>
      </c>
    </row>
    <row r="278" spans="1:1">
      <c r="A278" s="13" t="s">
        <v>492</v>
      </c>
    </row>
    <row r="279" spans="1:1">
      <c r="A279" s="13" t="s">
        <v>493</v>
      </c>
    </row>
    <row r="280" spans="1:1">
      <c r="A280" s="13" t="s">
        <v>494</v>
      </c>
    </row>
    <row r="281" spans="1:1">
      <c r="A281" s="13" t="s">
        <v>495</v>
      </c>
    </row>
    <row r="282" spans="1:1">
      <c r="A282" s="13" t="s">
        <v>496</v>
      </c>
    </row>
    <row r="283" spans="1:1">
      <c r="A283" s="13" t="s">
        <v>497</v>
      </c>
    </row>
    <row r="284" spans="1:1">
      <c r="A284" s="13" t="s">
        <v>498</v>
      </c>
    </row>
    <row r="285" spans="1:1">
      <c r="A285" s="13" t="s">
        <v>499</v>
      </c>
    </row>
    <row r="286" spans="1:1">
      <c r="A286" s="13" t="s">
        <v>500</v>
      </c>
    </row>
    <row r="287" spans="1:1">
      <c r="A287" s="13" t="s">
        <v>501</v>
      </c>
    </row>
    <row r="288" spans="1:1">
      <c r="A288" s="13" t="s">
        <v>502</v>
      </c>
    </row>
    <row r="289" spans="1:1">
      <c r="A289" s="13" t="s">
        <v>503</v>
      </c>
    </row>
    <row r="290" spans="1:1">
      <c r="A290" s="13" t="s">
        <v>504</v>
      </c>
    </row>
    <row r="291" spans="1:1">
      <c r="A291" s="13" t="s">
        <v>505</v>
      </c>
    </row>
    <row r="292" spans="1:1">
      <c r="A292" s="13" t="s">
        <v>506</v>
      </c>
    </row>
    <row r="293" spans="1:1">
      <c r="A293" s="13" t="s">
        <v>507</v>
      </c>
    </row>
    <row r="294" spans="1:1">
      <c r="A294" s="13" t="s">
        <v>508</v>
      </c>
    </row>
    <row r="295" spans="1:1">
      <c r="A295" s="13" t="s">
        <v>509</v>
      </c>
    </row>
    <row r="296" spans="1:1">
      <c r="A296" s="13" t="s">
        <v>510</v>
      </c>
    </row>
    <row r="297" spans="1:1">
      <c r="A297" s="13" t="s">
        <v>511</v>
      </c>
    </row>
    <row r="298" spans="1:1">
      <c r="A298" s="13" t="s">
        <v>512</v>
      </c>
    </row>
    <row r="299" spans="1:1">
      <c r="A299" s="13" t="s">
        <v>513</v>
      </c>
    </row>
    <row r="300" spans="1:1">
      <c r="A300" s="13" t="s">
        <v>514</v>
      </c>
    </row>
    <row r="301" spans="1:1">
      <c r="A301" s="13" t="s">
        <v>515</v>
      </c>
    </row>
    <row r="302" spans="1:1">
      <c r="A302" s="13" t="s">
        <v>516</v>
      </c>
    </row>
    <row r="303" spans="1:1">
      <c r="A303" s="13" t="s">
        <v>517</v>
      </c>
    </row>
    <row r="304" spans="1:1">
      <c r="A304" s="13" t="s">
        <v>518</v>
      </c>
    </row>
    <row r="305" spans="1:1">
      <c r="A305" s="13" t="s">
        <v>519</v>
      </c>
    </row>
    <row r="306" spans="1:1">
      <c r="A306" s="13" t="s">
        <v>520</v>
      </c>
    </row>
    <row r="307" spans="1:1">
      <c r="A307" s="13" t="s">
        <v>521</v>
      </c>
    </row>
    <row r="308" spans="1:1">
      <c r="A308" s="13" t="s">
        <v>522</v>
      </c>
    </row>
    <row r="309" spans="1:1">
      <c r="A309" s="13" t="s">
        <v>523</v>
      </c>
    </row>
    <row r="310" spans="1:1">
      <c r="A310" s="13" t="s">
        <v>524</v>
      </c>
    </row>
    <row r="311" spans="1:1">
      <c r="A311" s="13" t="s">
        <v>525</v>
      </c>
    </row>
    <row r="312" spans="1:1">
      <c r="A312" s="13" t="s">
        <v>526</v>
      </c>
    </row>
    <row r="313" spans="1:1">
      <c r="A313" s="13" t="s">
        <v>527</v>
      </c>
    </row>
    <row r="314" spans="1:1">
      <c r="A314" s="13" t="s">
        <v>528</v>
      </c>
    </row>
    <row r="315" spans="1:1">
      <c r="A315" s="13" t="s">
        <v>529</v>
      </c>
    </row>
    <row r="316" spans="1:1">
      <c r="A316" s="13" t="s">
        <v>530</v>
      </c>
    </row>
    <row r="317" spans="1:1">
      <c r="A317" s="13" t="s">
        <v>531</v>
      </c>
    </row>
    <row r="318" spans="1:1">
      <c r="A318" s="13" t="s">
        <v>532</v>
      </c>
    </row>
    <row r="319" spans="1:1">
      <c r="A319" s="13" t="s">
        <v>533</v>
      </c>
    </row>
    <row r="320" spans="1:1">
      <c r="A320" s="13" t="s">
        <v>534</v>
      </c>
    </row>
    <row r="321" spans="1:1">
      <c r="A321" s="13" t="s">
        <v>535</v>
      </c>
    </row>
    <row r="322" spans="1:1">
      <c r="A322" s="13" t="s">
        <v>536</v>
      </c>
    </row>
    <row r="323" spans="1:1">
      <c r="A323" s="13" t="s">
        <v>537</v>
      </c>
    </row>
    <row r="324" spans="1:1">
      <c r="A324" s="13" t="s">
        <v>538</v>
      </c>
    </row>
    <row r="325" spans="1:1">
      <c r="A325" s="13" t="s">
        <v>539</v>
      </c>
    </row>
    <row r="326" spans="1:1">
      <c r="A326" s="13" t="s">
        <v>540</v>
      </c>
    </row>
    <row r="327" spans="1:1">
      <c r="A327" s="13" t="s">
        <v>541</v>
      </c>
    </row>
    <row r="328" spans="1:1">
      <c r="A328" s="13" t="s">
        <v>542</v>
      </c>
    </row>
    <row r="329" spans="1:1">
      <c r="A329" s="13" t="s">
        <v>543</v>
      </c>
    </row>
    <row r="330" spans="1:1">
      <c r="A330" s="13" t="s">
        <v>544</v>
      </c>
    </row>
    <row r="331" spans="1:1">
      <c r="A331" s="13" t="s">
        <v>545</v>
      </c>
    </row>
    <row r="332" spans="1:1">
      <c r="A332" s="13" t="s">
        <v>546</v>
      </c>
    </row>
    <row r="333" spans="1:1">
      <c r="A333" s="13" t="s">
        <v>547</v>
      </c>
    </row>
    <row r="334" spans="1:1">
      <c r="A334" s="13" t="s">
        <v>548</v>
      </c>
    </row>
    <row r="335" spans="1:1">
      <c r="A335" s="13" t="s">
        <v>549</v>
      </c>
    </row>
    <row r="336" spans="1:1">
      <c r="A336" s="13" t="s">
        <v>550</v>
      </c>
    </row>
    <row r="337" spans="1:1">
      <c r="A337" s="13" t="s">
        <v>551</v>
      </c>
    </row>
    <row r="338" spans="1:1">
      <c r="A338" s="13" t="s">
        <v>552</v>
      </c>
    </row>
    <row r="339" spans="1:1">
      <c r="A339" s="13" t="s">
        <v>553</v>
      </c>
    </row>
    <row r="340" spans="1:1">
      <c r="A340" s="13" t="s">
        <v>554</v>
      </c>
    </row>
    <row r="341" spans="1:1">
      <c r="A341" s="13" t="s">
        <v>555</v>
      </c>
    </row>
    <row r="342" spans="1:1">
      <c r="A342" s="13" t="s">
        <v>556</v>
      </c>
    </row>
    <row r="343" spans="1:1">
      <c r="A343" s="13" t="s">
        <v>526</v>
      </c>
    </row>
    <row r="344" spans="1:1">
      <c r="A344" s="13" t="s">
        <v>395</v>
      </c>
    </row>
    <row r="345" spans="1:1">
      <c r="A345" s="13" t="s">
        <v>557</v>
      </c>
    </row>
    <row r="346" spans="1:1">
      <c r="A346" s="13" t="s">
        <v>558</v>
      </c>
    </row>
    <row r="347" spans="1:1">
      <c r="A347" s="13" t="s">
        <v>559</v>
      </c>
    </row>
    <row r="348" spans="1:1">
      <c r="A348" s="13" t="s">
        <v>560</v>
      </c>
    </row>
    <row r="349" spans="1:1">
      <c r="A349" s="13" t="s">
        <v>561</v>
      </c>
    </row>
    <row r="350" spans="1:1">
      <c r="A350" s="13" t="s">
        <v>562</v>
      </c>
    </row>
    <row r="351" spans="1:1">
      <c r="A351" s="13" t="s">
        <v>563</v>
      </c>
    </row>
    <row r="352" spans="1:1">
      <c r="A352" s="13" t="s">
        <v>564</v>
      </c>
    </row>
    <row r="353" spans="1:1">
      <c r="A353" s="13" t="s">
        <v>565</v>
      </c>
    </row>
    <row r="354" spans="1:1">
      <c r="A354" s="13" t="s">
        <v>566</v>
      </c>
    </row>
    <row r="355" spans="1:1">
      <c r="A355" s="13" t="s">
        <v>567</v>
      </c>
    </row>
    <row r="356" spans="1:1">
      <c r="A356" s="13" t="s">
        <v>568</v>
      </c>
    </row>
    <row r="357" spans="1:1">
      <c r="A357" s="13" t="s">
        <v>569</v>
      </c>
    </row>
    <row r="358" spans="1:1">
      <c r="A358" s="13" t="s">
        <v>570</v>
      </c>
    </row>
    <row r="359" spans="1:1">
      <c r="A359" s="13" t="s">
        <v>571</v>
      </c>
    </row>
    <row r="360" spans="1:1">
      <c r="A360" s="13" t="s">
        <v>572</v>
      </c>
    </row>
    <row r="361" spans="1:1">
      <c r="A361" s="13" t="s">
        <v>573</v>
      </c>
    </row>
    <row r="362" spans="1:1">
      <c r="A362" s="13" t="s">
        <v>574</v>
      </c>
    </row>
    <row r="363" spans="1:1">
      <c r="A363" s="13" t="s">
        <v>575</v>
      </c>
    </row>
    <row r="364" spans="1:1">
      <c r="A364" s="13" t="s">
        <v>576</v>
      </c>
    </row>
    <row r="365" spans="1:1">
      <c r="A365" s="13" t="s">
        <v>577</v>
      </c>
    </row>
    <row r="366" spans="1:1">
      <c r="A366" s="13" t="s">
        <v>578</v>
      </c>
    </row>
    <row r="367" spans="1:1">
      <c r="A367" s="13" t="s">
        <v>579</v>
      </c>
    </row>
    <row r="368" spans="1:1">
      <c r="A368" s="13" t="s">
        <v>580</v>
      </c>
    </row>
    <row r="369" spans="1:1">
      <c r="A369" s="13" t="s">
        <v>581</v>
      </c>
    </row>
    <row r="370" spans="1:1">
      <c r="A370" s="13" t="s">
        <v>582</v>
      </c>
    </row>
    <row r="371" spans="1:1">
      <c r="A371" s="13" t="s">
        <v>583</v>
      </c>
    </row>
    <row r="372" spans="1:1">
      <c r="A372" s="13" t="s">
        <v>584</v>
      </c>
    </row>
    <row r="373" spans="1:1">
      <c r="A373" s="13" t="s">
        <v>585</v>
      </c>
    </row>
    <row r="374" spans="1:1">
      <c r="A374" s="13" t="s">
        <v>586</v>
      </c>
    </row>
    <row r="375" spans="1:1">
      <c r="A375" s="13" t="s">
        <v>587</v>
      </c>
    </row>
    <row r="376" spans="1:1">
      <c r="A376" s="13" t="s">
        <v>588</v>
      </c>
    </row>
    <row r="377" spans="1:1">
      <c r="A377" s="13" t="s">
        <v>589</v>
      </c>
    </row>
    <row r="378" spans="1:1">
      <c r="A378" s="13" t="s">
        <v>590</v>
      </c>
    </row>
    <row r="379" spans="1:1">
      <c r="A379" s="13" t="s">
        <v>591</v>
      </c>
    </row>
    <row r="380" spans="1:1">
      <c r="A380" s="13" t="s">
        <v>592</v>
      </c>
    </row>
    <row r="381" spans="1:1">
      <c r="A381" s="13" t="s">
        <v>593</v>
      </c>
    </row>
    <row r="382" spans="1:1">
      <c r="A382" s="13" t="s">
        <v>594</v>
      </c>
    </row>
    <row r="383" spans="1:1">
      <c r="A383" s="13" t="s">
        <v>595</v>
      </c>
    </row>
    <row r="384" spans="1:1">
      <c r="A384" s="13" t="s">
        <v>596</v>
      </c>
    </row>
    <row r="385" spans="1:1">
      <c r="A385" s="13" t="s">
        <v>597</v>
      </c>
    </row>
    <row r="386" spans="1:1">
      <c r="A386" s="13" t="s">
        <v>598</v>
      </c>
    </row>
    <row r="387" spans="1:1">
      <c r="A387" s="13" t="s">
        <v>599</v>
      </c>
    </row>
    <row r="388" spans="1:1">
      <c r="A388" s="13" t="s">
        <v>600</v>
      </c>
    </row>
    <row r="389" spans="1:1">
      <c r="A389" s="13" t="s">
        <v>601</v>
      </c>
    </row>
    <row r="390" spans="1:1">
      <c r="A390" s="13" t="s">
        <v>602</v>
      </c>
    </row>
    <row r="391" spans="1:1">
      <c r="A391" s="13" t="s">
        <v>603</v>
      </c>
    </row>
    <row r="392" spans="1:1">
      <c r="A392" s="13" t="s">
        <v>604</v>
      </c>
    </row>
    <row r="393" spans="1:1">
      <c r="A393" s="13" t="s">
        <v>605</v>
      </c>
    </row>
    <row r="394" spans="1:1">
      <c r="A394" s="13" t="s">
        <v>606</v>
      </c>
    </row>
    <row r="395" spans="1:1">
      <c r="A395" s="13" t="s">
        <v>607</v>
      </c>
    </row>
    <row r="396" spans="1:1">
      <c r="A396" s="13" t="s">
        <v>608</v>
      </c>
    </row>
    <row r="397" spans="1:1">
      <c r="A397" s="13" t="s">
        <v>609</v>
      </c>
    </row>
    <row r="398" spans="1:1">
      <c r="A398" s="13" t="s">
        <v>610</v>
      </c>
    </row>
    <row r="399" spans="1:1">
      <c r="A399" s="13" t="s">
        <v>611</v>
      </c>
    </row>
    <row r="400" spans="1:1">
      <c r="A400" s="13" t="s">
        <v>612</v>
      </c>
    </row>
    <row r="401" spans="1:1">
      <c r="A401" s="13" t="s">
        <v>613</v>
      </c>
    </row>
    <row r="402" spans="1:1">
      <c r="A402" s="13" t="s">
        <v>614</v>
      </c>
    </row>
    <row r="403" spans="1:1">
      <c r="A403" s="13" t="s">
        <v>615</v>
      </c>
    </row>
    <row r="404" spans="1:1">
      <c r="A404" s="13" t="s">
        <v>616</v>
      </c>
    </row>
    <row r="405" spans="1:1">
      <c r="A405" s="13" t="s">
        <v>617</v>
      </c>
    </row>
    <row r="406" spans="1:1">
      <c r="A406" s="13" t="s">
        <v>618</v>
      </c>
    </row>
    <row r="407" spans="1:1">
      <c r="A407" s="13" t="s">
        <v>619</v>
      </c>
    </row>
    <row r="408" spans="1:1">
      <c r="A408" s="13" t="s">
        <v>620</v>
      </c>
    </row>
    <row r="409" spans="1:1">
      <c r="A409" s="13" t="s">
        <v>621</v>
      </c>
    </row>
    <row r="410" spans="1:1">
      <c r="A410" s="13" t="s">
        <v>622</v>
      </c>
    </row>
    <row r="411" spans="1:1">
      <c r="A411" s="13" t="s">
        <v>623</v>
      </c>
    </row>
    <row r="412" spans="1:1">
      <c r="A412" s="13" t="s">
        <v>624</v>
      </c>
    </row>
    <row r="413" spans="1:1">
      <c r="A413" s="13" t="s">
        <v>625</v>
      </c>
    </row>
    <row r="414" spans="1:1">
      <c r="A414" s="13" t="s">
        <v>626</v>
      </c>
    </row>
    <row r="415" spans="1:1">
      <c r="A415" s="13" t="s">
        <v>627</v>
      </c>
    </row>
    <row r="416" spans="1:1">
      <c r="A416" s="13" t="s">
        <v>628</v>
      </c>
    </row>
    <row r="417" spans="1:1">
      <c r="A417" s="13" t="s">
        <v>629</v>
      </c>
    </row>
    <row r="418" spans="1:1">
      <c r="A418" s="13" t="s">
        <v>526</v>
      </c>
    </row>
    <row r="419" spans="1:1">
      <c r="A419" s="13" t="s">
        <v>630</v>
      </c>
    </row>
    <row r="420" spans="1:1">
      <c r="A420" s="13" t="s">
        <v>631</v>
      </c>
    </row>
    <row r="421" spans="1:1">
      <c r="A421" s="13" t="s">
        <v>632</v>
      </c>
    </row>
    <row r="422" spans="1:1">
      <c r="A422" s="13" t="s">
        <v>633</v>
      </c>
    </row>
    <row r="423" spans="1:1">
      <c r="A423" s="13" t="s">
        <v>634</v>
      </c>
    </row>
    <row r="424" spans="1:1">
      <c r="A424" s="13" t="s">
        <v>635</v>
      </c>
    </row>
    <row r="425" spans="1:1">
      <c r="A425" s="13" t="s">
        <v>636</v>
      </c>
    </row>
    <row r="426" spans="1:1">
      <c r="A426" s="13" t="s">
        <v>637</v>
      </c>
    </row>
    <row r="427" spans="1:1">
      <c r="A427" s="13" t="s">
        <v>638</v>
      </c>
    </row>
    <row r="428" spans="1:1">
      <c r="A428" s="13" t="s">
        <v>639</v>
      </c>
    </row>
    <row r="429" spans="1:1">
      <c r="A429" s="13" t="s">
        <v>640</v>
      </c>
    </row>
    <row r="430" spans="1:1">
      <c r="A430" s="13" t="s">
        <v>641</v>
      </c>
    </row>
    <row r="431" spans="1:1">
      <c r="A431" s="13" t="s">
        <v>642</v>
      </c>
    </row>
    <row r="432" spans="1:1">
      <c r="A432" s="13" t="s">
        <v>643</v>
      </c>
    </row>
    <row r="433" spans="1:1">
      <c r="A433" s="13" t="s">
        <v>644</v>
      </c>
    </row>
    <row r="434" spans="1:1">
      <c r="A434" s="13" t="s">
        <v>645</v>
      </c>
    </row>
    <row r="435" spans="1:1">
      <c r="A435" s="13" t="s">
        <v>646</v>
      </c>
    </row>
    <row r="436" spans="1:1">
      <c r="A436" s="13" t="s">
        <v>647</v>
      </c>
    </row>
    <row r="437" spans="1:1">
      <c r="A437" s="13" t="s">
        <v>648</v>
      </c>
    </row>
    <row r="438" spans="1:1">
      <c r="A438" s="13" t="s">
        <v>649</v>
      </c>
    </row>
    <row r="439" spans="1:1">
      <c r="A439" s="13" t="s">
        <v>650</v>
      </c>
    </row>
    <row r="440" spans="1:1">
      <c r="A440" s="13" t="s">
        <v>651</v>
      </c>
    </row>
    <row r="441" spans="1:1">
      <c r="A441" s="13" t="s">
        <v>652</v>
      </c>
    </row>
    <row r="442" spans="1:1">
      <c r="A442" s="13" t="s">
        <v>653</v>
      </c>
    </row>
    <row r="443" spans="1:1">
      <c r="A443" s="13" t="s">
        <v>654</v>
      </c>
    </row>
    <row r="444" spans="1:1">
      <c r="A444" s="13" t="s">
        <v>655</v>
      </c>
    </row>
    <row r="445" spans="1:1">
      <c r="A445" s="13" t="s">
        <v>656</v>
      </c>
    </row>
    <row r="446" spans="1:1">
      <c r="A446" s="13" t="s">
        <v>657</v>
      </c>
    </row>
    <row r="447" spans="1:1">
      <c r="A447" s="13" t="s">
        <v>658</v>
      </c>
    </row>
    <row r="448" spans="1:1">
      <c r="A448" s="13" t="s">
        <v>659</v>
      </c>
    </row>
    <row r="449" spans="1:1">
      <c r="A449" s="13" t="s">
        <v>660</v>
      </c>
    </row>
    <row r="450" spans="1:1">
      <c r="A450" s="13" t="s">
        <v>661</v>
      </c>
    </row>
    <row r="451" spans="1:1">
      <c r="A451" s="13" t="s">
        <v>662</v>
      </c>
    </row>
    <row r="452" spans="1:1">
      <c r="A452" s="13" t="s">
        <v>663</v>
      </c>
    </row>
    <row r="453" spans="1:1">
      <c r="A453" s="13" t="s">
        <v>664</v>
      </c>
    </row>
    <row r="454" spans="1:1">
      <c r="A454" s="13" t="s">
        <v>665</v>
      </c>
    </row>
    <row r="455" spans="1:1">
      <c r="A455" s="13" t="s">
        <v>666</v>
      </c>
    </row>
    <row r="456" spans="1:1">
      <c r="A456" s="13" t="s">
        <v>667</v>
      </c>
    </row>
    <row r="457" spans="1:1">
      <c r="A457" s="13" t="s">
        <v>668</v>
      </c>
    </row>
    <row r="458" spans="1:1">
      <c r="A458" s="13" t="s">
        <v>669</v>
      </c>
    </row>
    <row r="459" spans="1:1">
      <c r="A459" s="13" t="s">
        <v>670</v>
      </c>
    </row>
    <row r="460" spans="1:1">
      <c r="A460" s="13" t="s">
        <v>671</v>
      </c>
    </row>
    <row r="461" spans="1:1">
      <c r="A461" s="13" t="s">
        <v>672</v>
      </c>
    </row>
    <row r="462" spans="1:1">
      <c r="A462" s="13" t="s">
        <v>673</v>
      </c>
    </row>
    <row r="463" spans="1:1">
      <c r="A463" s="13" t="s">
        <v>674</v>
      </c>
    </row>
    <row r="464" spans="1:1">
      <c r="A464" s="13" t="s">
        <v>675</v>
      </c>
    </row>
    <row r="465" spans="1:1">
      <c r="A465" s="13" t="s">
        <v>676</v>
      </c>
    </row>
    <row r="466" spans="1:1">
      <c r="A466" s="13" t="s">
        <v>677</v>
      </c>
    </row>
    <row r="467" spans="1:1">
      <c r="A467" s="13" t="s">
        <v>678</v>
      </c>
    </row>
    <row r="468" spans="1:1">
      <c r="A468" s="13" t="s">
        <v>679</v>
      </c>
    </row>
    <row r="469" spans="1:1">
      <c r="A469" s="13" t="s">
        <v>680</v>
      </c>
    </row>
    <row r="470" spans="1:1">
      <c r="A470" s="13" t="s">
        <v>681</v>
      </c>
    </row>
    <row r="471" spans="1:1">
      <c r="A471" s="13" t="s">
        <v>682</v>
      </c>
    </row>
    <row r="472" spans="1:1">
      <c r="A472" s="13" t="s">
        <v>683</v>
      </c>
    </row>
    <row r="473" spans="1:1">
      <c r="A473" s="13" t="s">
        <v>684</v>
      </c>
    </row>
    <row r="474" spans="1:1">
      <c r="A474" s="13" t="s">
        <v>685</v>
      </c>
    </row>
    <row r="475" spans="1:1">
      <c r="A475" s="13" t="s">
        <v>686</v>
      </c>
    </row>
    <row r="476" spans="1:1">
      <c r="A476" s="13" t="s">
        <v>687</v>
      </c>
    </row>
    <row r="477" spans="1:1">
      <c r="A477" s="13" t="s">
        <v>688</v>
      </c>
    </row>
    <row r="478" spans="1:1">
      <c r="A478" s="13" t="s">
        <v>689</v>
      </c>
    </row>
    <row r="479" spans="1:1">
      <c r="A479" s="13" t="s">
        <v>690</v>
      </c>
    </row>
    <row r="480" spans="1:1">
      <c r="A480" s="13" t="s">
        <v>691</v>
      </c>
    </row>
    <row r="481" spans="1:1">
      <c r="A481" s="13" t="s">
        <v>692</v>
      </c>
    </row>
    <row r="482" spans="1:1">
      <c r="A482" s="13" t="s">
        <v>693</v>
      </c>
    </row>
    <row r="483" spans="1:1">
      <c r="A483" s="13" t="s">
        <v>694</v>
      </c>
    </row>
    <row r="484" spans="1:1">
      <c r="A484" s="13" t="s">
        <v>695</v>
      </c>
    </row>
    <row r="485" spans="1:1">
      <c r="A485" s="13" t="s">
        <v>696</v>
      </c>
    </row>
    <row r="486" spans="1:1">
      <c r="A486" s="13" t="s">
        <v>697</v>
      </c>
    </row>
    <row r="487" spans="1:1">
      <c r="A487" s="13" t="s">
        <v>698</v>
      </c>
    </row>
    <row r="488" spans="1:1">
      <c r="A488" s="13" t="s">
        <v>699</v>
      </c>
    </row>
    <row r="489" spans="1:1">
      <c r="A489" s="13" t="s">
        <v>700</v>
      </c>
    </row>
    <row r="490" spans="1:1">
      <c r="A490" s="13" t="s">
        <v>701</v>
      </c>
    </row>
    <row r="491" spans="1:1">
      <c r="A491" s="13" t="s">
        <v>702</v>
      </c>
    </row>
    <row r="492" spans="1:1">
      <c r="A492" s="13" t="s">
        <v>703</v>
      </c>
    </row>
    <row r="493" spans="1:1">
      <c r="A493" s="13" t="s">
        <v>704</v>
      </c>
    </row>
    <row r="494" spans="1:1">
      <c r="A494" s="13" t="s">
        <v>705</v>
      </c>
    </row>
    <row r="495" spans="1:1">
      <c r="A495" s="13" t="s">
        <v>706</v>
      </c>
    </row>
    <row r="496" spans="1:1">
      <c r="A496" s="13" t="s">
        <v>707</v>
      </c>
    </row>
    <row r="497" spans="1:1">
      <c r="A497" s="13" t="s">
        <v>708</v>
      </c>
    </row>
    <row r="498" spans="1:1">
      <c r="A498" s="13" t="s">
        <v>709</v>
      </c>
    </row>
    <row r="499" spans="1:1">
      <c r="A499" s="13" t="s">
        <v>710</v>
      </c>
    </row>
    <row r="500" spans="1:1">
      <c r="A500" s="13" t="s">
        <v>711</v>
      </c>
    </row>
    <row r="501" spans="1:1">
      <c r="A501" s="13" t="s">
        <v>712</v>
      </c>
    </row>
    <row r="502" spans="1:1">
      <c r="A502" s="13" t="s">
        <v>713</v>
      </c>
    </row>
    <row r="503" spans="1:1">
      <c r="A503" s="13" t="s">
        <v>714</v>
      </c>
    </row>
    <row r="504" spans="1:1">
      <c r="A504" s="13" t="s">
        <v>715</v>
      </c>
    </row>
    <row r="505" spans="1:1">
      <c r="A505" s="13" t="s">
        <v>716</v>
      </c>
    </row>
    <row r="506" spans="1:1">
      <c r="A506" s="13" t="s">
        <v>717</v>
      </c>
    </row>
    <row r="507" spans="1:1">
      <c r="A507" s="13" t="s">
        <v>718</v>
      </c>
    </row>
    <row r="508" spans="1:1">
      <c r="A508" s="13" t="s">
        <v>719</v>
      </c>
    </row>
    <row r="509" spans="1:1">
      <c r="A509" s="13" t="s">
        <v>720</v>
      </c>
    </row>
    <row r="510" spans="1:1">
      <c r="A510" s="13" t="s">
        <v>721</v>
      </c>
    </row>
    <row r="511" spans="1:1">
      <c r="A511" s="13" t="s">
        <v>722</v>
      </c>
    </row>
    <row r="512" spans="1:1">
      <c r="A512" s="13" t="s">
        <v>723</v>
      </c>
    </row>
    <row r="513" spans="1:1">
      <c r="A513" s="13" t="s">
        <v>724</v>
      </c>
    </row>
    <row r="514" spans="1:1">
      <c r="A514" s="13" t="s">
        <v>725</v>
      </c>
    </row>
    <row r="515" spans="1:1">
      <c r="A515" s="13" t="s">
        <v>726</v>
      </c>
    </row>
    <row r="516" spans="1:1">
      <c r="A516" s="13" t="s">
        <v>727</v>
      </c>
    </row>
    <row r="517" spans="1:1">
      <c r="A517" s="13" t="s">
        <v>728</v>
      </c>
    </row>
    <row r="518" spans="1:1">
      <c r="A518" s="13" t="s">
        <v>729</v>
      </c>
    </row>
    <row r="519" spans="1:1">
      <c r="A519" s="13" t="s">
        <v>730</v>
      </c>
    </row>
    <row r="520" spans="1:1">
      <c r="A520" s="13" t="s">
        <v>731</v>
      </c>
    </row>
    <row r="521" spans="1:1">
      <c r="A521" s="13" t="s">
        <v>732</v>
      </c>
    </row>
    <row r="522" spans="1:1">
      <c r="A522" s="13" t="s">
        <v>733</v>
      </c>
    </row>
    <row r="523" spans="1:1">
      <c r="A523" s="13" t="s">
        <v>734</v>
      </c>
    </row>
    <row r="524" spans="1:1">
      <c r="A524" s="13" t="s">
        <v>735</v>
      </c>
    </row>
    <row r="525" spans="1:1">
      <c r="A525" s="13" t="s">
        <v>736</v>
      </c>
    </row>
    <row r="526" spans="1:1">
      <c r="A526" s="13" t="s">
        <v>737</v>
      </c>
    </row>
    <row r="527" spans="1:1">
      <c r="A527" s="13" t="s">
        <v>738</v>
      </c>
    </row>
    <row r="528" spans="1:1">
      <c r="A528" s="13" t="s">
        <v>739</v>
      </c>
    </row>
    <row r="529" spans="1:1">
      <c r="A529" s="13" t="s">
        <v>740</v>
      </c>
    </row>
    <row r="530" spans="1:1">
      <c r="A530" s="13" t="s">
        <v>741</v>
      </c>
    </row>
    <row r="531" spans="1:1">
      <c r="A531" s="13" t="s">
        <v>742</v>
      </c>
    </row>
    <row r="532" spans="1:1">
      <c r="A532" s="13" t="s">
        <v>743</v>
      </c>
    </row>
    <row r="533" spans="1:1">
      <c r="A533" s="13" t="s">
        <v>744</v>
      </c>
    </row>
    <row r="534" spans="1:1">
      <c r="A534" s="13" t="s">
        <v>745</v>
      </c>
    </row>
    <row r="535" spans="1:1">
      <c r="A535" s="13" t="s">
        <v>746</v>
      </c>
    </row>
    <row r="536" spans="1:1">
      <c r="A536" s="13" t="s">
        <v>747</v>
      </c>
    </row>
    <row r="537" spans="1:1">
      <c r="A537" s="13" t="s">
        <v>748</v>
      </c>
    </row>
    <row r="538" spans="1:1">
      <c r="A538" s="13" t="s">
        <v>749</v>
      </c>
    </row>
    <row r="539" spans="1:1">
      <c r="A539" s="13" t="s">
        <v>750</v>
      </c>
    </row>
    <row r="540" spans="1:1">
      <c r="A540" s="13" t="s">
        <v>751</v>
      </c>
    </row>
    <row r="541" spans="1:1">
      <c r="A541" s="13" t="s">
        <v>752</v>
      </c>
    </row>
    <row r="542" spans="1:1">
      <c r="A542" s="13" t="s">
        <v>753</v>
      </c>
    </row>
    <row r="543" spans="1:1">
      <c r="A543" s="13" t="s">
        <v>754</v>
      </c>
    </row>
    <row r="544" spans="1:1">
      <c r="A544" s="13" t="s">
        <v>755</v>
      </c>
    </row>
    <row r="545" spans="1:1">
      <c r="A545" s="13" t="s">
        <v>756</v>
      </c>
    </row>
    <row r="546" spans="1:1">
      <c r="A546" s="13" t="s">
        <v>757</v>
      </c>
    </row>
    <row r="547" spans="1:1">
      <c r="A547" s="13" t="s">
        <v>758</v>
      </c>
    </row>
    <row r="548" spans="1:1">
      <c r="A548" s="13" t="s">
        <v>759</v>
      </c>
    </row>
    <row r="549" spans="1:1">
      <c r="A549" s="13" t="s">
        <v>760</v>
      </c>
    </row>
    <row r="550" spans="1:1">
      <c r="A550" s="13" t="s">
        <v>761</v>
      </c>
    </row>
    <row r="551" spans="1:1">
      <c r="A551" s="13" t="s">
        <v>762</v>
      </c>
    </row>
    <row r="552" spans="1:1">
      <c r="A552" s="13" t="s">
        <v>763</v>
      </c>
    </row>
    <row r="553" spans="1:1">
      <c r="A553" s="13" t="s">
        <v>764</v>
      </c>
    </row>
    <row r="554" spans="1:1">
      <c r="A554" s="13" t="s">
        <v>765</v>
      </c>
    </row>
    <row r="555" spans="1:1">
      <c r="A555" s="13" t="s">
        <v>766</v>
      </c>
    </row>
    <row r="556" spans="1:1">
      <c r="A556" s="13" t="s">
        <v>767</v>
      </c>
    </row>
    <row r="557" spans="1:1">
      <c r="A557" s="13" t="s">
        <v>768</v>
      </c>
    </row>
    <row r="558" spans="1:1">
      <c r="A558" s="13" t="s">
        <v>769</v>
      </c>
    </row>
    <row r="559" spans="1:1">
      <c r="A559" s="13" t="s">
        <v>770</v>
      </c>
    </row>
    <row r="560" spans="1:1">
      <c r="A560" s="13" t="s">
        <v>389</v>
      </c>
    </row>
    <row r="561" spans="1:1">
      <c r="A561" s="13" t="s">
        <v>771</v>
      </c>
    </row>
    <row r="562" spans="1:1">
      <c r="A562" s="13" t="s">
        <v>772</v>
      </c>
    </row>
    <row r="563" spans="1:1">
      <c r="A563" s="13" t="s">
        <v>773</v>
      </c>
    </row>
    <row r="564" spans="1:1">
      <c r="A564" s="13" t="s">
        <v>774</v>
      </c>
    </row>
    <row r="565" spans="1:1">
      <c r="A565" s="13" t="s">
        <v>775</v>
      </c>
    </row>
    <row r="566" spans="1:1">
      <c r="A566" s="13" t="s">
        <v>776</v>
      </c>
    </row>
    <row r="567" spans="1:1">
      <c r="A567" s="13" t="s">
        <v>777</v>
      </c>
    </row>
    <row r="568" spans="1:1">
      <c r="A568" s="13" t="s">
        <v>778</v>
      </c>
    </row>
    <row r="569" spans="1:1">
      <c r="A569" s="13" t="s">
        <v>779</v>
      </c>
    </row>
    <row r="570" spans="1:1">
      <c r="A570" s="13" t="s">
        <v>780</v>
      </c>
    </row>
    <row r="571" spans="1:1">
      <c r="A571" s="13" t="s">
        <v>781</v>
      </c>
    </row>
    <row r="572" spans="1:1">
      <c r="A572" s="13" t="s">
        <v>782</v>
      </c>
    </row>
    <row r="573" spans="1:1">
      <c r="A573" s="13" t="s">
        <v>783</v>
      </c>
    </row>
    <row r="574" spans="1:1">
      <c r="A574" s="13" t="s">
        <v>784</v>
      </c>
    </row>
    <row r="575" spans="1:1">
      <c r="A575" s="13" t="s">
        <v>785</v>
      </c>
    </row>
    <row r="576" spans="1:1">
      <c r="A576" s="13" t="s">
        <v>786</v>
      </c>
    </row>
    <row r="577" spans="1:1">
      <c r="A577" s="13" t="s">
        <v>787</v>
      </c>
    </row>
    <row r="578" spans="1:1">
      <c r="A578" s="13" t="s">
        <v>788</v>
      </c>
    </row>
    <row r="579" spans="1:1">
      <c r="A579" s="13" t="s">
        <v>789</v>
      </c>
    </row>
    <row r="580" spans="1:1">
      <c r="A580" s="13" t="s">
        <v>790</v>
      </c>
    </row>
    <row r="581" spans="1:1">
      <c r="A581" s="13" t="s">
        <v>791</v>
      </c>
    </row>
    <row r="582" spans="1:1">
      <c r="A582" s="13" t="s">
        <v>792</v>
      </c>
    </row>
    <row r="583" spans="1:1">
      <c r="A583" s="13" t="s">
        <v>793</v>
      </c>
    </row>
    <row r="584" spans="1:1">
      <c r="A584" s="13" t="s">
        <v>794</v>
      </c>
    </row>
    <row r="585" spans="1:1">
      <c r="A585" s="13" t="s">
        <v>795</v>
      </c>
    </row>
    <row r="586" spans="1:1">
      <c r="A586" s="13" t="s">
        <v>796</v>
      </c>
    </row>
    <row r="587" spans="1:1">
      <c r="A587" s="13" t="s">
        <v>797</v>
      </c>
    </row>
    <row r="588" spans="1:1">
      <c r="A588" s="13" t="s">
        <v>798</v>
      </c>
    </row>
    <row r="589" spans="1:1">
      <c r="A589" s="13" t="s">
        <v>799</v>
      </c>
    </row>
    <row r="590" spans="1:1">
      <c r="A590" s="13" t="s">
        <v>800</v>
      </c>
    </row>
    <row r="591" spans="1:1">
      <c r="A591" s="13" t="s">
        <v>801</v>
      </c>
    </row>
    <row r="592" spans="1:1">
      <c r="A592" s="13" t="s">
        <v>802</v>
      </c>
    </row>
    <row r="593" spans="1:1">
      <c r="A593" s="13" t="s">
        <v>803</v>
      </c>
    </row>
    <row r="594" spans="1:1">
      <c r="A594" s="13" t="s">
        <v>804</v>
      </c>
    </row>
    <row r="595" spans="1:1">
      <c r="A595" s="13" t="s">
        <v>805</v>
      </c>
    </row>
    <row r="596" spans="1:1">
      <c r="A596" s="13" t="s">
        <v>806</v>
      </c>
    </row>
    <row r="597" spans="1:1">
      <c r="A597" s="13" t="s">
        <v>807</v>
      </c>
    </row>
    <row r="598" spans="1:1">
      <c r="A598" s="13" t="s">
        <v>808</v>
      </c>
    </row>
    <row r="599" spans="1:1">
      <c r="A599" s="13" t="s">
        <v>809</v>
      </c>
    </row>
    <row r="600" spans="1:1">
      <c r="A600" s="13" t="s">
        <v>810</v>
      </c>
    </row>
    <row r="601" spans="1:1">
      <c r="A601" s="13" t="s">
        <v>811</v>
      </c>
    </row>
    <row r="602" spans="1:1">
      <c r="A602" s="13" t="s">
        <v>812</v>
      </c>
    </row>
    <row r="603" spans="1:1">
      <c r="A603" s="13" t="s">
        <v>813</v>
      </c>
    </row>
    <row r="604" spans="1:1">
      <c r="A604" s="13" t="s">
        <v>814</v>
      </c>
    </row>
    <row r="605" spans="1:1">
      <c r="A605" s="13" t="s">
        <v>815</v>
      </c>
    </row>
    <row r="606" spans="1:1">
      <c r="A606" s="13" t="s">
        <v>816</v>
      </c>
    </row>
    <row r="607" spans="1:1">
      <c r="A607" s="13" t="s">
        <v>817</v>
      </c>
    </row>
    <row r="608" spans="1:1">
      <c r="A608" s="13" t="s">
        <v>818</v>
      </c>
    </row>
    <row r="609" spans="1:1">
      <c r="A609" s="13" t="s">
        <v>819</v>
      </c>
    </row>
    <row r="610" spans="1:1">
      <c r="A610" s="13" t="s">
        <v>820</v>
      </c>
    </row>
    <row r="611" spans="1:1">
      <c r="A611" s="13" t="s">
        <v>821</v>
      </c>
    </row>
    <row r="612" spans="1:1">
      <c r="A612" s="13" t="s">
        <v>822</v>
      </c>
    </row>
    <row r="613" spans="1:1">
      <c r="A613" s="13" t="s">
        <v>823</v>
      </c>
    </row>
    <row r="614" spans="1:1">
      <c r="A614" s="13" t="s">
        <v>824</v>
      </c>
    </row>
    <row r="615" spans="1:1">
      <c r="A615" s="13" t="s">
        <v>825</v>
      </c>
    </row>
    <row r="616" spans="1:1">
      <c r="A616" s="13" t="s">
        <v>826</v>
      </c>
    </row>
    <row r="617" spans="1:1">
      <c r="A617" s="13" t="s">
        <v>827</v>
      </c>
    </row>
    <row r="618" spans="1:1">
      <c r="A618" s="13" t="s">
        <v>828</v>
      </c>
    </row>
    <row r="619" spans="1:1">
      <c r="A619" s="13" t="s">
        <v>829</v>
      </c>
    </row>
    <row r="620" spans="1:1">
      <c r="A620" s="13" t="s">
        <v>830</v>
      </c>
    </row>
    <row r="621" spans="1:1">
      <c r="A621" s="13" t="s">
        <v>831</v>
      </c>
    </row>
    <row r="622" spans="1:1">
      <c r="A622" s="13" t="s">
        <v>832</v>
      </c>
    </row>
    <row r="623" spans="1:1">
      <c r="A623" s="13" t="s">
        <v>833</v>
      </c>
    </row>
    <row r="624" spans="1:1">
      <c r="A624" s="13" t="s">
        <v>834</v>
      </c>
    </row>
    <row r="625" spans="1:1">
      <c r="A625" s="13" t="s">
        <v>835</v>
      </c>
    </row>
    <row r="626" spans="1:1">
      <c r="A626" s="13" t="s">
        <v>836</v>
      </c>
    </row>
    <row r="627" spans="1:1">
      <c r="A627" s="13" t="s">
        <v>837</v>
      </c>
    </row>
    <row r="628" spans="1:1">
      <c r="A628" s="13" t="s">
        <v>838</v>
      </c>
    </row>
    <row r="629" spans="1:1">
      <c r="A629" s="13" t="s">
        <v>839</v>
      </c>
    </row>
    <row r="630" spans="1:1">
      <c r="A630" s="13" t="s">
        <v>840</v>
      </c>
    </row>
    <row r="631" spans="1:1">
      <c r="A631" s="13" t="s">
        <v>841</v>
      </c>
    </row>
    <row r="632" spans="1:1">
      <c r="A632" s="13" t="s">
        <v>842</v>
      </c>
    </row>
    <row r="633" spans="1:1">
      <c r="A633" s="13" t="s">
        <v>843</v>
      </c>
    </row>
    <row r="634" spans="1:1">
      <c r="A634" s="13" t="s">
        <v>844</v>
      </c>
    </row>
    <row r="635" spans="1:1">
      <c r="A635" s="13" t="s">
        <v>845</v>
      </c>
    </row>
    <row r="636" spans="1:1">
      <c r="A636" s="13" t="s">
        <v>846</v>
      </c>
    </row>
    <row r="637" spans="1:1">
      <c r="A637" s="13" t="s">
        <v>372</v>
      </c>
    </row>
    <row r="638" spans="1:1">
      <c r="A638" s="13" t="s">
        <v>847</v>
      </c>
    </row>
    <row r="639" spans="1:1">
      <c r="A639" s="13" t="s">
        <v>848</v>
      </c>
    </row>
    <row r="640" spans="1:1">
      <c r="A640" s="13" t="s">
        <v>849</v>
      </c>
    </row>
    <row r="641" spans="1:1">
      <c r="A641" s="13" t="s">
        <v>850</v>
      </c>
    </row>
    <row r="642" spans="1:1">
      <c r="A642" s="13" t="s">
        <v>851</v>
      </c>
    </row>
    <row r="643" spans="1:1">
      <c r="A643" s="13" t="s">
        <v>852</v>
      </c>
    </row>
    <row r="644" spans="1:1">
      <c r="A644" s="13" t="s">
        <v>853</v>
      </c>
    </row>
    <row r="645" spans="1:1">
      <c r="A645" s="13" t="s">
        <v>854</v>
      </c>
    </row>
    <row r="646" spans="1:1">
      <c r="A646" s="13" t="s">
        <v>855</v>
      </c>
    </row>
    <row r="647" spans="1:1">
      <c r="A647" s="13" t="s">
        <v>856</v>
      </c>
    </row>
    <row r="648" spans="1:1">
      <c r="A648" s="13" t="s">
        <v>857</v>
      </c>
    </row>
    <row r="649" spans="1:1">
      <c r="A649" s="13" t="s">
        <v>398</v>
      </c>
    </row>
    <row r="650" spans="1:1">
      <c r="A650" s="13" t="s">
        <v>858</v>
      </c>
    </row>
    <row r="651" spans="1:1">
      <c r="A651" s="13" t="s">
        <v>859</v>
      </c>
    </row>
    <row r="652" spans="1:1">
      <c r="A652" s="13" t="s">
        <v>860</v>
      </c>
    </row>
    <row r="653" spans="1:1">
      <c r="A653" s="13" t="s">
        <v>861</v>
      </c>
    </row>
    <row r="654" spans="1:1">
      <c r="A654" s="13" t="s">
        <v>862</v>
      </c>
    </row>
    <row r="655" spans="1:1">
      <c r="A655" s="13" t="s">
        <v>863</v>
      </c>
    </row>
    <row r="656" spans="1:1">
      <c r="A656" s="13" t="s">
        <v>864</v>
      </c>
    </row>
    <row r="657" spans="1:1">
      <c r="A657" s="13" t="s">
        <v>865</v>
      </c>
    </row>
    <row r="658" spans="1:1">
      <c r="A658" s="13" t="s">
        <v>866</v>
      </c>
    </row>
    <row r="659" spans="1:1">
      <c r="A659" s="13" t="s">
        <v>867</v>
      </c>
    </row>
    <row r="660" spans="1:1">
      <c r="A660" s="13" t="s">
        <v>868</v>
      </c>
    </row>
    <row r="661" spans="1:1">
      <c r="A661" s="13" t="s">
        <v>869</v>
      </c>
    </row>
    <row r="662" spans="1:1">
      <c r="A662" s="13" t="s">
        <v>870</v>
      </c>
    </row>
    <row r="663" spans="1:1">
      <c r="A663" s="13" t="s">
        <v>871</v>
      </c>
    </row>
    <row r="664" spans="1:1">
      <c r="A664" s="13" t="s">
        <v>872</v>
      </c>
    </row>
    <row r="665" spans="1:1">
      <c r="A665" s="13" t="s">
        <v>873</v>
      </c>
    </row>
    <row r="666" spans="1:1">
      <c r="A666" s="13" t="s">
        <v>874</v>
      </c>
    </row>
    <row r="667" spans="1:1">
      <c r="A667" s="13" t="s">
        <v>875</v>
      </c>
    </row>
    <row r="668" spans="1:1">
      <c r="A668" s="13" t="s">
        <v>876</v>
      </c>
    </row>
    <row r="669" spans="1:1">
      <c r="A669" s="13" t="s">
        <v>877</v>
      </c>
    </row>
    <row r="670" spans="1:1">
      <c r="A670" s="13" t="s">
        <v>878</v>
      </c>
    </row>
    <row r="671" spans="1:1">
      <c r="A671" s="13" t="s">
        <v>879</v>
      </c>
    </row>
    <row r="672" spans="1:1">
      <c r="A672" s="13" t="s">
        <v>880</v>
      </c>
    </row>
    <row r="673" spans="1:1">
      <c r="A673" s="13" t="s">
        <v>881</v>
      </c>
    </row>
    <row r="674" spans="1:1">
      <c r="A674" s="13" t="s">
        <v>882</v>
      </c>
    </row>
    <row r="675" spans="1:1">
      <c r="A675" s="13" t="s">
        <v>883</v>
      </c>
    </row>
    <row r="676" spans="1:1">
      <c r="A676" s="13" t="s">
        <v>884</v>
      </c>
    </row>
    <row r="677" spans="1:1">
      <c r="A677" s="13" t="s">
        <v>885</v>
      </c>
    </row>
    <row r="678" spans="1:1">
      <c r="A678" s="13" t="s">
        <v>886</v>
      </c>
    </row>
    <row r="679" spans="1:1">
      <c r="A679" s="13" t="s">
        <v>887</v>
      </c>
    </row>
    <row r="680" spans="1:1">
      <c r="A680" s="13" t="s">
        <v>888</v>
      </c>
    </row>
    <row r="681" spans="1:1">
      <c r="A681" s="13" t="s">
        <v>889</v>
      </c>
    </row>
    <row r="682" spans="1:1">
      <c r="A682" s="13" t="s">
        <v>890</v>
      </c>
    </row>
    <row r="683" spans="1:1">
      <c r="A683" s="13" t="s">
        <v>891</v>
      </c>
    </row>
    <row r="684" spans="1:1">
      <c r="A684" s="13" t="s">
        <v>892</v>
      </c>
    </row>
    <row r="685" spans="1:1">
      <c r="A685" s="13" t="s">
        <v>893</v>
      </c>
    </row>
    <row r="686" spans="1:1">
      <c r="A686" s="13" t="s">
        <v>894</v>
      </c>
    </row>
    <row r="687" spans="1:1">
      <c r="A687" s="13" t="s">
        <v>895</v>
      </c>
    </row>
    <row r="688" spans="1:1">
      <c r="A688" s="13" t="s">
        <v>896</v>
      </c>
    </row>
    <row r="689" spans="1:1">
      <c r="A689" s="13" t="s">
        <v>897</v>
      </c>
    </row>
    <row r="690" spans="1:1">
      <c r="A690" s="13" t="s">
        <v>898</v>
      </c>
    </row>
    <row r="691" spans="1:1">
      <c r="A691" s="13" t="s">
        <v>899</v>
      </c>
    </row>
    <row r="692" spans="1:1">
      <c r="A692" s="13" t="s">
        <v>900</v>
      </c>
    </row>
    <row r="693" spans="1:1">
      <c r="A693" s="13" t="s">
        <v>901</v>
      </c>
    </row>
    <row r="694" spans="1:1">
      <c r="A694" s="13" t="s">
        <v>902</v>
      </c>
    </row>
    <row r="695" spans="1:1">
      <c r="A695" s="13" t="s">
        <v>903</v>
      </c>
    </row>
    <row r="696" spans="1:1">
      <c r="A696" s="13" t="s">
        <v>904</v>
      </c>
    </row>
    <row r="697" spans="1:1">
      <c r="A697" s="13" t="s">
        <v>905</v>
      </c>
    </row>
    <row r="698" spans="1:1">
      <c r="A698" s="13" t="s">
        <v>906</v>
      </c>
    </row>
    <row r="699" spans="1:1">
      <c r="A699" s="13" t="s">
        <v>907</v>
      </c>
    </row>
    <row r="700" spans="1:1">
      <c r="A700" s="13" t="s">
        <v>908</v>
      </c>
    </row>
    <row r="701" spans="1:1">
      <c r="A701" s="13" t="s">
        <v>909</v>
      </c>
    </row>
    <row r="702" spans="1:1">
      <c r="A702" s="13" t="s">
        <v>910</v>
      </c>
    </row>
    <row r="703" spans="1:1">
      <c r="A703" s="13" t="s">
        <v>911</v>
      </c>
    </row>
    <row r="704" spans="1:1">
      <c r="A704" s="13" t="s">
        <v>912</v>
      </c>
    </row>
    <row r="705" spans="1:1">
      <c r="A705" s="13" t="s">
        <v>913</v>
      </c>
    </row>
    <row r="706" spans="1:1">
      <c r="A706" s="13" t="s">
        <v>914</v>
      </c>
    </row>
    <row r="707" spans="1:1">
      <c r="A707" s="13" t="s">
        <v>915</v>
      </c>
    </row>
    <row r="708" spans="1:1">
      <c r="A708" s="13" t="s">
        <v>916</v>
      </c>
    </row>
    <row r="709" spans="1:1">
      <c r="A709" s="13" t="s">
        <v>917</v>
      </c>
    </row>
    <row r="710" spans="1:1">
      <c r="A710" s="13" t="s">
        <v>918</v>
      </c>
    </row>
    <row r="711" spans="1:1">
      <c r="A711" s="13" t="s">
        <v>919</v>
      </c>
    </row>
    <row r="712" spans="1:1">
      <c r="A712" s="13" t="s">
        <v>920</v>
      </c>
    </row>
    <row r="713" spans="1:1">
      <c r="A713" s="13" t="s">
        <v>921</v>
      </c>
    </row>
    <row r="714" spans="1:1">
      <c r="A714" s="13" t="s">
        <v>922</v>
      </c>
    </row>
    <row r="715" spans="1:1">
      <c r="A715" s="13" t="s">
        <v>923</v>
      </c>
    </row>
    <row r="716" spans="1:1">
      <c r="A716" s="13" t="s">
        <v>924</v>
      </c>
    </row>
    <row r="717" spans="1:1">
      <c r="A717" s="13" t="s">
        <v>925</v>
      </c>
    </row>
    <row r="718" spans="1:1">
      <c r="A718" s="13" t="s">
        <v>926</v>
      </c>
    </row>
    <row r="719" spans="1:1">
      <c r="A719" s="13" t="s">
        <v>927</v>
      </c>
    </row>
    <row r="720" spans="1:1">
      <c r="A720" s="13" t="s">
        <v>928</v>
      </c>
    </row>
    <row r="721" spans="1:1">
      <c r="A721" s="13" t="s">
        <v>929</v>
      </c>
    </row>
    <row r="722" spans="1:1">
      <c r="A722" s="13" t="s">
        <v>930</v>
      </c>
    </row>
    <row r="723" spans="1:1">
      <c r="A723" s="13" t="s">
        <v>931</v>
      </c>
    </row>
    <row r="724" spans="1:1">
      <c r="A724" s="13" t="s">
        <v>932</v>
      </c>
    </row>
    <row r="725" spans="1:1">
      <c r="A725" s="13" t="s">
        <v>933</v>
      </c>
    </row>
    <row r="726" spans="1:1">
      <c r="A726" s="13" t="s">
        <v>934</v>
      </c>
    </row>
    <row r="727" spans="1:1">
      <c r="A727" s="13" t="s">
        <v>935</v>
      </c>
    </row>
    <row r="728" spans="1:1">
      <c r="A728" s="13" t="s">
        <v>936</v>
      </c>
    </row>
    <row r="729" spans="1:1">
      <c r="A729" s="13" t="s">
        <v>937</v>
      </c>
    </row>
    <row r="730" spans="1:1">
      <c r="A730" s="13" t="s">
        <v>938</v>
      </c>
    </row>
    <row r="731" spans="1:1">
      <c r="A731" s="13" t="s">
        <v>939</v>
      </c>
    </row>
    <row r="732" spans="1:1">
      <c r="A732" s="13" t="s">
        <v>940</v>
      </c>
    </row>
    <row r="733" spans="1:1">
      <c r="A733" s="13" t="s">
        <v>941</v>
      </c>
    </row>
    <row r="734" spans="1:1">
      <c r="A734" s="13" t="s">
        <v>942</v>
      </c>
    </row>
    <row r="735" spans="1:1">
      <c r="A735" s="13" t="s">
        <v>943</v>
      </c>
    </row>
    <row r="736" spans="1:1">
      <c r="A736" s="13" t="s">
        <v>944</v>
      </c>
    </row>
    <row r="737" spans="1:1">
      <c r="A737" s="13" t="s">
        <v>945</v>
      </c>
    </row>
    <row r="738" spans="1:1">
      <c r="A738" s="13" t="s">
        <v>946</v>
      </c>
    </row>
    <row r="739" spans="1:1">
      <c r="A739" s="13" t="s">
        <v>947</v>
      </c>
    </row>
    <row r="740" spans="1:1">
      <c r="A740" s="13" t="s">
        <v>948</v>
      </c>
    </row>
    <row r="741" spans="1:1">
      <c r="A741" s="13" t="s">
        <v>949</v>
      </c>
    </row>
    <row r="742" spans="1:1">
      <c r="A742" s="13" t="s">
        <v>950</v>
      </c>
    </row>
    <row r="743" spans="1:1">
      <c r="A743" s="13" t="s">
        <v>951</v>
      </c>
    </row>
    <row r="744" spans="1:1">
      <c r="A744" s="13" t="s">
        <v>952</v>
      </c>
    </row>
    <row r="745" spans="1:1">
      <c r="A745" s="13" t="s">
        <v>953</v>
      </c>
    </row>
    <row r="746" spans="1:1">
      <c r="A746" s="13" t="s">
        <v>954</v>
      </c>
    </row>
    <row r="747" spans="1:1">
      <c r="A747" s="13" t="s">
        <v>955</v>
      </c>
    </row>
    <row r="748" spans="1:1">
      <c r="A748" s="13" t="s">
        <v>956</v>
      </c>
    </row>
    <row r="749" spans="1:1">
      <c r="A749" s="13" t="s">
        <v>957</v>
      </c>
    </row>
    <row r="750" spans="1:1">
      <c r="A750" s="13" t="s">
        <v>958</v>
      </c>
    </row>
    <row r="751" spans="1:1">
      <c r="A751" s="13" t="s">
        <v>959</v>
      </c>
    </row>
    <row r="752" spans="1:1">
      <c r="A752" s="13" t="s">
        <v>960</v>
      </c>
    </row>
    <row r="753" spans="1:1">
      <c r="A753" s="13" t="s">
        <v>961</v>
      </c>
    </row>
    <row r="754" spans="1:1">
      <c r="A754" s="13" t="s">
        <v>962</v>
      </c>
    </row>
    <row r="755" spans="1:1">
      <c r="A755" s="13" t="s">
        <v>963</v>
      </c>
    </row>
    <row r="756" spans="1:1">
      <c r="A756" s="13" t="s">
        <v>964</v>
      </c>
    </row>
    <row r="757" spans="1:1">
      <c r="A757" s="13" t="s">
        <v>965</v>
      </c>
    </row>
    <row r="758" spans="1:1">
      <c r="A758" s="13" t="s">
        <v>966</v>
      </c>
    </row>
    <row r="759" spans="1:1">
      <c r="A759" s="13" t="s">
        <v>967</v>
      </c>
    </row>
    <row r="760" spans="1:1">
      <c r="A760" s="13" t="s">
        <v>968</v>
      </c>
    </row>
    <row r="761" spans="1:1">
      <c r="A761" s="13" t="s">
        <v>969</v>
      </c>
    </row>
    <row r="762" spans="1:1">
      <c r="A762" s="13" t="s">
        <v>970</v>
      </c>
    </row>
    <row r="763" spans="1:1">
      <c r="A763" s="13" t="s">
        <v>971</v>
      </c>
    </row>
    <row r="764" spans="1:1">
      <c r="A764" s="13" t="s">
        <v>972</v>
      </c>
    </row>
    <row r="765" spans="1:1">
      <c r="A765" s="13" t="s">
        <v>973</v>
      </c>
    </row>
    <row r="766" spans="1:1">
      <c r="A766" s="13" t="s">
        <v>974</v>
      </c>
    </row>
    <row r="767" spans="1:1">
      <c r="A767" s="13" t="s">
        <v>975</v>
      </c>
    </row>
    <row r="768" spans="1:1">
      <c r="A768" s="13" t="s">
        <v>976</v>
      </c>
    </row>
    <row r="769" spans="1:1">
      <c r="A769" s="13" t="s">
        <v>977</v>
      </c>
    </row>
    <row r="770" spans="1:1">
      <c r="A770" s="13" t="s">
        <v>978</v>
      </c>
    </row>
    <row r="771" spans="1:1">
      <c r="A771" s="13" t="s">
        <v>979</v>
      </c>
    </row>
    <row r="772" spans="1:1">
      <c r="A772" s="13" t="s">
        <v>980</v>
      </c>
    </row>
    <row r="773" spans="1:1">
      <c r="A773" s="13" t="s">
        <v>981</v>
      </c>
    </row>
    <row r="774" spans="1:1">
      <c r="A774" s="13" t="s">
        <v>982</v>
      </c>
    </row>
    <row r="775" spans="1:1">
      <c r="A775" s="13" t="s">
        <v>983</v>
      </c>
    </row>
    <row r="776" spans="1:1">
      <c r="A776" s="13" t="s">
        <v>984</v>
      </c>
    </row>
    <row r="777" spans="1:1">
      <c r="A777" s="13" t="s">
        <v>985</v>
      </c>
    </row>
    <row r="778" spans="1:1">
      <c r="A778" s="13" t="s">
        <v>986</v>
      </c>
    </row>
    <row r="779" spans="1:1">
      <c r="A779" s="13" t="s">
        <v>987</v>
      </c>
    </row>
    <row r="780" spans="1:1">
      <c r="A780" s="13" t="s">
        <v>988</v>
      </c>
    </row>
    <row r="781" spans="1:1">
      <c r="A781" s="13" t="s">
        <v>989</v>
      </c>
    </row>
    <row r="782" spans="1:1">
      <c r="A782" s="13" t="s">
        <v>990</v>
      </c>
    </row>
    <row r="783" spans="1:1">
      <c r="A783" s="13" t="s">
        <v>991</v>
      </c>
    </row>
    <row r="784" spans="1:1">
      <c r="A784" s="13" t="s">
        <v>992</v>
      </c>
    </row>
    <row r="785" spans="1:1">
      <c r="A785" s="13" t="s">
        <v>993</v>
      </c>
    </row>
    <row r="786" spans="1:1">
      <c r="A786" s="13" t="s">
        <v>994</v>
      </c>
    </row>
    <row r="787" spans="1:1">
      <c r="A787" s="13" t="s">
        <v>995</v>
      </c>
    </row>
    <row r="788" spans="1:1">
      <c r="A788" s="13" t="s">
        <v>996</v>
      </c>
    </row>
    <row r="789" spans="1:1">
      <c r="A789" s="13" t="s">
        <v>997</v>
      </c>
    </row>
    <row r="790" spans="1:1">
      <c r="A790" s="13" t="s">
        <v>998</v>
      </c>
    </row>
    <row r="791" spans="1:1">
      <c r="A791" s="13" t="s">
        <v>999</v>
      </c>
    </row>
    <row r="792" spans="1:1">
      <c r="A792" s="13" t="s">
        <v>1000</v>
      </c>
    </row>
    <row r="793" spans="1:1">
      <c r="A793" s="13" t="s">
        <v>1001</v>
      </c>
    </row>
    <row r="794" spans="1:1">
      <c r="A794" s="13" t="s">
        <v>1002</v>
      </c>
    </row>
    <row r="795" spans="1:1">
      <c r="A795" s="13" t="s">
        <v>1003</v>
      </c>
    </row>
    <row r="796" spans="1:1">
      <c r="A796" s="13" t="s">
        <v>1004</v>
      </c>
    </row>
    <row r="797" spans="1:1">
      <c r="A797" s="13" t="s">
        <v>1005</v>
      </c>
    </row>
    <row r="798" spans="1:1">
      <c r="A798" s="13" t="s">
        <v>1006</v>
      </c>
    </row>
    <row r="799" spans="1:1">
      <c r="A799" s="13" t="s">
        <v>1007</v>
      </c>
    </row>
    <row r="800" spans="1:1">
      <c r="A800" s="13" t="s">
        <v>1008</v>
      </c>
    </row>
    <row r="801" spans="1:1">
      <c r="A801" s="13" t="s">
        <v>1009</v>
      </c>
    </row>
    <row r="802" spans="1:1">
      <c r="A802" s="13" t="s">
        <v>1010</v>
      </c>
    </row>
    <row r="803" spans="1:1">
      <c r="A803" s="13" t="s">
        <v>1011</v>
      </c>
    </row>
    <row r="804" spans="1:1">
      <c r="A804" s="13" t="s">
        <v>1012</v>
      </c>
    </row>
    <row r="805" spans="1:1">
      <c r="A805" s="13" t="s">
        <v>1013</v>
      </c>
    </row>
    <row r="806" spans="1:1">
      <c r="A806" s="13" t="s">
        <v>1014</v>
      </c>
    </row>
    <row r="807" spans="1:1">
      <c r="A807" s="13" t="s">
        <v>1015</v>
      </c>
    </row>
    <row r="808" spans="1:1">
      <c r="A808" s="13" t="s">
        <v>1016</v>
      </c>
    </row>
    <row r="809" spans="1:1">
      <c r="A809" s="13" t="s">
        <v>1017</v>
      </c>
    </row>
    <row r="810" spans="1:1">
      <c r="A810" s="13" t="s">
        <v>1018</v>
      </c>
    </row>
    <row r="811" spans="1:1">
      <c r="A811" s="13" t="s">
        <v>1019</v>
      </c>
    </row>
    <row r="812" spans="1:1">
      <c r="A812" s="13" t="s">
        <v>1020</v>
      </c>
    </row>
    <row r="813" spans="1:1">
      <c r="A813" s="13" t="s">
        <v>1021</v>
      </c>
    </row>
    <row r="814" spans="1:1">
      <c r="A814" s="13" t="s">
        <v>1022</v>
      </c>
    </row>
    <row r="815" spans="1:1">
      <c r="A815" s="13" t="s">
        <v>1023</v>
      </c>
    </row>
    <row r="816" spans="1:1">
      <c r="A816" s="13" t="s">
        <v>1024</v>
      </c>
    </row>
    <row r="817" spans="1:1">
      <c r="A817" s="13" t="s">
        <v>1025</v>
      </c>
    </row>
    <row r="818" spans="1:1">
      <c r="A818" s="13" t="s">
        <v>1026</v>
      </c>
    </row>
    <row r="819" spans="1:1">
      <c r="A819" s="13" t="s">
        <v>1027</v>
      </c>
    </row>
    <row r="820" spans="1:1">
      <c r="A820" s="13" t="s">
        <v>1028</v>
      </c>
    </row>
    <row r="821" spans="1:1">
      <c r="A821" s="13" t="s">
        <v>1029</v>
      </c>
    </row>
    <row r="822" spans="1:1">
      <c r="A822" s="13" t="s">
        <v>1030</v>
      </c>
    </row>
    <row r="823" spans="1:1">
      <c r="A823" s="13" t="s">
        <v>1031</v>
      </c>
    </row>
    <row r="824" spans="1:1">
      <c r="A824" s="13" t="s">
        <v>1032</v>
      </c>
    </row>
    <row r="825" spans="1:1">
      <c r="A825" s="13" t="s">
        <v>1033</v>
      </c>
    </row>
    <row r="826" spans="1:1">
      <c r="A826" s="13" t="s">
        <v>1034</v>
      </c>
    </row>
    <row r="827" spans="1:1">
      <c r="A827" s="13" t="s">
        <v>1035</v>
      </c>
    </row>
    <row r="828" spans="1:1">
      <c r="A828" s="13" t="s">
        <v>1036</v>
      </c>
    </row>
    <row r="829" spans="1:1">
      <c r="A829" s="13" t="s">
        <v>1037</v>
      </c>
    </row>
    <row r="830" spans="1:1">
      <c r="A830" s="13" t="s">
        <v>1038</v>
      </c>
    </row>
    <row r="831" spans="1:1">
      <c r="A831" s="13" t="s">
        <v>1039</v>
      </c>
    </row>
    <row r="832" spans="1:1">
      <c r="A832" s="13" t="s">
        <v>1040</v>
      </c>
    </row>
    <row r="833" spans="1:1">
      <c r="A833" s="13" t="s">
        <v>1041</v>
      </c>
    </row>
    <row r="834" spans="1:1">
      <c r="A834" s="13" t="s">
        <v>1042</v>
      </c>
    </row>
    <row r="835" spans="1:1">
      <c r="A835" s="13" t="s">
        <v>1043</v>
      </c>
    </row>
    <row r="836" spans="1:1">
      <c r="A836" s="13" t="s">
        <v>1044</v>
      </c>
    </row>
    <row r="837" spans="1:1">
      <c r="A837" s="13" t="s">
        <v>1045</v>
      </c>
    </row>
    <row r="838" spans="1:1">
      <c r="A838" s="13" t="s">
        <v>1046</v>
      </c>
    </row>
    <row r="839" spans="1:1">
      <c r="A839" s="13" t="s">
        <v>1047</v>
      </c>
    </row>
    <row r="840" spans="1:1">
      <c r="A840" s="13" t="s">
        <v>1048</v>
      </c>
    </row>
    <row r="841" spans="1:1">
      <c r="A841" s="13" t="s">
        <v>1049</v>
      </c>
    </row>
    <row r="842" spans="1:1">
      <c r="A842" s="13" t="s">
        <v>1050</v>
      </c>
    </row>
    <row r="843" spans="1:1">
      <c r="A843" s="13" t="s">
        <v>1051</v>
      </c>
    </row>
    <row r="844" spans="1:1">
      <c r="A844" s="13" t="s">
        <v>1052</v>
      </c>
    </row>
    <row r="845" spans="1:1">
      <c r="A845" s="13" t="s">
        <v>1053</v>
      </c>
    </row>
    <row r="846" spans="1:1">
      <c r="A846" s="13" t="s">
        <v>1054</v>
      </c>
    </row>
    <row r="847" spans="1:1">
      <c r="A847" s="13" t="s">
        <v>1055</v>
      </c>
    </row>
    <row r="848" spans="1:1">
      <c r="A848" s="13" t="s">
        <v>1056</v>
      </c>
    </row>
    <row r="849" spans="1:1">
      <c r="A849" s="13" t="s">
        <v>1057</v>
      </c>
    </row>
    <row r="850" spans="1:1">
      <c r="A850" s="13" t="s">
        <v>1058</v>
      </c>
    </row>
    <row r="851" spans="1:1">
      <c r="A851" s="13" t="s">
        <v>1059</v>
      </c>
    </row>
    <row r="852" spans="1:1">
      <c r="A852" s="13" t="s">
        <v>1060</v>
      </c>
    </row>
    <row r="853" spans="1:1">
      <c r="A853" s="13" t="s">
        <v>1061</v>
      </c>
    </row>
    <row r="854" spans="1:1">
      <c r="A854" s="13" t="s">
        <v>1062</v>
      </c>
    </row>
    <row r="855" spans="1:1">
      <c r="A855" s="13" t="s">
        <v>381</v>
      </c>
    </row>
    <row r="856" spans="1:1">
      <c r="A856" s="13" t="s">
        <v>1063</v>
      </c>
    </row>
    <row r="857" spans="1:1">
      <c r="A857" s="13" t="s">
        <v>1064</v>
      </c>
    </row>
    <row r="858" spans="1:1">
      <c r="A858" s="13" t="s">
        <v>1065</v>
      </c>
    </row>
    <row r="859" spans="1:1">
      <c r="A859" s="13" t="s">
        <v>1066</v>
      </c>
    </row>
    <row r="860" spans="1:1">
      <c r="A860" s="13" t="s">
        <v>1067</v>
      </c>
    </row>
    <row r="861" spans="1:1">
      <c r="A861" s="13" t="s">
        <v>1068</v>
      </c>
    </row>
    <row r="862" spans="1:1">
      <c r="A862" s="13" t="s">
        <v>1069</v>
      </c>
    </row>
    <row r="863" spans="1:1">
      <c r="A863" s="13" t="s">
        <v>1070</v>
      </c>
    </row>
    <row r="864" spans="1:1">
      <c r="A864" s="13" t="s">
        <v>1071</v>
      </c>
    </row>
    <row r="865" spans="1:1">
      <c r="A865" s="13" t="s">
        <v>1072</v>
      </c>
    </row>
    <row r="866" spans="1:1">
      <c r="A866" s="13" t="s">
        <v>1073</v>
      </c>
    </row>
    <row r="867" spans="1:1">
      <c r="A867" s="13" t="s">
        <v>1074</v>
      </c>
    </row>
    <row r="868" spans="1:1">
      <c r="A868" s="13" t="s">
        <v>1075</v>
      </c>
    </row>
    <row r="869" spans="1:1">
      <c r="A869" s="13" t="s">
        <v>1076</v>
      </c>
    </row>
    <row r="870" spans="1:1">
      <c r="A870" s="13" t="s">
        <v>1077</v>
      </c>
    </row>
    <row r="871" spans="1:1">
      <c r="A871" s="13" t="s">
        <v>1078</v>
      </c>
    </row>
    <row r="872" spans="1:1">
      <c r="A872" s="13" t="s">
        <v>1079</v>
      </c>
    </row>
    <row r="873" spans="1:1">
      <c r="A873" s="13" t="s">
        <v>1080</v>
      </c>
    </row>
    <row r="874" spans="1:1">
      <c r="A874" s="13" t="s">
        <v>1081</v>
      </c>
    </row>
    <row r="875" spans="1:1">
      <c r="A875" s="13" t="s">
        <v>1082</v>
      </c>
    </row>
    <row r="876" spans="1:1">
      <c r="A876" s="13" t="s">
        <v>1083</v>
      </c>
    </row>
    <row r="877" spans="1:1">
      <c r="A877" s="13" t="s">
        <v>1084</v>
      </c>
    </row>
    <row r="878" spans="1:1">
      <c r="A878" s="13" t="s">
        <v>1085</v>
      </c>
    </row>
    <row r="879" spans="1:1">
      <c r="A879" s="13" t="s">
        <v>1086</v>
      </c>
    </row>
    <row r="880" spans="1:1">
      <c r="A880" s="13" t="s">
        <v>1087</v>
      </c>
    </row>
    <row r="881" spans="1:1">
      <c r="A881" s="13" t="s">
        <v>1088</v>
      </c>
    </row>
    <row r="882" spans="1:1">
      <c r="A882" s="13" t="s">
        <v>1089</v>
      </c>
    </row>
    <row r="883" spans="1:1">
      <c r="A883" s="13" t="s">
        <v>1090</v>
      </c>
    </row>
    <row r="884" spans="1:1">
      <c r="A884" s="13" t="s">
        <v>1091</v>
      </c>
    </row>
    <row r="885" spans="1:1">
      <c r="A885" s="13" t="s">
        <v>1092</v>
      </c>
    </row>
    <row r="886" spans="1:1">
      <c r="A886" s="13" t="s">
        <v>1093</v>
      </c>
    </row>
    <row r="887" spans="1:1">
      <c r="A887" s="13" t="s">
        <v>1094</v>
      </c>
    </row>
    <row r="888" spans="1:1">
      <c r="A888" s="13" t="s">
        <v>1095</v>
      </c>
    </row>
    <row r="889" spans="1:1">
      <c r="A889" s="13" t="s">
        <v>1096</v>
      </c>
    </row>
    <row r="890" spans="1:1">
      <c r="A890" s="13" t="s">
        <v>1097</v>
      </c>
    </row>
    <row r="891" spans="1:1">
      <c r="A891" s="13" t="s">
        <v>1098</v>
      </c>
    </row>
    <row r="892" spans="1:1">
      <c r="A892" s="13" t="s">
        <v>1099</v>
      </c>
    </row>
    <row r="893" spans="1:1">
      <c r="A893" s="13" t="s">
        <v>1100</v>
      </c>
    </row>
    <row r="894" spans="1:1">
      <c r="A894" s="13" t="s">
        <v>1101</v>
      </c>
    </row>
    <row r="895" spans="1:1">
      <c r="A895" s="13" t="s">
        <v>1102</v>
      </c>
    </row>
    <row r="896" spans="1:1">
      <c r="A896" s="13" t="s">
        <v>1103</v>
      </c>
    </row>
    <row r="897" spans="1:1">
      <c r="A897" s="13" t="s">
        <v>1104</v>
      </c>
    </row>
    <row r="898" spans="1:1">
      <c r="A898" s="13" t="s">
        <v>356</v>
      </c>
    </row>
    <row r="899" spans="1:1">
      <c r="A899" s="13" t="s">
        <v>1105</v>
      </c>
    </row>
    <row r="900" spans="1:1">
      <c r="A900" s="13" t="s">
        <v>1106</v>
      </c>
    </row>
    <row r="901" spans="1:1">
      <c r="A901" s="13" t="s">
        <v>1107</v>
      </c>
    </row>
    <row r="902" spans="1:1">
      <c r="A902" s="13" t="s">
        <v>1108</v>
      </c>
    </row>
    <row r="903" spans="1:1">
      <c r="A903" s="13" t="s">
        <v>1109</v>
      </c>
    </row>
    <row r="904" spans="1:1">
      <c r="A904" s="13" t="s">
        <v>1110</v>
      </c>
    </row>
    <row r="905" spans="1:1">
      <c r="A905" s="13" t="s">
        <v>1111</v>
      </c>
    </row>
    <row r="906" spans="1:1">
      <c r="A906" s="13" t="s">
        <v>1112</v>
      </c>
    </row>
    <row r="907" spans="1:1">
      <c r="A907" s="13" t="s">
        <v>1113</v>
      </c>
    </row>
    <row r="908" spans="1:1">
      <c r="A908" s="13" t="s">
        <v>1114</v>
      </c>
    </row>
    <row r="909" spans="1:1">
      <c r="A909" s="13" t="s">
        <v>1115</v>
      </c>
    </row>
    <row r="910" spans="1:1">
      <c r="A910" s="13" t="s">
        <v>1116</v>
      </c>
    </row>
    <row r="911" spans="1:1">
      <c r="A911" s="13" t="s">
        <v>1117</v>
      </c>
    </row>
    <row r="912" spans="1:1">
      <c r="A912" s="13" t="s">
        <v>1118</v>
      </c>
    </row>
    <row r="913" spans="1:1">
      <c r="A913" s="13" t="s">
        <v>1119</v>
      </c>
    </row>
    <row r="914" spans="1:1">
      <c r="A914" s="13" t="s">
        <v>1120</v>
      </c>
    </row>
    <row r="915" spans="1:1">
      <c r="A915" s="13" t="s">
        <v>1121</v>
      </c>
    </row>
    <row r="916" spans="1:1">
      <c r="A916" s="13" t="s">
        <v>1122</v>
      </c>
    </row>
    <row r="917" spans="1:1">
      <c r="A917" s="13" t="s">
        <v>348</v>
      </c>
    </row>
    <row r="918" spans="1:1">
      <c r="A918" s="13" t="s">
        <v>1123</v>
      </c>
    </row>
    <row r="919" spans="1:1">
      <c r="A919" s="13" t="s">
        <v>1124</v>
      </c>
    </row>
    <row r="920" spans="1:1">
      <c r="A920" s="13" t="s">
        <v>1125</v>
      </c>
    </row>
    <row r="921" spans="1:1">
      <c r="A921" s="13" t="s">
        <v>1126</v>
      </c>
    </row>
    <row r="922" spans="1:1">
      <c r="A922" s="13" t="s">
        <v>1127</v>
      </c>
    </row>
    <row r="923" spans="1:1">
      <c r="A923" s="13" t="s">
        <v>1128</v>
      </c>
    </row>
    <row r="924" spans="1:1">
      <c r="A924" s="13" t="s">
        <v>1129</v>
      </c>
    </row>
    <row r="925" spans="1:1">
      <c r="A925" s="13" t="s">
        <v>1130</v>
      </c>
    </row>
    <row r="926" spans="1:1">
      <c r="A926" s="13" t="s">
        <v>1131</v>
      </c>
    </row>
    <row r="927" spans="1:1">
      <c r="A927" s="13" t="s">
        <v>1132</v>
      </c>
    </row>
    <row r="928" spans="1:1">
      <c r="A928" s="13" t="s">
        <v>1133</v>
      </c>
    </row>
    <row r="929" spans="1:1">
      <c r="A929" s="13" t="s">
        <v>1134</v>
      </c>
    </row>
    <row r="930" spans="1:1">
      <c r="A930" s="13" t="s">
        <v>1135</v>
      </c>
    </row>
    <row r="931" spans="1:1">
      <c r="A931" s="13" t="s">
        <v>1136</v>
      </c>
    </row>
    <row r="932" spans="1:1">
      <c r="A932" s="13" t="s">
        <v>1137</v>
      </c>
    </row>
    <row r="933" spans="1:1">
      <c r="A933" s="13" t="s">
        <v>1138</v>
      </c>
    </row>
    <row r="934" spans="1:1">
      <c r="A934" s="13" t="s">
        <v>1139</v>
      </c>
    </row>
    <row r="935" spans="1:1">
      <c r="A935" s="13" t="s">
        <v>1140</v>
      </c>
    </row>
    <row r="936" spans="1:1">
      <c r="A936" s="13" t="s">
        <v>1141</v>
      </c>
    </row>
    <row r="937" spans="1:1">
      <c r="A937" s="13" t="s">
        <v>1142</v>
      </c>
    </row>
    <row r="938" spans="1:1">
      <c r="A938" s="13" t="s">
        <v>1143</v>
      </c>
    </row>
    <row r="939" spans="1:1">
      <c r="A939" s="13" t="s">
        <v>1144</v>
      </c>
    </row>
    <row r="940" spans="1:1">
      <c r="A940" s="13" t="s">
        <v>1145</v>
      </c>
    </row>
    <row r="941" spans="1:1">
      <c r="A941" s="13" t="s">
        <v>1146</v>
      </c>
    </row>
    <row r="942" spans="1:1">
      <c r="A942" s="13" t="s">
        <v>1147</v>
      </c>
    </row>
    <row r="943" spans="1:1">
      <c r="A943" s="13" t="s">
        <v>1148</v>
      </c>
    </row>
    <row r="944" spans="1:1">
      <c r="A944" s="13" t="s">
        <v>1149</v>
      </c>
    </row>
    <row r="945" spans="1:1">
      <c r="A945" s="13" t="s">
        <v>1150</v>
      </c>
    </row>
    <row r="946" spans="1:1">
      <c r="A946" s="13" t="s">
        <v>1151</v>
      </c>
    </row>
    <row r="947" spans="1:1">
      <c r="A947" s="13" t="s">
        <v>1152</v>
      </c>
    </row>
    <row r="948" spans="1:1">
      <c r="A948" s="13" t="s">
        <v>1153</v>
      </c>
    </row>
    <row r="949" spans="1:1">
      <c r="A949" s="13" t="s">
        <v>1154</v>
      </c>
    </row>
    <row r="950" spans="1:1">
      <c r="A950" s="13" t="s">
        <v>1155</v>
      </c>
    </row>
    <row r="951" spans="1:1">
      <c r="A951" s="13" t="s">
        <v>1156</v>
      </c>
    </row>
    <row r="952" spans="1:1">
      <c r="A952" s="13" t="s">
        <v>1157</v>
      </c>
    </row>
    <row r="953" spans="1:1">
      <c r="A953" s="13" t="s">
        <v>1158</v>
      </c>
    </row>
    <row r="954" spans="1:1">
      <c r="A954" s="13" t="s">
        <v>1159</v>
      </c>
    </row>
    <row r="955" spans="1:1">
      <c r="A955" s="13" t="s">
        <v>341</v>
      </c>
    </row>
    <row r="956" spans="1:1">
      <c r="A956" s="13" t="s">
        <v>1160</v>
      </c>
    </row>
    <row r="957" spans="1:1">
      <c r="A957" s="13" t="s">
        <v>1161</v>
      </c>
    </row>
    <row r="958" spans="1:1">
      <c r="A958" s="13" t="s">
        <v>1162</v>
      </c>
    </row>
    <row r="959" spans="1:1">
      <c r="A959" s="13" t="s">
        <v>1163</v>
      </c>
    </row>
    <row r="960" spans="1:1">
      <c r="A960" s="13" t="s">
        <v>1164</v>
      </c>
    </row>
    <row r="961" spans="1:1">
      <c r="A961" s="13" t="s">
        <v>1165</v>
      </c>
    </row>
    <row r="962" spans="1:1">
      <c r="A962" s="13" t="s">
        <v>1166</v>
      </c>
    </row>
    <row r="963" spans="1:1">
      <c r="A963" s="13" t="s">
        <v>1167</v>
      </c>
    </row>
    <row r="964" spans="1:1">
      <c r="A964" s="13" t="s">
        <v>1168</v>
      </c>
    </row>
    <row r="965" spans="1:1">
      <c r="A965" s="13" t="s">
        <v>1169</v>
      </c>
    </row>
    <row r="966" spans="1:1">
      <c r="A966" s="13" t="s">
        <v>1170</v>
      </c>
    </row>
    <row r="967" spans="1:1">
      <c r="A967" s="13" t="s">
        <v>1171</v>
      </c>
    </row>
    <row r="968" spans="1:1">
      <c r="A968" s="13" t="s">
        <v>1172</v>
      </c>
    </row>
    <row r="969" spans="1:1">
      <c r="A969" s="13" t="s">
        <v>1173</v>
      </c>
    </row>
    <row r="970" spans="1:1">
      <c r="A970" s="13" t="s">
        <v>1174</v>
      </c>
    </row>
    <row r="971" spans="1:1">
      <c r="A971" s="13" t="s">
        <v>1175</v>
      </c>
    </row>
    <row r="972" spans="1:1">
      <c r="A972" s="13" t="s">
        <v>1176</v>
      </c>
    </row>
    <row r="973" spans="1:1">
      <c r="A973" s="13" t="s">
        <v>1177</v>
      </c>
    </row>
    <row r="974" spans="1:1">
      <c r="A974" s="13" t="s">
        <v>1178</v>
      </c>
    </row>
    <row r="975" spans="1:1">
      <c r="A975" s="13" t="s">
        <v>1179</v>
      </c>
    </row>
    <row r="976" spans="1:1">
      <c r="A976" s="13" t="s">
        <v>1180</v>
      </c>
    </row>
    <row r="977" spans="1:1">
      <c r="A977" s="13" t="s">
        <v>1181</v>
      </c>
    </row>
    <row r="978" spans="1:1">
      <c r="A978" s="13" t="s">
        <v>1182</v>
      </c>
    </row>
    <row r="979" spans="1:1">
      <c r="A979" s="13" t="s">
        <v>1183</v>
      </c>
    </row>
    <row r="980" spans="1:1">
      <c r="A980" s="13" t="s">
        <v>1184</v>
      </c>
    </row>
    <row r="981" spans="1:1">
      <c r="A981" s="13" t="s">
        <v>1185</v>
      </c>
    </row>
    <row r="982" spans="1:1">
      <c r="A982" s="13" t="s">
        <v>1186</v>
      </c>
    </row>
    <row r="983" spans="1:1">
      <c r="A983" s="13" t="s">
        <v>1187</v>
      </c>
    </row>
    <row r="984" spans="1:1">
      <c r="A984" s="13" t="s">
        <v>1188</v>
      </c>
    </row>
    <row r="985" spans="1:1">
      <c r="A985" s="13" t="s">
        <v>1189</v>
      </c>
    </row>
    <row r="986" spans="1:1">
      <c r="A986" s="13" t="s">
        <v>1190</v>
      </c>
    </row>
    <row r="987" spans="1:1">
      <c r="A987" s="13" t="s">
        <v>1191</v>
      </c>
    </row>
    <row r="988" spans="1:1">
      <c r="A988" s="13" t="s">
        <v>1192</v>
      </c>
    </row>
    <row r="989" spans="1:1">
      <c r="A989" s="13" t="s">
        <v>1193</v>
      </c>
    </row>
    <row r="990" spans="1:1">
      <c r="A990" s="13" t="s">
        <v>1194</v>
      </c>
    </row>
    <row r="991" spans="1:1">
      <c r="A991" s="13" t="s">
        <v>1195</v>
      </c>
    </row>
    <row r="992" spans="1:1">
      <c r="A992" s="13" t="s">
        <v>1196</v>
      </c>
    </row>
    <row r="993" spans="1:1">
      <c r="A993" s="13" t="s">
        <v>1197</v>
      </c>
    </row>
    <row r="994" spans="1:1">
      <c r="A994" s="13" t="s">
        <v>1198</v>
      </c>
    </row>
    <row r="995" spans="1:1">
      <c r="A995" s="13" t="s">
        <v>1199</v>
      </c>
    </row>
    <row r="996" spans="1:1">
      <c r="A996" s="13" t="s">
        <v>1200</v>
      </c>
    </row>
    <row r="997" spans="1:1">
      <c r="A997" s="13" t="s">
        <v>1201</v>
      </c>
    </row>
    <row r="998" spans="1:1">
      <c r="A998" s="13" t="s">
        <v>1202</v>
      </c>
    </row>
    <row r="999" spans="1:1">
      <c r="A999" s="13" t="s">
        <v>1203</v>
      </c>
    </row>
    <row r="1000" spans="1:1">
      <c r="A1000" s="13" t="s">
        <v>1204</v>
      </c>
    </row>
    <row r="1001" spans="1:1">
      <c r="A1001" s="13" t="s">
        <v>1205</v>
      </c>
    </row>
    <row r="1002" spans="1:1">
      <c r="A1002" s="13" t="s">
        <v>1206</v>
      </c>
    </row>
    <row r="1003" spans="1:1">
      <c r="A1003" s="13" t="s">
        <v>1207</v>
      </c>
    </row>
    <row r="1004" spans="1:1">
      <c r="A1004" s="13" t="s">
        <v>1208</v>
      </c>
    </row>
    <row r="1005" spans="1:1">
      <c r="A1005" s="13" t="s">
        <v>1209</v>
      </c>
    </row>
    <row r="1006" spans="1:1">
      <c r="A1006" s="13" t="s">
        <v>1210</v>
      </c>
    </row>
    <row r="1007" spans="1:1">
      <c r="A1007" s="13" t="s">
        <v>1211</v>
      </c>
    </row>
    <row r="1008" spans="1:1">
      <c r="A1008" s="13" t="s">
        <v>1212</v>
      </c>
    </row>
    <row r="1009" spans="1:1">
      <c r="A1009" s="13" t="s">
        <v>1213</v>
      </c>
    </row>
    <row r="1010" spans="1:1">
      <c r="A1010" s="13" t="s">
        <v>1214</v>
      </c>
    </row>
    <row r="1011" spans="1:1">
      <c r="A1011" s="13" t="s">
        <v>1215</v>
      </c>
    </row>
    <row r="1012" spans="1:1">
      <c r="A1012" s="13" t="s">
        <v>1216</v>
      </c>
    </row>
    <row r="1013" spans="1:1">
      <c r="A1013" s="13" t="s">
        <v>1217</v>
      </c>
    </row>
    <row r="1014" spans="1:1">
      <c r="A1014" s="13" t="s">
        <v>1218</v>
      </c>
    </row>
    <row r="1015" spans="1:1">
      <c r="A1015" s="13" t="s">
        <v>1219</v>
      </c>
    </row>
    <row r="1016" spans="1:1">
      <c r="A1016" s="13" t="s">
        <v>1220</v>
      </c>
    </row>
    <row r="1017" spans="1:1">
      <c r="A1017" s="13" t="s">
        <v>1221</v>
      </c>
    </row>
    <row r="1018" spans="1:1">
      <c r="A1018" s="13" t="s">
        <v>1222</v>
      </c>
    </row>
    <row r="1019" spans="1:1">
      <c r="A1019" s="13" t="s">
        <v>1223</v>
      </c>
    </row>
    <row r="1020" spans="1:1">
      <c r="A1020" s="13" t="s">
        <v>1224</v>
      </c>
    </row>
    <row r="1021" spans="1:1">
      <c r="A1021" s="13" t="s">
        <v>1225</v>
      </c>
    </row>
    <row r="1022" spans="1:1">
      <c r="A1022" s="13" t="s">
        <v>1226</v>
      </c>
    </row>
    <row r="1023" spans="1:1">
      <c r="A1023" s="13" t="s">
        <v>1227</v>
      </c>
    </row>
    <row r="1024" spans="1:1">
      <c r="A1024" s="13" t="s">
        <v>1228</v>
      </c>
    </row>
    <row r="1025" spans="1:1">
      <c r="A1025" s="13" t="s">
        <v>1229</v>
      </c>
    </row>
    <row r="1026" spans="1:1">
      <c r="A1026" s="13" t="s">
        <v>1230</v>
      </c>
    </row>
    <row r="1027" spans="1:1">
      <c r="A1027" s="13" t="s">
        <v>1231</v>
      </c>
    </row>
    <row r="1028" spans="1:1">
      <c r="A1028" s="13" t="s">
        <v>1232</v>
      </c>
    </row>
    <row r="1029" spans="1:1">
      <c r="A1029" s="13" t="s">
        <v>1233</v>
      </c>
    </row>
    <row r="1030" spans="1:1">
      <c r="A1030" s="13" t="s">
        <v>1234</v>
      </c>
    </row>
    <row r="1031" spans="1:1">
      <c r="A1031" s="13" t="s">
        <v>1235</v>
      </c>
    </row>
    <row r="1032" spans="1:1">
      <c r="A1032" s="13" t="s">
        <v>335</v>
      </c>
    </row>
    <row r="1033" spans="1:1">
      <c r="A1033" s="13" t="s">
        <v>1236</v>
      </c>
    </row>
    <row r="1034" spans="1:1">
      <c r="A1034" s="13" t="s">
        <v>1237</v>
      </c>
    </row>
    <row r="1035" spans="1:1">
      <c r="A1035" s="13" t="s">
        <v>1238</v>
      </c>
    </row>
    <row r="1036" spans="1:1">
      <c r="A1036" s="13" t="s">
        <v>1239</v>
      </c>
    </row>
    <row r="1037" spans="1:1">
      <c r="A1037" s="13" t="s">
        <v>1240</v>
      </c>
    </row>
    <row r="1038" spans="1:1">
      <c r="A1038" s="13" t="s">
        <v>1241</v>
      </c>
    </row>
    <row r="1039" spans="1:1">
      <c r="A1039" s="13" t="s">
        <v>1242</v>
      </c>
    </row>
    <row r="1040" spans="1:1">
      <c r="A1040" s="13" t="s">
        <v>1243</v>
      </c>
    </row>
    <row r="1041" spans="1:1">
      <c r="A1041" s="13" t="s">
        <v>1244</v>
      </c>
    </row>
    <row r="1042" spans="1:1">
      <c r="A1042" s="13" t="s">
        <v>1245</v>
      </c>
    </row>
    <row r="1043" spans="1:1">
      <c r="A1043" s="13" t="s">
        <v>1246</v>
      </c>
    </row>
    <row r="1044" spans="1:1">
      <c r="A1044" s="13" t="s">
        <v>1247</v>
      </c>
    </row>
    <row r="1045" spans="1:1">
      <c r="A1045" s="13" t="s">
        <v>1248</v>
      </c>
    </row>
    <row r="1046" spans="1:1">
      <c r="A1046" s="13" t="s">
        <v>1249</v>
      </c>
    </row>
    <row r="1047" spans="1:1">
      <c r="A1047" s="13" t="s">
        <v>1250</v>
      </c>
    </row>
    <row r="1048" spans="1:1">
      <c r="A1048" s="13" t="s">
        <v>1251</v>
      </c>
    </row>
    <row r="1049" spans="1:1">
      <c r="A1049" s="13" t="s">
        <v>1252</v>
      </c>
    </row>
    <row r="1050" spans="1:1">
      <c r="A1050" s="13" t="s">
        <v>1253</v>
      </c>
    </row>
    <row r="1051" spans="1:1">
      <c r="A1051" s="13" t="s">
        <v>1254</v>
      </c>
    </row>
    <row r="1052" spans="1:1">
      <c r="A1052" s="13" t="s">
        <v>1255</v>
      </c>
    </row>
    <row r="1053" spans="1:1">
      <c r="A1053" s="13" t="s">
        <v>1256</v>
      </c>
    </row>
    <row r="1054" spans="1:1">
      <c r="A1054" s="13" t="s">
        <v>1257</v>
      </c>
    </row>
    <row r="1055" spans="1:1">
      <c r="A1055" s="13" t="s">
        <v>1258</v>
      </c>
    </row>
    <row r="1056" spans="1:1">
      <c r="A1056" s="13" t="s">
        <v>1259</v>
      </c>
    </row>
    <row r="1057" spans="1:1">
      <c r="A1057" s="13" t="s">
        <v>1260</v>
      </c>
    </row>
    <row r="1058" spans="1:1">
      <c r="A1058" s="13" t="s">
        <v>1261</v>
      </c>
    </row>
    <row r="1059" spans="1:1">
      <c r="A1059" s="13" t="s">
        <v>1262</v>
      </c>
    </row>
    <row r="1060" spans="1:1">
      <c r="A1060" s="13" t="s">
        <v>374</v>
      </c>
    </row>
    <row r="1061" spans="1:1">
      <c r="A1061" s="13" t="s">
        <v>1263</v>
      </c>
    </row>
    <row r="1062" spans="1:1">
      <c r="A1062" s="13" t="s">
        <v>1264</v>
      </c>
    </row>
    <row r="1063" spans="1:1">
      <c r="A1063" s="13" t="s">
        <v>1265</v>
      </c>
    </row>
    <row r="1064" spans="1:1">
      <c r="A1064" s="13" t="s">
        <v>1266</v>
      </c>
    </row>
    <row r="1065" spans="1:1">
      <c r="A1065" s="13" t="s">
        <v>1267</v>
      </c>
    </row>
    <row r="1066" spans="1:1">
      <c r="A1066" s="13" t="s">
        <v>1268</v>
      </c>
    </row>
    <row r="1067" spans="1:1">
      <c r="A1067" s="13" t="s">
        <v>1269</v>
      </c>
    </row>
    <row r="1068" spans="1:1">
      <c r="A1068" s="13" t="s">
        <v>1270</v>
      </c>
    </row>
    <row r="1069" spans="1:1">
      <c r="A1069" s="13" t="s">
        <v>1271</v>
      </c>
    </row>
    <row r="1070" spans="1:1">
      <c r="A1070" s="13" t="s">
        <v>1272</v>
      </c>
    </row>
    <row r="1071" spans="1:1">
      <c r="A1071" s="13" t="s">
        <v>1273</v>
      </c>
    </row>
    <row r="1072" spans="1:1">
      <c r="A1072" s="13" t="s">
        <v>1274</v>
      </c>
    </row>
    <row r="1073" spans="1:1">
      <c r="A1073" s="13" t="s">
        <v>1275</v>
      </c>
    </row>
    <row r="1074" spans="1:1">
      <c r="A1074" s="13" t="s">
        <v>1276</v>
      </c>
    </row>
    <row r="1075" spans="1:1">
      <c r="A1075" s="13" t="s">
        <v>1277</v>
      </c>
    </row>
    <row r="1076" spans="1:1">
      <c r="A1076" s="13" t="s">
        <v>1278</v>
      </c>
    </row>
    <row r="1077" spans="1:1">
      <c r="A1077" s="13" t="s">
        <v>1279</v>
      </c>
    </row>
    <row r="1078" spans="1:1">
      <c r="A1078" s="13" t="s">
        <v>1280</v>
      </c>
    </row>
    <row r="1079" spans="1:1">
      <c r="A1079" s="13" t="s">
        <v>1281</v>
      </c>
    </row>
    <row r="1080" spans="1:1">
      <c r="A1080" s="13" t="s">
        <v>328</v>
      </c>
    </row>
    <row r="1081" spans="1:1">
      <c r="A1081" s="13" t="s">
        <v>1282</v>
      </c>
    </row>
    <row r="1082" spans="1:1">
      <c r="A1082" s="13" t="s">
        <v>1283</v>
      </c>
    </row>
    <row r="1083" spans="1:1">
      <c r="A1083" s="13" t="s">
        <v>1284</v>
      </c>
    </row>
    <row r="1084" spans="1:1">
      <c r="A1084" s="13" t="s">
        <v>1285</v>
      </c>
    </row>
    <row r="1085" spans="1:1">
      <c r="A1085" s="13" t="s">
        <v>1286</v>
      </c>
    </row>
    <row r="1086" spans="1:1">
      <c r="A1086" s="13" t="s">
        <v>1287</v>
      </c>
    </row>
    <row r="1087" spans="1:1">
      <c r="A1087" s="13" t="s">
        <v>1288</v>
      </c>
    </row>
    <row r="1088" spans="1:1">
      <c r="A1088" s="13" t="s">
        <v>1289</v>
      </c>
    </row>
    <row r="1089" spans="1:1">
      <c r="A1089" s="13" t="s">
        <v>1290</v>
      </c>
    </row>
    <row r="1090" spans="1:1">
      <c r="A1090" s="13" t="s">
        <v>1291</v>
      </c>
    </row>
    <row r="1091" spans="1:1">
      <c r="A1091" s="13" t="s">
        <v>1292</v>
      </c>
    </row>
    <row r="1092" spans="1:1">
      <c r="A1092" s="13" t="s">
        <v>1293</v>
      </c>
    </row>
    <row r="1093" spans="1:1">
      <c r="A1093" s="13" t="s">
        <v>1294</v>
      </c>
    </row>
    <row r="1094" spans="1:1">
      <c r="A1094" s="13" t="s">
        <v>1295</v>
      </c>
    </row>
    <row r="1095" spans="1:1">
      <c r="A1095" s="13" t="s">
        <v>1296</v>
      </c>
    </row>
    <row r="1096" spans="1:1">
      <c r="A1096" s="13" t="s">
        <v>1297</v>
      </c>
    </row>
    <row r="1097" spans="1:1">
      <c r="A1097" s="13" t="s">
        <v>1298</v>
      </c>
    </row>
    <row r="1098" spans="1:1">
      <c r="A1098" s="13" t="s">
        <v>1299</v>
      </c>
    </row>
    <row r="1099" spans="1:1">
      <c r="A1099" s="13" t="s">
        <v>326</v>
      </c>
    </row>
    <row r="1100" spans="1:1">
      <c r="A1100" s="13" t="s">
        <v>1300</v>
      </c>
    </row>
    <row r="1101" spans="1:1">
      <c r="A1101" s="13" t="s">
        <v>351</v>
      </c>
    </row>
    <row r="1102" spans="1:1">
      <c r="A1102" s="13" t="s">
        <v>1301</v>
      </c>
    </row>
    <row r="1103" spans="1:1">
      <c r="A1103" s="13" t="s">
        <v>1302</v>
      </c>
    </row>
    <row r="1104" spans="1:1">
      <c r="A1104" s="13" t="s">
        <v>1303</v>
      </c>
    </row>
    <row r="1105" spans="1:1">
      <c r="A1105" s="13" t="s">
        <v>1304</v>
      </c>
    </row>
    <row r="1106" spans="1:1">
      <c r="A1106" s="13" t="s">
        <v>354</v>
      </c>
    </row>
    <row r="1107" spans="1:1">
      <c r="A1107" s="13" t="s">
        <v>1305</v>
      </c>
    </row>
    <row r="1108" spans="1:1">
      <c r="A1108" s="13" t="s">
        <v>1306</v>
      </c>
    </row>
    <row r="1109" spans="1:1">
      <c r="A1109" s="13" t="s">
        <v>1307</v>
      </c>
    </row>
    <row r="1110" spans="1:1">
      <c r="A1110" s="13" t="s">
        <v>1308</v>
      </c>
    </row>
    <row r="1111" spans="1:1">
      <c r="A1111" s="13" t="s">
        <v>1309</v>
      </c>
    </row>
    <row r="1112" spans="1:1">
      <c r="A1112" s="13" t="s">
        <v>1310</v>
      </c>
    </row>
    <row r="1113" spans="1:1">
      <c r="A1113" s="13" t="s">
        <v>1311</v>
      </c>
    </row>
    <row r="1114" spans="1:1">
      <c r="A1114" s="13" t="s">
        <v>1312</v>
      </c>
    </row>
    <row r="1115" spans="1:1">
      <c r="A1115" s="13" t="s">
        <v>1313</v>
      </c>
    </row>
    <row r="1116" spans="1:1">
      <c r="A1116" s="13" t="s">
        <v>1314</v>
      </c>
    </row>
    <row r="1117" spans="1:1">
      <c r="A1117" s="13" t="s">
        <v>1315</v>
      </c>
    </row>
    <row r="1118" spans="1:1">
      <c r="A1118" s="13" t="s">
        <v>1316</v>
      </c>
    </row>
    <row r="1119" spans="1:1">
      <c r="A1119" s="13" t="s">
        <v>1317</v>
      </c>
    </row>
    <row r="1120" spans="1:1">
      <c r="A1120" s="13" t="s">
        <v>1318</v>
      </c>
    </row>
    <row r="1121" spans="1:1">
      <c r="A1121" s="13" t="s">
        <v>1319</v>
      </c>
    </row>
    <row r="1122" spans="1:1">
      <c r="A1122" s="13" t="s">
        <v>1320</v>
      </c>
    </row>
    <row r="1123" spans="1:1">
      <c r="A1123" s="13" t="s">
        <v>1321</v>
      </c>
    </row>
    <row r="1124" spans="1:1">
      <c r="A1124" s="13" t="s">
        <v>1322</v>
      </c>
    </row>
    <row r="1125" spans="1:1">
      <c r="A1125" s="13" t="s">
        <v>1323</v>
      </c>
    </row>
    <row r="1126" spans="1:1">
      <c r="A1126" s="13" t="s">
        <v>1324</v>
      </c>
    </row>
    <row r="1127" spans="1:1">
      <c r="A1127" s="13" t="s">
        <v>1325</v>
      </c>
    </row>
    <row r="1128" spans="1:1">
      <c r="A1128" s="13" t="s">
        <v>1326</v>
      </c>
    </row>
    <row r="1129" spans="1:1">
      <c r="A1129" s="13" t="s">
        <v>1327</v>
      </c>
    </row>
    <row r="1130" spans="1:1">
      <c r="A1130" s="13" t="s">
        <v>1328</v>
      </c>
    </row>
    <row r="1131" spans="1:1">
      <c r="A1131" s="13" t="s">
        <v>1329</v>
      </c>
    </row>
    <row r="1132" spans="1:1">
      <c r="A1132" s="13" t="s">
        <v>1330</v>
      </c>
    </row>
    <row r="1133" spans="1:1">
      <c r="A1133" s="13" t="s">
        <v>1331</v>
      </c>
    </row>
    <row r="1134" spans="1:1">
      <c r="A1134" s="13" t="s">
        <v>1332</v>
      </c>
    </row>
    <row r="1135" spans="1:1">
      <c r="A1135" s="13" t="s">
        <v>1333</v>
      </c>
    </row>
    <row r="1136" spans="1:1">
      <c r="A1136" s="13" t="s">
        <v>1334</v>
      </c>
    </row>
    <row r="1137" spans="1:1">
      <c r="A1137" s="13" t="s">
        <v>1335</v>
      </c>
    </row>
    <row r="1138" spans="1:1">
      <c r="A1138" s="13" t="s">
        <v>1336</v>
      </c>
    </row>
    <row r="1139" spans="1:1">
      <c r="A1139" s="13" t="s">
        <v>1337</v>
      </c>
    </row>
    <row r="1140" spans="1:1">
      <c r="A1140" s="13" t="s">
        <v>1338</v>
      </c>
    </row>
    <row r="1141" spans="1:1">
      <c r="A1141" s="13" t="s">
        <v>1339</v>
      </c>
    </row>
    <row r="1142" spans="1:1">
      <c r="A1142" s="13" t="s">
        <v>1340</v>
      </c>
    </row>
    <row r="1143" spans="1:1">
      <c r="A1143" s="13" t="s">
        <v>1341</v>
      </c>
    </row>
    <row r="1144" spans="1:1">
      <c r="A1144" s="13" t="s">
        <v>1342</v>
      </c>
    </row>
    <row r="1145" spans="1:1">
      <c r="A1145" s="13" t="s">
        <v>1343</v>
      </c>
    </row>
    <row r="1146" spans="1:1">
      <c r="A1146" s="13" t="s">
        <v>1344</v>
      </c>
    </row>
    <row r="1147" spans="1:1">
      <c r="A1147" s="13" t="s">
        <v>1345</v>
      </c>
    </row>
    <row r="1148" spans="1:1">
      <c r="A1148" s="13" t="s">
        <v>1346</v>
      </c>
    </row>
    <row r="1149" spans="1:1">
      <c r="A1149" s="13" t="s">
        <v>1347</v>
      </c>
    </row>
    <row r="1150" spans="1:1">
      <c r="A1150" s="13" t="s">
        <v>1348</v>
      </c>
    </row>
    <row r="1151" spans="1:1">
      <c r="A1151" s="13" t="s">
        <v>1349</v>
      </c>
    </row>
    <row r="1152" spans="1:1">
      <c r="A1152" s="13" t="s">
        <v>1350</v>
      </c>
    </row>
    <row r="1153" spans="1:1">
      <c r="A1153" s="13" t="s">
        <v>1351</v>
      </c>
    </row>
    <row r="1154" spans="1:1">
      <c r="A1154" s="13" t="s">
        <v>1352</v>
      </c>
    </row>
    <row r="1155" spans="1:1">
      <c r="A1155" s="13" t="s">
        <v>1353</v>
      </c>
    </row>
    <row r="1156" spans="1:1">
      <c r="A1156" s="13" t="s">
        <v>1354</v>
      </c>
    </row>
    <row r="1157" spans="1:1">
      <c r="A1157" s="13" t="s">
        <v>1355</v>
      </c>
    </row>
    <row r="1158" spans="1:1">
      <c r="A1158" s="13" t="s">
        <v>1356</v>
      </c>
    </row>
    <row r="1159" spans="1:1">
      <c r="A1159" s="13" t="s">
        <v>1357</v>
      </c>
    </row>
    <row r="1160" spans="1:1">
      <c r="A1160" s="13" t="s">
        <v>1358</v>
      </c>
    </row>
    <row r="1161" spans="1:1">
      <c r="A1161" s="13" t="s">
        <v>1359</v>
      </c>
    </row>
    <row r="1162" spans="1:1">
      <c r="A1162" s="13" t="s">
        <v>1360</v>
      </c>
    </row>
    <row r="1163" spans="1:1">
      <c r="A1163" s="13" t="s">
        <v>1361</v>
      </c>
    </row>
    <row r="1164" spans="1:1">
      <c r="A1164" s="13" t="s">
        <v>1362</v>
      </c>
    </row>
    <row r="1165" spans="1:1">
      <c r="A1165" s="13" t="s">
        <v>1363</v>
      </c>
    </row>
    <row r="1166" spans="1:1">
      <c r="A1166" s="13" t="s">
        <v>1364</v>
      </c>
    </row>
    <row r="1167" spans="1:1">
      <c r="A1167" s="13" t="s">
        <v>1365</v>
      </c>
    </row>
    <row r="1168" spans="1:1">
      <c r="A1168" s="13" t="s">
        <v>1366</v>
      </c>
    </row>
    <row r="1169" spans="1:1">
      <c r="A1169" s="13" t="s">
        <v>1367</v>
      </c>
    </row>
    <row r="1170" spans="1:1">
      <c r="A1170" s="13" t="s">
        <v>1368</v>
      </c>
    </row>
    <row r="1171" spans="1:1">
      <c r="A1171" s="13" t="s">
        <v>1369</v>
      </c>
    </row>
    <row r="1172" spans="1:1">
      <c r="A1172" s="13" t="s">
        <v>1370</v>
      </c>
    </row>
    <row r="1173" spans="1:1">
      <c r="A1173" s="13" t="s">
        <v>1371</v>
      </c>
    </row>
    <row r="1174" spans="1:1">
      <c r="A1174" s="13" t="s">
        <v>1372</v>
      </c>
    </row>
    <row r="1175" spans="1:1">
      <c r="A1175" s="13" t="s">
        <v>1373</v>
      </c>
    </row>
    <row r="1176" spans="1:1">
      <c r="A1176" s="13" t="s">
        <v>1374</v>
      </c>
    </row>
    <row r="1177" spans="1:1">
      <c r="A1177" s="13" t="s">
        <v>1375</v>
      </c>
    </row>
    <row r="1178" spans="1:1">
      <c r="A1178" s="13" t="s">
        <v>1376</v>
      </c>
    </row>
    <row r="1179" spans="1:1">
      <c r="A1179" s="13" t="s">
        <v>1377</v>
      </c>
    </row>
    <row r="1180" spans="1:1">
      <c r="A1180" s="13" t="s">
        <v>1378</v>
      </c>
    </row>
    <row r="1181" spans="1:1">
      <c r="A1181" s="13" t="s">
        <v>1379</v>
      </c>
    </row>
    <row r="1182" spans="1:1">
      <c r="A1182" s="13" t="s">
        <v>1380</v>
      </c>
    </row>
    <row r="1183" spans="1:1">
      <c r="A1183" s="13" t="s">
        <v>1381</v>
      </c>
    </row>
    <row r="1184" spans="1:1">
      <c r="A1184" s="13" t="s">
        <v>1382</v>
      </c>
    </row>
    <row r="1185" spans="1:1">
      <c r="A1185" s="13" t="s">
        <v>1383</v>
      </c>
    </row>
    <row r="1186" spans="1:1">
      <c r="A1186" s="13" t="s">
        <v>1384</v>
      </c>
    </row>
    <row r="1187" spans="1:1">
      <c r="A1187" s="13" t="s">
        <v>1385</v>
      </c>
    </row>
    <row r="1188" spans="1:1">
      <c r="A1188" s="13" t="s">
        <v>1386</v>
      </c>
    </row>
    <row r="1189" spans="1:1">
      <c r="A1189" s="13" t="s">
        <v>1387</v>
      </c>
    </row>
    <row r="1190" spans="1:1">
      <c r="A1190" s="13" t="s">
        <v>1388</v>
      </c>
    </row>
    <row r="1191" spans="1:1">
      <c r="A1191" s="13" t="s">
        <v>383</v>
      </c>
    </row>
    <row r="1192" spans="1:1">
      <c r="A1192" s="13" t="s">
        <v>1389</v>
      </c>
    </row>
    <row r="1193" spans="1:1">
      <c r="A1193" s="13" t="s">
        <v>1390</v>
      </c>
    </row>
    <row r="1194" spans="1:1">
      <c r="A1194" s="13" t="s">
        <v>1391</v>
      </c>
    </row>
    <row r="1195" spans="1:1">
      <c r="A1195" s="13" t="s">
        <v>1392</v>
      </c>
    </row>
    <row r="1196" spans="1:1">
      <c r="A1196" s="13" t="s">
        <v>1393</v>
      </c>
    </row>
    <row r="1197" spans="1:1">
      <c r="A1197" s="13" t="s">
        <v>1394</v>
      </c>
    </row>
    <row r="1198" spans="1:1">
      <c r="A1198" s="13" t="s">
        <v>1395</v>
      </c>
    </row>
    <row r="1199" spans="1:1">
      <c r="A1199" s="13" t="s">
        <v>1396</v>
      </c>
    </row>
    <row r="1200" spans="1:1">
      <c r="A1200" s="13" t="s">
        <v>1397</v>
      </c>
    </row>
    <row r="1201" spans="1:1">
      <c r="A1201" s="13" t="s">
        <v>1398</v>
      </c>
    </row>
    <row r="1202" spans="1:1">
      <c r="A1202" s="13" t="s">
        <v>1399</v>
      </c>
    </row>
    <row r="1203" spans="1:1">
      <c r="A1203" s="13" t="s">
        <v>1400</v>
      </c>
    </row>
    <row r="1204" spans="1:1">
      <c r="A1204" s="13" t="s">
        <v>1401</v>
      </c>
    </row>
    <row r="1205" spans="1:1">
      <c r="A1205" s="13" t="s">
        <v>1402</v>
      </c>
    </row>
    <row r="1206" spans="1:1">
      <c r="A1206" s="13" t="s">
        <v>1403</v>
      </c>
    </row>
    <row r="1207" spans="1:1">
      <c r="A1207" s="13" t="s">
        <v>1404</v>
      </c>
    </row>
    <row r="1208" spans="1:1">
      <c r="A1208" s="13" t="s">
        <v>1405</v>
      </c>
    </row>
    <row r="1209" spans="1:1">
      <c r="A1209" s="13" t="s">
        <v>338</v>
      </c>
    </row>
    <row r="1210" spans="1:1">
      <c r="A1210" s="13" t="s">
        <v>1406</v>
      </c>
    </row>
    <row r="1211" spans="1:1">
      <c r="A1211" s="13" t="s">
        <v>1407</v>
      </c>
    </row>
    <row r="1212" spans="1:1">
      <c r="A1212" s="13" t="s">
        <v>1408</v>
      </c>
    </row>
    <row r="1213" spans="1:1">
      <c r="A1213" s="13" t="s">
        <v>1409</v>
      </c>
    </row>
    <row r="1214" spans="1:1">
      <c r="A1214" s="13" t="s">
        <v>1410</v>
      </c>
    </row>
    <row r="1215" spans="1:1">
      <c r="A1215" s="13" t="s">
        <v>1411</v>
      </c>
    </row>
    <row r="1216" spans="1:1">
      <c r="A1216" s="13" t="s">
        <v>1412</v>
      </c>
    </row>
    <row r="1217" spans="1:1">
      <c r="A1217" s="13" t="s">
        <v>1413</v>
      </c>
    </row>
    <row r="1218" spans="1:1">
      <c r="A1218" s="13" t="s">
        <v>1414</v>
      </c>
    </row>
    <row r="1219" spans="1:1">
      <c r="A1219" s="13" t="s">
        <v>1415</v>
      </c>
    </row>
    <row r="1220" spans="1:1">
      <c r="A1220" s="13" t="s">
        <v>1416</v>
      </c>
    </row>
    <row r="1221" spans="1:1">
      <c r="A1221" s="13" t="s">
        <v>1417</v>
      </c>
    </row>
    <row r="1222" spans="1:1">
      <c r="A1222" s="13" t="s">
        <v>1418</v>
      </c>
    </row>
    <row r="1223" spans="1:1">
      <c r="A1223" s="13" t="s">
        <v>1419</v>
      </c>
    </row>
    <row r="1224" spans="1:1">
      <c r="A1224" s="13" t="s">
        <v>1420</v>
      </c>
    </row>
    <row r="1225" spans="1:1">
      <c r="A1225" s="13" t="s">
        <v>1421</v>
      </c>
    </row>
    <row r="1226" spans="1:1">
      <c r="A1226" s="13" t="s">
        <v>1422</v>
      </c>
    </row>
    <row r="1227" spans="1:1">
      <c r="A1227" s="13" t="s">
        <v>1423</v>
      </c>
    </row>
    <row r="1228" spans="1:1">
      <c r="A1228" s="13" t="s">
        <v>1424</v>
      </c>
    </row>
    <row r="1229" spans="1:1">
      <c r="A1229" s="13" t="s">
        <v>1425</v>
      </c>
    </row>
    <row r="1230" spans="1:1">
      <c r="A1230" s="13" t="s">
        <v>1426</v>
      </c>
    </row>
    <row r="1231" spans="1:1">
      <c r="A1231" s="13" t="s">
        <v>1427</v>
      </c>
    </row>
    <row r="1232" spans="1:1">
      <c r="A1232" s="13" t="s">
        <v>1428</v>
      </c>
    </row>
    <row r="1233" spans="1:1">
      <c r="A1233" s="13" t="s">
        <v>1429</v>
      </c>
    </row>
    <row r="1234" spans="1:1">
      <c r="A1234" s="13" t="s">
        <v>1430</v>
      </c>
    </row>
    <row r="1235" spans="1:1">
      <c r="A1235" s="13" t="s">
        <v>1431</v>
      </c>
    </row>
    <row r="1236" spans="1:1">
      <c r="A1236" s="13" t="s">
        <v>1432</v>
      </c>
    </row>
    <row r="1237" spans="1:1">
      <c r="A1237" s="13" t="s">
        <v>1433</v>
      </c>
    </row>
    <row r="1238" spans="1:1">
      <c r="A1238" s="13" t="s">
        <v>1434</v>
      </c>
    </row>
    <row r="1239" spans="1:1">
      <c r="A1239" s="13" t="s">
        <v>1435</v>
      </c>
    </row>
    <row r="1240" spans="1:1">
      <c r="A1240" s="13" t="s">
        <v>1436</v>
      </c>
    </row>
    <row r="1241" spans="1:1">
      <c r="A1241" s="13" t="s">
        <v>1437</v>
      </c>
    </row>
    <row r="1242" spans="1:1">
      <c r="A1242" s="13" t="s">
        <v>1438</v>
      </c>
    </row>
    <row r="1243" spans="1:1">
      <c r="A1243" s="13" t="s">
        <v>1439</v>
      </c>
    </row>
    <row r="1244" spans="1:1">
      <c r="A1244" s="13" t="s">
        <v>1440</v>
      </c>
    </row>
    <row r="1245" spans="1:1">
      <c r="A1245" s="13" t="s">
        <v>1441</v>
      </c>
    </row>
    <row r="1246" spans="1:1">
      <c r="A1246" s="13" t="s">
        <v>1442</v>
      </c>
    </row>
    <row r="1247" spans="1:1">
      <c r="A1247" s="13" t="s">
        <v>1443</v>
      </c>
    </row>
    <row r="1248" spans="1:1">
      <c r="A1248" s="13" t="s">
        <v>1444</v>
      </c>
    </row>
    <row r="1249" spans="1:1">
      <c r="A1249" s="13" t="s">
        <v>1445</v>
      </c>
    </row>
    <row r="1250" spans="1:1">
      <c r="A1250" s="13" t="s">
        <v>1446</v>
      </c>
    </row>
    <row r="1251" spans="1:1">
      <c r="A1251" s="13" t="s">
        <v>1447</v>
      </c>
    </row>
    <row r="1252" spans="1:1">
      <c r="A1252" s="13" t="s">
        <v>1448</v>
      </c>
    </row>
    <row r="1253" spans="1:1">
      <c r="A1253" s="13" t="s">
        <v>1449</v>
      </c>
    </row>
    <row r="1254" spans="1:1">
      <c r="A1254" s="13" t="s">
        <v>1450</v>
      </c>
    </row>
    <row r="1255" spans="1:1">
      <c r="A1255" s="13" t="s">
        <v>1451</v>
      </c>
    </row>
    <row r="1256" spans="1:1">
      <c r="A1256" s="13" t="s">
        <v>1452</v>
      </c>
    </row>
    <row r="1257" spans="1:1">
      <c r="A1257" s="13" t="s">
        <v>1453</v>
      </c>
    </row>
    <row r="1258" spans="1:1">
      <c r="A1258" s="13" t="s">
        <v>1454</v>
      </c>
    </row>
    <row r="1259" spans="1:1">
      <c r="A1259" s="13" t="s">
        <v>1455</v>
      </c>
    </row>
    <row r="1260" spans="1:1">
      <c r="A1260" s="13" t="s">
        <v>1456</v>
      </c>
    </row>
    <row r="1261" spans="1:1">
      <c r="A1261" s="13" t="s">
        <v>1457</v>
      </c>
    </row>
    <row r="1262" spans="1:1">
      <c r="A1262" s="13" t="s">
        <v>336</v>
      </c>
    </row>
    <row r="1263" spans="1:1">
      <c r="A1263" s="13" t="s">
        <v>1458</v>
      </c>
    </row>
    <row r="1264" spans="1:1">
      <c r="A1264" s="13" t="s">
        <v>1459</v>
      </c>
    </row>
    <row r="1265" spans="1:1">
      <c r="A1265" s="13" t="s">
        <v>1460</v>
      </c>
    </row>
    <row r="1266" spans="1:1">
      <c r="A1266" s="13" t="s">
        <v>1461</v>
      </c>
    </row>
    <row r="1267" spans="1:1">
      <c r="A1267" s="13" t="s">
        <v>1462</v>
      </c>
    </row>
    <row r="1268" spans="1:1">
      <c r="A1268" s="13" t="s">
        <v>1463</v>
      </c>
    </row>
    <row r="1269" spans="1:1">
      <c r="A1269" s="13" t="s">
        <v>1464</v>
      </c>
    </row>
    <row r="1270" spans="1:1">
      <c r="A1270" s="13" t="s">
        <v>1465</v>
      </c>
    </row>
    <row r="1271" spans="1:1">
      <c r="A1271" s="13" t="s">
        <v>1466</v>
      </c>
    </row>
    <row r="1272" spans="1:1">
      <c r="A1272" s="13" t="s">
        <v>1467</v>
      </c>
    </row>
    <row r="1273" spans="1:1">
      <c r="A1273" s="13" t="s">
        <v>1468</v>
      </c>
    </row>
    <row r="1274" spans="1:1">
      <c r="A1274" s="13" t="s">
        <v>1469</v>
      </c>
    </row>
    <row r="1275" spans="1:1">
      <c r="A1275" s="13" t="s">
        <v>1470</v>
      </c>
    </row>
    <row r="1276" spans="1:1">
      <c r="A1276" s="13" t="s">
        <v>1471</v>
      </c>
    </row>
    <row r="1277" spans="1:1">
      <c r="A1277" s="13" t="s">
        <v>379</v>
      </c>
    </row>
    <row r="1278" spans="1:1">
      <c r="A1278" s="13" t="s">
        <v>1472</v>
      </c>
    </row>
    <row r="1279" spans="1:1">
      <c r="A1279" s="13" t="s">
        <v>1473</v>
      </c>
    </row>
    <row r="1280" spans="1:1">
      <c r="A1280" s="13" t="s">
        <v>1474</v>
      </c>
    </row>
    <row r="1281" spans="1:1">
      <c r="A1281" s="13" t="s">
        <v>1475</v>
      </c>
    </row>
    <row r="1282" spans="1:1">
      <c r="A1282" s="13" t="s">
        <v>1476</v>
      </c>
    </row>
    <row r="1283" spans="1:1">
      <c r="A1283" s="13" t="s">
        <v>1477</v>
      </c>
    </row>
    <row r="1284" spans="1:1">
      <c r="A1284" s="13" t="s">
        <v>1478</v>
      </c>
    </row>
    <row r="1285" spans="1:1">
      <c r="A1285" s="13" t="s">
        <v>1479</v>
      </c>
    </row>
    <row r="1286" spans="1:1">
      <c r="A1286" s="13" t="s">
        <v>1480</v>
      </c>
    </row>
    <row r="1287" spans="1:1">
      <c r="A1287" s="13" t="s">
        <v>1481</v>
      </c>
    </row>
    <row r="1288" spans="1:1">
      <c r="A1288" s="13" t="s">
        <v>1482</v>
      </c>
    </row>
    <row r="1289" spans="1:1">
      <c r="A1289" s="13" t="s">
        <v>1483</v>
      </c>
    </row>
    <row r="1290" spans="1:1">
      <c r="A1290" s="13" t="s">
        <v>1484</v>
      </c>
    </row>
    <row r="1291" spans="1:1">
      <c r="A1291" s="13" t="s">
        <v>1485</v>
      </c>
    </row>
    <row r="1292" spans="1:1">
      <c r="A1292" s="13" t="s">
        <v>1486</v>
      </c>
    </row>
    <row r="1293" spans="1:1">
      <c r="A1293" s="13" t="s">
        <v>1487</v>
      </c>
    </row>
    <row r="1294" spans="1:1">
      <c r="A1294" s="13" t="s">
        <v>1488</v>
      </c>
    </row>
    <row r="1295" spans="1:1">
      <c r="A1295" s="13" t="s">
        <v>1489</v>
      </c>
    </row>
    <row r="1296" spans="1:1">
      <c r="A1296" s="13" t="s">
        <v>1490</v>
      </c>
    </row>
    <row r="1297" spans="1:1">
      <c r="A1297" s="13" t="s">
        <v>1491</v>
      </c>
    </row>
    <row r="1298" spans="1:1">
      <c r="A1298" s="13" t="s">
        <v>1492</v>
      </c>
    </row>
    <row r="1299" spans="1:1">
      <c r="A1299" s="13" t="s">
        <v>1493</v>
      </c>
    </row>
    <row r="1300" spans="1:1">
      <c r="A1300" s="13" t="s">
        <v>1494</v>
      </c>
    </row>
    <row r="1301" spans="1:1">
      <c r="A1301" s="13" t="s">
        <v>1495</v>
      </c>
    </row>
    <row r="1302" spans="1:1">
      <c r="A1302" s="13" t="s">
        <v>1496</v>
      </c>
    </row>
    <row r="1303" spans="1:1">
      <c r="A1303" s="13" t="s">
        <v>1497</v>
      </c>
    </row>
    <row r="1304" spans="1:1">
      <c r="A1304" s="13" t="s">
        <v>1498</v>
      </c>
    </row>
    <row r="1305" spans="1:1">
      <c r="A1305" s="13" t="s">
        <v>1499</v>
      </c>
    </row>
    <row r="1306" spans="1:1">
      <c r="A1306" s="13" t="s">
        <v>1500</v>
      </c>
    </row>
    <row r="1307" spans="1:1">
      <c r="A1307" s="13" t="s">
        <v>1501</v>
      </c>
    </row>
    <row r="1308" spans="1:1">
      <c r="A1308" s="13" t="s">
        <v>1502</v>
      </c>
    </row>
    <row r="1309" spans="1:1">
      <c r="A1309" s="13" t="s">
        <v>1503</v>
      </c>
    </row>
    <row r="1310" spans="1:1">
      <c r="A1310" s="13" t="s">
        <v>1504</v>
      </c>
    </row>
    <row r="1311" spans="1:1">
      <c r="A1311" s="13" t="s">
        <v>1505</v>
      </c>
    </row>
    <row r="1312" spans="1:1">
      <c r="A1312" s="13" t="s">
        <v>1506</v>
      </c>
    </row>
    <row r="1313" spans="1:1">
      <c r="A1313" s="13" t="s">
        <v>1507</v>
      </c>
    </row>
    <row r="1314" spans="1:1">
      <c r="A1314" s="13" t="s">
        <v>1508</v>
      </c>
    </row>
    <row r="1315" spans="1:1">
      <c r="A1315" s="13" t="s">
        <v>1509</v>
      </c>
    </row>
    <row r="1316" spans="1:1">
      <c r="A1316" s="13" t="s">
        <v>1510</v>
      </c>
    </row>
    <row r="1317" spans="1:1">
      <c r="A1317" s="13" t="s">
        <v>1511</v>
      </c>
    </row>
    <row r="1318" spans="1:1">
      <c r="A1318" s="13" t="s">
        <v>1512</v>
      </c>
    </row>
    <row r="1319" spans="1:1">
      <c r="A1319" s="13" t="s">
        <v>1513</v>
      </c>
    </row>
    <row r="1320" spans="1:1">
      <c r="A1320" s="13" t="s">
        <v>1514</v>
      </c>
    </row>
    <row r="1321" spans="1:1">
      <c r="A1321" s="13" t="s">
        <v>1515</v>
      </c>
    </row>
    <row r="1322" spans="1:1">
      <c r="A1322" s="13" t="s">
        <v>1516</v>
      </c>
    </row>
    <row r="1323" spans="1:1">
      <c r="A1323" s="13" t="s">
        <v>1517</v>
      </c>
    </row>
    <row r="1324" spans="1:1">
      <c r="A1324" s="13" t="s">
        <v>1518</v>
      </c>
    </row>
    <row r="1325" spans="1:1">
      <c r="A1325" s="13" t="s">
        <v>1519</v>
      </c>
    </row>
    <row r="1326" spans="1:1">
      <c r="A1326" s="13" t="s">
        <v>1520</v>
      </c>
    </row>
    <row r="1327" spans="1:1">
      <c r="A1327" s="13" t="s">
        <v>1521</v>
      </c>
    </row>
    <row r="1328" spans="1:1">
      <c r="A1328" s="13" t="s">
        <v>1522</v>
      </c>
    </row>
    <row r="1329" spans="1:1">
      <c r="A1329" s="13" t="s">
        <v>1523</v>
      </c>
    </row>
    <row r="1330" spans="1:1">
      <c r="A1330" s="13" t="s">
        <v>1524</v>
      </c>
    </row>
    <row r="1331" spans="1:1">
      <c r="A1331" s="13" t="s">
        <v>1525</v>
      </c>
    </row>
    <row r="1332" spans="1:1">
      <c r="A1332" s="13" t="s">
        <v>1526</v>
      </c>
    </row>
    <row r="1333" spans="1:1">
      <c r="A1333" s="13" t="s">
        <v>1527</v>
      </c>
    </row>
    <row r="1334" spans="1:1">
      <c r="A1334" s="13" t="s">
        <v>1528</v>
      </c>
    </row>
    <row r="1335" spans="1:1">
      <c r="A1335" s="13" t="s">
        <v>1529</v>
      </c>
    </row>
    <row r="1336" spans="1:1">
      <c r="A1336" s="13" t="s">
        <v>1530</v>
      </c>
    </row>
    <row r="1337" spans="1:1">
      <c r="A1337" s="13" t="s">
        <v>1531</v>
      </c>
    </row>
    <row r="1338" spans="1:1">
      <c r="A1338" s="13" t="s">
        <v>1532</v>
      </c>
    </row>
    <row r="1339" spans="1:1">
      <c r="A1339" s="13" t="s">
        <v>384</v>
      </c>
    </row>
    <row r="1340" spans="1:1">
      <c r="A1340" s="13" t="s">
        <v>1533</v>
      </c>
    </row>
    <row r="1341" spans="1:1">
      <c r="A1341" s="13" t="s">
        <v>1534</v>
      </c>
    </row>
    <row r="1342" spans="1:1">
      <c r="A1342" s="13" t="s">
        <v>1535</v>
      </c>
    </row>
    <row r="1343" spans="1:1">
      <c r="A1343" s="13" t="s">
        <v>1536</v>
      </c>
    </row>
    <row r="1344" spans="1:1">
      <c r="A1344" s="13" t="s">
        <v>1537</v>
      </c>
    </row>
    <row r="1345" spans="1:1">
      <c r="A1345" s="13" t="s">
        <v>1538</v>
      </c>
    </row>
    <row r="1346" spans="1:1">
      <c r="A1346" s="13" t="s">
        <v>1539</v>
      </c>
    </row>
    <row r="1347" spans="1:1">
      <c r="A1347" s="13" t="s">
        <v>1540</v>
      </c>
    </row>
    <row r="1348" spans="1:1">
      <c r="A1348" s="13" t="s">
        <v>1541</v>
      </c>
    </row>
    <row r="1349" spans="1:1">
      <c r="A1349" s="13" t="s">
        <v>1542</v>
      </c>
    </row>
    <row r="1350" spans="1:1">
      <c r="A1350" s="13" t="s">
        <v>1543</v>
      </c>
    </row>
    <row r="1351" spans="1:1">
      <c r="A1351" s="13" t="s">
        <v>1544</v>
      </c>
    </row>
    <row r="1352" spans="1:1">
      <c r="A1352" s="13" t="s">
        <v>1545</v>
      </c>
    </row>
    <row r="1353" spans="1:1">
      <c r="A1353" s="13" t="s">
        <v>1546</v>
      </c>
    </row>
    <row r="1354" spans="1:1">
      <c r="A1354" s="13" t="s">
        <v>1547</v>
      </c>
    </row>
    <row r="1355" spans="1:1">
      <c r="A1355" s="13" t="s">
        <v>1548</v>
      </c>
    </row>
    <row r="1356" spans="1:1">
      <c r="A1356" s="13" t="s">
        <v>1549</v>
      </c>
    </row>
    <row r="1357" spans="1:1">
      <c r="A1357" s="13" t="s">
        <v>1550</v>
      </c>
    </row>
    <row r="1358" spans="1:1">
      <c r="A1358" s="13" t="s">
        <v>1551</v>
      </c>
    </row>
    <row r="1359" spans="1:1">
      <c r="A1359" s="13" t="s">
        <v>1552</v>
      </c>
    </row>
    <row r="1360" spans="1:1">
      <c r="A1360" s="13" t="s">
        <v>1553</v>
      </c>
    </row>
    <row r="1361" spans="1:1">
      <c r="A1361" s="13" t="s">
        <v>1554</v>
      </c>
    </row>
    <row r="1362" spans="1:1">
      <c r="A1362" s="13" t="s">
        <v>1555</v>
      </c>
    </row>
    <row r="1363" spans="1:1">
      <c r="A1363" s="13" t="s">
        <v>1556</v>
      </c>
    </row>
    <row r="1364" spans="1:1">
      <c r="A1364" s="13" t="s">
        <v>1557</v>
      </c>
    </row>
    <row r="1365" spans="1:1">
      <c r="A1365" s="13" t="s">
        <v>1558</v>
      </c>
    </row>
    <row r="1366" spans="1:1">
      <c r="A1366" s="13" t="s">
        <v>1559</v>
      </c>
    </row>
    <row r="1367" spans="1:1">
      <c r="A1367" s="13" t="s">
        <v>1560</v>
      </c>
    </row>
    <row r="1368" spans="1:1">
      <c r="A1368" s="13" t="s">
        <v>1561</v>
      </c>
    </row>
    <row r="1369" spans="1:1">
      <c r="A1369" s="13" t="s">
        <v>1562</v>
      </c>
    </row>
    <row r="1370" spans="1:1">
      <c r="A1370" s="13" t="s">
        <v>1563</v>
      </c>
    </row>
    <row r="1371" spans="1:1">
      <c r="A1371" s="13" t="s">
        <v>1564</v>
      </c>
    </row>
    <row r="1372" spans="1:1">
      <c r="A1372" s="13" t="s">
        <v>1565</v>
      </c>
    </row>
    <row r="1373" spans="1:1">
      <c r="A1373" s="13" t="s">
        <v>1566</v>
      </c>
    </row>
    <row r="1374" spans="1:1">
      <c r="A1374" s="13" t="s">
        <v>1567</v>
      </c>
    </row>
    <row r="1375" spans="1:1">
      <c r="A1375" s="13" t="s">
        <v>1568</v>
      </c>
    </row>
    <row r="1376" spans="1:1">
      <c r="A1376" s="13" t="s">
        <v>1569</v>
      </c>
    </row>
    <row r="1377" spans="1:1">
      <c r="A1377" s="13" t="s">
        <v>1570</v>
      </c>
    </row>
    <row r="1378" spans="1:1">
      <c r="A1378" s="13" t="s">
        <v>1571</v>
      </c>
    </row>
    <row r="1379" spans="1:1">
      <c r="A1379" s="13" t="s">
        <v>1572</v>
      </c>
    </row>
    <row r="1380" spans="1:1">
      <c r="A1380" s="13" t="s">
        <v>1573</v>
      </c>
    </row>
    <row r="1381" spans="1:1">
      <c r="A1381" s="13" t="s">
        <v>1574</v>
      </c>
    </row>
    <row r="1382" spans="1:1">
      <c r="A1382" s="13" t="s">
        <v>1575</v>
      </c>
    </row>
    <row r="1383" spans="1:1">
      <c r="A1383" s="13" t="s">
        <v>1576</v>
      </c>
    </row>
    <row r="1384" spans="1:1">
      <c r="A1384" s="13" t="s">
        <v>1577</v>
      </c>
    </row>
    <row r="1385" spans="1:1">
      <c r="A1385" s="13" t="s">
        <v>1578</v>
      </c>
    </row>
    <row r="1386" spans="1:1">
      <c r="A1386" s="13" t="s">
        <v>1579</v>
      </c>
    </row>
    <row r="1387" spans="1:1">
      <c r="A1387" s="13" t="s">
        <v>1580</v>
      </c>
    </row>
    <row r="1388" spans="1:1">
      <c r="A1388" s="13" t="s">
        <v>1581</v>
      </c>
    </row>
    <row r="1389" spans="1:1">
      <c r="A1389" s="13" t="s">
        <v>1582</v>
      </c>
    </row>
    <row r="1390" spans="1:1">
      <c r="A1390" s="13" t="s">
        <v>1583</v>
      </c>
    </row>
    <row r="1391" spans="1:1">
      <c r="A1391" s="13" t="s">
        <v>1584</v>
      </c>
    </row>
    <row r="1392" spans="1:1">
      <c r="A1392" s="13" t="s">
        <v>1585</v>
      </c>
    </row>
    <row r="1393" spans="1:1">
      <c r="A1393" s="13" t="s">
        <v>1586</v>
      </c>
    </row>
    <row r="1394" spans="1:1">
      <c r="A1394" s="13" t="s">
        <v>1587</v>
      </c>
    </row>
    <row r="1395" spans="1:1">
      <c r="A1395" s="13" t="s">
        <v>1588</v>
      </c>
    </row>
    <row r="1396" spans="1:1">
      <c r="A1396" s="13" t="s">
        <v>1589</v>
      </c>
    </row>
    <row r="1397" spans="1:1">
      <c r="A1397" s="13" t="s">
        <v>1590</v>
      </c>
    </row>
    <row r="1398" spans="1:1">
      <c r="A1398" s="13" t="s">
        <v>1591</v>
      </c>
    </row>
    <row r="1399" spans="1:1">
      <c r="A1399" s="13" t="s">
        <v>1592</v>
      </c>
    </row>
    <row r="1400" spans="1:1">
      <c r="A1400" s="13" t="s">
        <v>1593</v>
      </c>
    </row>
    <row r="1401" spans="1:1">
      <c r="A1401" s="13" t="s">
        <v>1594</v>
      </c>
    </row>
    <row r="1402" spans="1:1">
      <c r="A1402" s="13" t="s">
        <v>1595</v>
      </c>
    </row>
    <row r="1403" spans="1:1">
      <c r="A1403" s="13" t="s">
        <v>1596</v>
      </c>
    </row>
    <row r="1404" spans="1:1">
      <c r="A1404" s="13" t="s">
        <v>1597</v>
      </c>
    </row>
    <row r="1405" spans="1:1">
      <c r="A1405" s="13" t="s">
        <v>1598</v>
      </c>
    </row>
    <row r="1406" spans="1:1">
      <c r="A1406" s="13" t="s">
        <v>1599</v>
      </c>
    </row>
    <row r="1407" spans="1:1">
      <c r="A1407" s="13" t="s">
        <v>1600</v>
      </c>
    </row>
    <row r="1408" spans="1:1">
      <c r="A1408" s="13" t="s">
        <v>1601</v>
      </c>
    </row>
    <row r="1409" spans="1:1">
      <c r="A1409" s="13" t="s">
        <v>1602</v>
      </c>
    </row>
    <row r="1410" spans="1:1">
      <c r="A1410" s="13" t="s">
        <v>1603</v>
      </c>
    </row>
    <row r="1411" spans="1:1">
      <c r="A1411" s="13" t="s">
        <v>1604</v>
      </c>
    </row>
    <row r="1412" spans="1:1">
      <c r="A1412" s="13" t="s">
        <v>1605</v>
      </c>
    </row>
    <row r="1413" spans="1:1">
      <c r="A1413" s="13" t="s">
        <v>1606</v>
      </c>
    </row>
    <row r="1414" spans="1:1">
      <c r="A1414" s="13" t="s">
        <v>1607</v>
      </c>
    </row>
    <row r="1415" spans="1:1">
      <c r="A1415" s="13" t="s">
        <v>1608</v>
      </c>
    </row>
    <row r="1416" spans="1:1">
      <c r="A1416" s="13" t="s">
        <v>347</v>
      </c>
    </row>
    <row r="1417" spans="1:1">
      <c r="A1417" s="13" t="s">
        <v>1609</v>
      </c>
    </row>
    <row r="1418" spans="1:1">
      <c r="A1418" s="13" t="s">
        <v>1610</v>
      </c>
    </row>
    <row r="1419" spans="1:1">
      <c r="A1419" s="13" t="s">
        <v>1611</v>
      </c>
    </row>
    <row r="1420" spans="1:1">
      <c r="A1420" s="13" t="s">
        <v>1612</v>
      </c>
    </row>
    <row r="1421" spans="1:1">
      <c r="A1421" s="13" t="s">
        <v>1613</v>
      </c>
    </row>
    <row r="1422" spans="1:1">
      <c r="A1422" s="13" t="s">
        <v>1614</v>
      </c>
    </row>
    <row r="1423" spans="1:1">
      <c r="A1423" s="13" t="s">
        <v>1615</v>
      </c>
    </row>
    <row r="1424" spans="1:1">
      <c r="A1424" s="13" t="s">
        <v>1616</v>
      </c>
    </row>
    <row r="1425" spans="1:1">
      <c r="A1425" s="13" t="s">
        <v>1617</v>
      </c>
    </row>
    <row r="1426" spans="1:1">
      <c r="A1426" s="13" t="s">
        <v>1618</v>
      </c>
    </row>
    <row r="1427" spans="1:1">
      <c r="A1427" s="13" t="s">
        <v>1619</v>
      </c>
    </row>
    <row r="1428" spans="1:1">
      <c r="A1428" s="13" t="s">
        <v>1620</v>
      </c>
    </row>
    <row r="1429" spans="1:1">
      <c r="A1429" s="13" t="s">
        <v>1621</v>
      </c>
    </row>
    <row r="1430" spans="1:1">
      <c r="A1430" s="13" t="s">
        <v>360</v>
      </c>
    </row>
    <row r="1431" spans="1:1">
      <c r="A1431" s="13" t="s">
        <v>1622</v>
      </c>
    </row>
    <row r="1432" spans="1:1">
      <c r="A1432" s="13" t="s">
        <v>1623</v>
      </c>
    </row>
    <row r="1433" spans="1:1">
      <c r="A1433" s="13" t="s">
        <v>1624</v>
      </c>
    </row>
    <row r="1434" spans="1:1">
      <c r="A1434" s="13" t="s">
        <v>1625</v>
      </c>
    </row>
    <row r="1435" spans="1:1">
      <c r="A1435" s="13" t="s">
        <v>329</v>
      </c>
    </row>
    <row r="1436" spans="1:1">
      <c r="A1436" s="13" t="s">
        <v>1626</v>
      </c>
    </row>
    <row r="1437" spans="1:1">
      <c r="A1437" s="13" t="s">
        <v>1627</v>
      </c>
    </row>
    <row r="1438" spans="1:1">
      <c r="A1438" s="13" t="s">
        <v>1628</v>
      </c>
    </row>
    <row r="1439" spans="1:1">
      <c r="A1439" s="13" t="s">
        <v>1629</v>
      </c>
    </row>
    <row r="1440" spans="1:1">
      <c r="A1440" s="13" t="s">
        <v>1630</v>
      </c>
    </row>
    <row r="1441" spans="1:1">
      <c r="A1441" s="13" t="s">
        <v>1631</v>
      </c>
    </row>
    <row r="1442" spans="1:1">
      <c r="A1442" s="13" t="s">
        <v>1632</v>
      </c>
    </row>
    <row r="1443" spans="1:1">
      <c r="A1443" s="13" t="s">
        <v>1633</v>
      </c>
    </row>
    <row r="1444" spans="1:1">
      <c r="A1444" s="13" t="s">
        <v>1634</v>
      </c>
    </row>
    <row r="1445" spans="1:1">
      <c r="A1445" s="13" t="s">
        <v>1635</v>
      </c>
    </row>
    <row r="1446" spans="1:1">
      <c r="A1446" s="13" t="s">
        <v>1636</v>
      </c>
    </row>
    <row r="1447" spans="1:1">
      <c r="A1447" s="13" t="s">
        <v>1637</v>
      </c>
    </row>
    <row r="1448" spans="1:1">
      <c r="A1448" s="13" t="s">
        <v>322</v>
      </c>
    </row>
    <row r="1449" spans="1:1">
      <c r="A1449" s="13" t="s">
        <v>1638</v>
      </c>
    </row>
    <row r="1450" spans="1:1">
      <c r="A1450" s="13" t="s">
        <v>1639</v>
      </c>
    </row>
    <row r="1451" spans="1:1">
      <c r="A1451" s="13" t="s">
        <v>1640</v>
      </c>
    </row>
    <row r="1452" spans="1:1">
      <c r="A1452" s="13" t="s">
        <v>1641</v>
      </c>
    </row>
    <row r="1453" spans="1:1">
      <c r="A1453" s="13" t="s">
        <v>1642</v>
      </c>
    </row>
    <row r="1454" spans="1:1">
      <c r="A1454" s="13" t="s">
        <v>1643</v>
      </c>
    </row>
    <row r="1455" spans="1:1">
      <c r="A1455" s="13" t="s">
        <v>1644</v>
      </c>
    </row>
    <row r="1456" spans="1:1">
      <c r="A1456" s="13" t="s">
        <v>1645</v>
      </c>
    </row>
    <row r="1457" spans="1:1">
      <c r="A1457" s="13" t="s">
        <v>1646</v>
      </c>
    </row>
    <row r="1458" spans="1:1">
      <c r="A1458" s="13" t="s">
        <v>1647</v>
      </c>
    </row>
    <row r="1459" spans="1:1">
      <c r="A1459" s="13" t="s">
        <v>1648</v>
      </c>
    </row>
    <row r="1460" spans="1:1">
      <c r="A1460" s="13" t="s">
        <v>1649</v>
      </c>
    </row>
    <row r="1461" spans="1:1">
      <c r="A1461" s="13" t="s">
        <v>1650</v>
      </c>
    </row>
    <row r="1462" spans="1:1">
      <c r="A1462" s="13" t="s">
        <v>1651</v>
      </c>
    </row>
    <row r="1463" spans="1:1">
      <c r="A1463" s="13" t="s">
        <v>1652</v>
      </c>
    </row>
    <row r="1464" spans="1:1">
      <c r="A1464" s="13" t="s">
        <v>1653</v>
      </c>
    </row>
    <row r="1465" spans="1:1">
      <c r="A1465" s="13" t="s">
        <v>1654</v>
      </c>
    </row>
    <row r="1466" spans="1:1">
      <c r="A1466" s="13" t="s">
        <v>526</v>
      </c>
    </row>
    <row r="1467" spans="1:1">
      <c r="A1467" s="13" t="s">
        <v>1655</v>
      </c>
    </row>
    <row r="1468" spans="1:1">
      <c r="A1468" s="13" t="s">
        <v>1656</v>
      </c>
    </row>
    <row r="1469" spans="1:1">
      <c r="A1469" s="13" t="s">
        <v>526</v>
      </c>
    </row>
    <row r="1470" spans="1:1">
      <c r="A1470" s="13" t="s">
        <v>1657</v>
      </c>
    </row>
    <row r="1471" spans="1:1">
      <c r="A1471" s="13" t="s">
        <v>1658</v>
      </c>
    </row>
    <row r="1472" spans="1:1">
      <c r="A1472" s="13" t="s">
        <v>1659</v>
      </c>
    </row>
    <row r="1473" spans="1:1">
      <c r="A1473" s="13" t="s">
        <v>1660</v>
      </c>
    </row>
    <row r="1474" spans="1:1">
      <c r="A1474" s="13" t="s">
        <v>1661</v>
      </c>
    </row>
    <row r="1475" spans="1:1">
      <c r="A1475" s="13" t="s">
        <v>1662</v>
      </c>
    </row>
    <row r="1476" spans="1:1">
      <c r="A1476" s="13" t="s">
        <v>1663</v>
      </c>
    </row>
    <row r="1477" spans="1:1">
      <c r="A1477" s="13" t="s">
        <v>1664</v>
      </c>
    </row>
    <row r="1478" spans="1:1">
      <c r="A1478" s="13" t="s">
        <v>1665</v>
      </c>
    </row>
    <row r="1479" spans="1:1">
      <c r="A1479" s="13" t="s">
        <v>526</v>
      </c>
    </row>
    <row r="1480" spans="1:1">
      <c r="A1480" s="13" t="s">
        <v>1666</v>
      </c>
    </row>
    <row r="1481" spans="1:1">
      <c r="A1481" s="13" t="s">
        <v>1667</v>
      </c>
    </row>
    <row r="1482" spans="1:1">
      <c r="A1482" s="13" t="s">
        <v>1668</v>
      </c>
    </row>
    <row r="1483" spans="1:1">
      <c r="A1483" s="13" t="s">
        <v>1669</v>
      </c>
    </row>
    <row r="1484" spans="1:1">
      <c r="A1484" s="13" t="s">
        <v>1670</v>
      </c>
    </row>
    <row r="1485" spans="1:1">
      <c r="A1485" s="13" t="s">
        <v>1671</v>
      </c>
    </row>
    <row r="1486" spans="1:1">
      <c r="A1486" s="13" t="s">
        <v>526</v>
      </c>
    </row>
    <row r="1487" spans="1:1">
      <c r="A1487" s="13" t="s">
        <v>1672</v>
      </c>
    </row>
    <row r="1488" spans="1:1">
      <c r="A1488" s="13" t="s">
        <v>1673</v>
      </c>
    </row>
    <row r="1489" spans="1:1">
      <c r="A1489" s="13" t="s">
        <v>1674</v>
      </c>
    </row>
    <row r="1490" spans="1:1">
      <c r="A1490" s="13" t="s">
        <v>1675</v>
      </c>
    </row>
    <row r="1491" spans="1:1">
      <c r="A1491" s="13" t="s">
        <v>1676</v>
      </c>
    </row>
    <row r="1492" spans="1:1">
      <c r="A1492" s="13" t="s">
        <v>1677</v>
      </c>
    </row>
    <row r="1493" spans="1:1">
      <c r="A1493" s="13" t="s">
        <v>1678</v>
      </c>
    </row>
    <row r="1494" spans="1:1">
      <c r="A1494" s="13" t="s">
        <v>1679</v>
      </c>
    </row>
    <row r="1495" spans="1:1">
      <c r="A1495" s="13" t="s">
        <v>1680</v>
      </c>
    </row>
    <row r="1496" spans="1:1">
      <c r="A1496" s="13" t="s">
        <v>1681</v>
      </c>
    </row>
    <row r="1497" spans="1:1">
      <c r="A1497" s="13" t="s">
        <v>1682</v>
      </c>
    </row>
    <row r="1498" spans="1:1">
      <c r="A1498" s="13" t="s">
        <v>1683</v>
      </c>
    </row>
    <row r="1499" spans="1:1">
      <c r="A1499" s="13" t="s">
        <v>1684</v>
      </c>
    </row>
    <row r="1500" spans="1:1">
      <c r="A1500" s="13" t="s">
        <v>1685</v>
      </c>
    </row>
    <row r="1501" spans="1:1">
      <c r="A1501" s="13" t="s">
        <v>1686</v>
      </c>
    </row>
    <row r="1502" spans="1:1">
      <c r="A1502" s="13" t="s">
        <v>1687</v>
      </c>
    </row>
    <row r="1503" spans="1:1">
      <c r="A1503" s="13" t="s">
        <v>1688</v>
      </c>
    </row>
    <row r="1504" spans="1:1">
      <c r="A1504" s="13" t="s">
        <v>1689</v>
      </c>
    </row>
    <row r="1505" spans="1:1">
      <c r="A1505" s="13" t="s">
        <v>1690</v>
      </c>
    </row>
    <row r="1506" spans="1:1">
      <c r="A1506" s="13" t="s">
        <v>1691</v>
      </c>
    </row>
    <row r="1507" spans="1:1">
      <c r="A1507" s="13" t="s">
        <v>1692</v>
      </c>
    </row>
    <row r="1508" spans="1:1">
      <c r="A1508" s="13" t="s">
        <v>1693</v>
      </c>
    </row>
    <row r="1509" spans="1:1">
      <c r="A1509" s="13" t="s">
        <v>1694</v>
      </c>
    </row>
    <row r="1510" spans="1:1">
      <c r="A1510" s="13" t="s">
        <v>1695</v>
      </c>
    </row>
    <row r="1511" spans="1:1">
      <c r="A1511" s="13" t="s">
        <v>1696</v>
      </c>
    </row>
    <row r="1512" spans="1:1">
      <c r="A1512" s="13" t="s">
        <v>1697</v>
      </c>
    </row>
    <row r="1513" spans="1:1">
      <c r="A1513" s="13" t="s">
        <v>1698</v>
      </c>
    </row>
    <row r="1514" spans="1:1">
      <c r="A1514" s="13" t="s">
        <v>1699</v>
      </c>
    </row>
    <row r="1515" spans="1:1">
      <c r="A1515" s="13" t="s">
        <v>1700</v>
      </c>
    </row>
    <row r="1516" spans="1:1">
      <c r="A1516" s="13" t="s">
        <v>1701</v>
      </c>
    </row>
    <row r="1517" spans="1:1">
      <c r="A1517" s="13" t="s">
        <v>1702</v>
      </c>
    </row>
    <row r="1518" spans="1:1">
      <c r="A1518" s="13" t="s">
        <v>1703</v>
      </c>
    </row>
    <row r="1519" spans="1:1">
      <c r="A1519" s="13" t="s">
        <v>320</v>
      </c>
    </row>
    <row r="1520" spans="1:1">
      <c r="A1520" s="13" t="s">
        <v>1704</v>
      </c>
    </row>
    <row r="1521" spans="1:1">
      <c r="A1521" s="13" t="s">
        <v>1705</v>
      </c>
    </row>
    <row r="1522" spans="1:1">
      <c r="A1522" s="13" t="s">
        <v>1706</v>
      </c>
    </row>
    <row r="1523" spans="1:1">
      <c r="A1523" s="13" t="s">
        <v>1707</v>
      </c>
    </row>
    <row r="1524" spans="1:1">
      <c r="A1524" s="13" t="s">
        <v>1708</v>
      </c>
    </row>
    <row r="1525" spans="1:1">
      <c r="A1525" s="13" t="s">
        <v>1709</v>
      </c>
    </row>
    <row r="1526" spans="1:1">
      <c r="A1526" s="13" t="s">
        <v>1710</v>
      </c>
    </row>
    <row r="1527" spans="1:1">
      <c r="A1527" s="13" t="s">
        <v>1711</v>
      </c>
    </row>
    <row r="1528" spans="1:1">
      <c r="A1528" s="13" t="s">
        <v>1712</v>
      </c>
    </row>
    <row r="1529" spans="1:1">
      <c r="A1529" s="13" t="s">
        <v>1713</v>
      </c>
    </row>
    <row r="1530" spans="1:1">
      <c r="A1530" s="13" t="s">
        <v>1714</v>
      </c>
    </row>
    <row r="1531" spans="1:1">
      <c r="A1531" s="13" t="s">
        <v>1715</v>
      </c>
    </row>
    <row r="1532" spans="1:1">
      <c r="A1532" s="13" t="s">
        <v>1716</v>
      </c>
    </row>
    <row r="1533" spans="1:1">
      <c r="A1533" s="13" t="s">
        <v>1717</v>
      </c>
    </row>
    <row r="1534" spans="1:1">
      <c r="A1534" s="13" t="s">
        <v>1718</v>
      </c>
    </row>
    <row r="1535" spans="1:1">
      <c r="A1535" s="13" t="s">
        <v>1719</v>
      </c>
    </row>
    <row r="1536" spans="1:1">
      <c r="A1536" s="13" t="s">
        <v>1720</v>
      </c>
    </row>
    <row r="1537" spans="1:1">
      <c r="A1537" s="13" t="s">
        <v>1721</v>
      </c>
    </row>
    <row r="1538" spans="1:1">
      <c r="A1538" s="13" t="s">
        <v>268</v>
      </c>
    </row>
    <row r="1539" spans="1:1">
      <c r="A1539" s="13" t="s">
        <v>1722</v>
      </c>
    </row>
    <row r="1540" spans="1:1">
      <c r="A1540" s="13" t="s">
        <v>1723</v>
      </c>
    </row>
    <row r="1541" spans="1:1">
      <c r="A1541" s="13" t="s">
        <v>1724</v>
      </c>
    </row>
    <row r="1542" spans="1:1">
      <c r="A1542" s="13" t="s">
        <v>1725</v>
      </c>
    </row>
    <row r="1543" spans="1:1">
      <c r="A1543" s="13" t="s">
        <v>1726</v>
      </c>
    </row>
    <row r="1544" spans="1:1">
      <c r="A1544" s="13" t="s">
        <v>1727</v>
      </c>
    </row>
    <row r="1545" spans="1:1">
      <c r="A1545" s="13" t="s">
        <v>1728</v>
      </c>
    </row>
    <row r="1546" spans="1:1">
      <c r="A1546" s="13" t="s">
        <v>1729</v>
      </c>
    </row>
    <row r="1547" spans="1:1">
      <c r="A1547" s="13" t="s">
        <v>1730</v>
      </c>
    </row>
    <row r="1548" spans="1:1">
      <c r="A1548" s="13" t="s">
        <v>1731</v>
      </c>
    </row>
    <row r="1549" spans="1:1">
      <c r="A1549" s="13" t="s">
        <v>1732</v>
      </c>
    </row>
    <row r="1550" spans="1:1">
      <c r="A1550" s="13" t="s">
        <v>1733</v>
      </c>
    </row>
    <row r="1551" spans="1:1">
      <c r="A1551" s="13" t="s">
        <v>526</v>
      </c>
    </row>
    <row r="1552" spans="1:1">
      <c r="A1552" s="13" t="s">
        <v>1734</v>
      </c>
    </row>
    <row r="1553" spans="1:1">
      <c r="A1553" s="13" t="s">
        <v>1735</v>
      </c>
    </row>
    <row r="1554" spans="1:1">
      <c r="A1554" s="13" t="s">
        <v>1736</v>
      </c>
    </row>
    <row r="1555" spans="1:1">
      <c r="A1555" s="13" t="s">
        <v>1737</v>
      </c>
    </row>
    <row r="1556" spans="1:1">
      <c r="A1556" s="13" t="s">
        <v>1738</v>
      </c>
    </row>
    <row r="1557" spans="1:1">
      <c r="A1557" s="13" t="s">
        <v>1739</v>
      </c>
    </row>
    <row r="1558" spans="1:1">
      <c r="A1558" s="13" t="s">
        <v>1740</v>
      </c>
    </row>
    <row r="1559" spans="1:1">
      <c r="A1559" s="13" t="s">
        <v>526</v>
      </c>
    </row>
    <row r="1560" spans="1:1">
      <c r="A1560" s="13" t="s">
        <v>1741</v>
      </c>
    </row>
    <row r="1561" spans="1:1">
      <c r="A1561" s="13" t="s">
        <v>1742</v>
      </c>
    </row>
    <row r="1562" spans="1:1">
      <c r="A1562" s="13" t="s">
        <v>1743</v>
      </c>
    </row>
    <row r="1563" spans="1:1">
      <c r="A1563" s="13" t="s">
        <v>1744</v>
      </c>
    </row>
    <row r="1564" spans="1:1">
      <c r="A1564" s="13" t="s">
        <v>1745</v>
      </c>
    </row>
    <row r="1565" spans="1:1">
      <c r="A1565" s="13" t="s">
        <v>1746</v>
      </c>
    </row>
    <row r="1566" spans="1:1">
      <c r="A1566" s="13" t="s">
        <v>1747</v>
      </c>
    </row>
    <row r="1567" spans="1:1">
      <c r="A1567" s="13" t="s">
        <v>1748</v>
      </c>
    </row>
    <row r="1568" spans="1:1">
      <c r="A1568" s="13" t="s">
        <v>1749</v>
      </c>
    </row>
    <row r="1569" spans="1:1">
      <c r="A1569" s="13" t="s">
        <v>1750</v>
      </c>
    </row>
    <row r="1570" spans="1:1">
      <c r="A1570" s="13" t="s">
        <v>1751</v>
      </c>
    </row>
    <row r="1571" spans="1:1">
      <c r="A1571" s="13" t="s">
        <v>1752</v>
      </c>
    </row>
    <row r="1572" spans="1:1">
      <c r="A1572" s="13" t="s">
        <v>1753</v>
      </c>
    </row>
    <row r="1573" spans="1:1">
      <c r="A1573" s="13" t="s">
        <v>1754</v>
      </c>
    </row>
    <row r="1574" spans="1:1">
      <c r="A1574" s="13" t="s">
        <v>1755</v>
      </c>
    </row>
    <row r="1575" spans="1:1">
      <c r="A1575" s="13" t="s">
        <v>1756</v>
      </c>
    </row>
    <row r="1576" spans="1:1">
      <c r="A1576" s="13" t="s">
        <v>1757</v>
      </c>
    </row>
    <row r="1577" spans="1:1">
      <c r="A1577" s="13" t="s">
        <v>1758</v>
      </c>
    </row>
    <row r="1578" spans="1:1">
      <c r="A1578" s="13" t="s">
        <v>1759</v>
      </c>
    </row>
    <row r="1579" spans="1:1">
      <c r="A1579" s="13" t="s">
        <v>1760</v>
      </c>
    </row>
    <row r="1580" spans="1:1">
      <c r="A1580" s="13" t="s">
        <v>1760</v>
      </c>
    </row>
    <row r="1581" spans="1:1">
      <c r="A1581" s="13" t="s">
        <v>1761</v>
      </c>
    </row>
    <row r="1582" spans="1:1">
      <c r="A1582" s="13" t="s">
        <v>1762</v>
      </c>
    </row>
    <row r="1583" spans="1:1">
      <c r="A1583" s="13" t="s">
        <v>1763</v>
      </c>
    </row>
    <row r="1584" spans="1:1">
      <c r="A1584" s="13" t="s">
        <v>1764</v>
      </c>
    </row>
    <row r="1585" spans="1:1">
      <c r="A1585" s="13" t="s">
        <v>1765</v>
      </c>
    </row>
    <row r="1586" spans="1:1">
      <c r="A1586" s="13" t="s">
        <v>1766</v>
      </c>
    </row>
    <row r="1587" spans="1:1">
      <c r="A1587" s="13" t="s">
        <v>1767</v>
      </c>
    </row>
    <row r="1588" spans="1:1">
      <c r="A1588" s="13" t="s">
        <v>1768</v>
      </c>
    </row>
    <row r="1589" spans="1:1">
      <c r="A1589" s="13" t="s">
        <v>1769</v>
      </c>
    </row>
    <row r="1590" spans="1:1">
      <c r="A1590" s="13" t="s">
        <v>1770</v>
      </c>
    </row>
    <row r="1591" spans="1:1">
      <c r="A1591" s="13" t="s">
        <v>1771</v>
      </c>
    </row>
    <row r="1592" spans="1:1">
      <c r="A1592" s="13" t="s">
        <v>1772</v>
      </c>
    </row>
    <row r="1593" spans="1:1">
      <c r="A1593" s="13" t="s">
        <v>1773</v>
      </c>
    </row>
    <row r="1594" spans="1:1">
      <c r="A1594" s="13" t="s">
        <v>1774</v>
      </c>
    </row>
    <row r="1595" spans="1:1">
      <c r="A1595" s="13" t="s">
        <v>1775</v>
      </c>
    </row>
    <row r="1596" spans="1:1">
      <c r="A1596" s="13" t="s">
        <v>1776</v>
      </c>
    </row>
    <row r="1597" spans="1:1">
      <c r="A1597" s="13" t="s">
        <v>1777</v>
      </c>
    </row>
    <row r="1598" spans="1:1">
      <c r="A1598" s="13" t="s">
        <v>1778</v>
      </c>
    </row>
    <row r="1599" spans="1:1">
      <c r="A1599" s="13" t="s">
        <v>1779</v>
      </c>
    </row>
    <row r="1600" spans="1:1">
      <c r="A1600" s="13" t="s">
        <v>1780</v>
      </c>
    </row>
    <row r="1601" spans="1:1">
      <c r="A1601" s="13" t="s">
        <v>1781</v>
      </c>
    </row>
    <row r="1602" spans="1:1">
      <c r="A1602" s="13" t="s">
        <v>1782</v>
      </c>
    </row>
    <row r="1603" spans="1:1">
      <c r="A1603" s="13" t="s">
        <v>1783</v>
      </c>
    </row>
    <row r="1604" spans="1:1">
      <c r="A1604" s="13" t="s">
        <v>1784</v>
      </c>
    </row>
    <row r="1605" spans="1:1">
      <c r="A1605" s="13" t="s">
        <v>1785</v>
      </c>
    </row>
    <row r="1606" spans="1:1">
      <c r="A1606" s="13" t="s">
        <v>1786</v>
      </c>
    </row>
    <row r="1607" spans="1:1">
      <c r="A1607" s="13" t="s">
        <v>1787</v>
      </c>
    </row>
    <row r="1608" spans="1:1">
      <c r="A1608" s="13" t="s">
        <v>1788</v>
      </c>
    </row>
    <row r="1609" spans="1:1">
      <c r="A1609" s="13" t="s">
        <v>1789</v>
      </c>
    </row>
    <row r="1610" spans="1:1">
      <c r="A1610" s="13" t="s">
        <v>1790</v>
      </c>
    </row>
    <row r="1611" spans="1:1">
      <c r="A1611" s="13" t="s">
        <v>1791</v>
      </c>
    </row>
    <row r="1612" spans="1:1">
      <c r="A1612" s="13" t="s">
        <v>1792</v>
      </c>
    </row>
    <row r="1613" spans="1:1">
      <c r="A1613" s="13" t="s">
        <v>1793</v>
      </c>
    </row>
    <row r="1614" spans="1:1">
      <c r="A1614" s="13" t="s">
        <v>1794</v>
      </c>
    </row>
    <row r="1615" spans="1:1">
      <c r="A1615" s="13" t="s">
        <v>1795</v>
      </c>
    </row>
    <row r="1616" spans="1:1">
      <c r="A1616" s="13" t="s">
        <v>1796</v>
      </c>
    </row>
    <row r="1617" spans="1:1">
      <c r="A1617" s="13" t="s">
        <v>1797</v>
      </c>
    </row>
    <row r="1618" spans="1:1">
      <c r="A1618" s="13" t="s">
        <v>1798</v>
      </c>
    </row>
    <row r="1619" spans="1:1">
      <c r="A1619" s="13" t="s">
        <v>1799</v>
      </c>
    </row>
    <row r="1620" spans="1:1">
      <c r="A1620" s="13" t="s">
        <v>1800</v>
      </c>
    </row>
    <row r="1621" spans="1:1">
      <c r="A1621" s="13" t="s">
        <v>1801</v>
      </c>
    </row>
    <row r="1622" spans="1:1">
      <c r="A1622" s="13" t="s">
        <v>1802</v>
      </c>
    </row>
    <row r="1623" spans="1:1">
      <c r="A1623" s="13" t="s">
        <v>1803</v>
      </c>
    </row>
    <row r="1624" spans="1:1">
      <c r="A1624" s="13" t="s">
        <v>1804</v>
      </c>
    </row>
    <row r="1625" spans="1:1">
      <c r="A1625" s="13" t="s">
        <v>1805</v>
      </c>
    </row>
    <row r="1626" spans="1:1">
      <c r="A1626" s="13" t="s">
        <v>1806</v>
      </c>
    </row>
    <row r="1627" spans="1:1">
      <c r="A1627" s="13" t="s">
        <v>1807</v>
      </c>
    </row>
    <row r="1628" spans="1:1">
      <c r="A1628" s="13" t="s">
        <v>1808</v>
      </c>
    </row>
    <row r="1629" spans="1:1">
      <c r="A1629" s="13" t="s">
        <v>1809</v>
      </c>
    </row>
    <row r="1630" spans="1:1">
      <c r="A1630" s="13" t="s">
        <v>526</v>
      </c>
    </row>
    <row r="1631" spans="1:1">
      <c r="A1631" s="13" t="s">
        <v>1810</v>
      </c>
    </row>
    <row r="1632" spans="1:1">
      <c r="A1632" s="13" t="s">
        <v>526</v>
      </c>
    </row>
    <row r="1633" spans="1:1">
      <c r="A1633" s="13" t="s">
        <v>1811</v>
      </c>
    </row>
    <row r="1634" spans="1:1">
      <c r="A1634" s="13" t="s">
        <v>1812</v>
      </c>
    </row>
    <row r="1635" spans="1:1">
      <c r="A1635" s="13" t="s">
        <v>1813</v>
      </c>
    </row>
    <row r="1636" spans="1:1">
      <c r="A1636" s="13" t="s">
        <v>1814</v>
      </c>
    </row>
    <row r="1637" spans="1:1">
      <c r="A1637" s="13" t="s">
        <v>1815</v>
      </c>
    </row>
    <row r="1638" spans="1:1">
      <c r="A1638" s="13" t="s">
        <v>1816</v>
      </c>
    </row>
    <row r="1639" spans="1:1">
      <c r="A1639" s="13" t="s">
        <v>1817</v>
      </c>
    </row>
    <row r="1640" spans="1:1">
      <c r="A1640" s="13" t="s">
        <v>1818</v>
      </c>
    </row>
    <row r="1641" spans="1:1">
      <c r="A1641" s="13" t="s">
        <v>1819</v>
      </c>
    </row>
    <row r="1642" spans="1:1">
      <c r="A1642" s="13" t="s">
        <v>1820</v>
      </c>
    </row>
    <row r="1643" spans="1:1">
      <c r="A1643" s="13" t="s">
        <v>1821</v>
      </c>
    </row>
    <row r="1644" spans="1:1">
      <c r="A1644" s="13" t="s">
        <v>1822</v>
      </c>
    </row>
    <row r="1645" spans="1:1">
      <c r="A1645" s="13" t="s">
        <v>1823</v>
      </c>
    </row>
    <row r="1646" spans="1:1">
      <c r="A1646" s="13" t="s">
        <v>1824</v>
      </c>
    </row>
    <row r="1647" spans="1:1">
      <c r="A1647" s="13" t="s">
        <v>1825</v>
      </c>
    </row>
    <row r="1648" spans="1:1">
      <c r="A1648" s="13" t="s">
        <v>1826</v>
      </c>
    </row>
    <row r="1649" spans="1:1">
      <c r="A1649" s="13" t="s">
        <v>1827</v>
      </c>
    </row>
    <row r="1650" spans="1:1">
      <c r="A1650" s="13" t="s">
        <v>1828</v>
      </c>
    </row>
    <row r="1651" spans="1:1">
      <c r="A1651" s="13" t="s">
        <v>1829</v>
      </c>
    </row>
    <row r="1652" spans="1:1">
      <c r="A1652" s="13" t="s">
        <v>1830</v>
      </c>
    </row>
    <row r="1653" spans="1:1">
      <c r="A1653" s="13" t="s">
        <v>1831</v>
      </c>
    </row>
    <row r="1654" spans="1:1">
      <c r="A1654" s="13" t="s">
        <v>1832</v>
      </c>
    </row>
    <row r="1655" spans="1:1">
      <c r="A1655" s="13" t="s">
        <v>1833</v>
      </c>
    </row>
    <row r="1656" spans="1:1">
      <c r="A1656" s="13" t="s">
        <v>1834</v>
      </c>
    </row>
    <row r="1657" spans="1:1">
      <c r="A1657" s="13" t="s">
        <v>1835</v>
      </c>
    </row>
    <row r="1658" spans="1:1">
      <c r="A1658" s="13" t="s">
        <v>1836</v>
      </c>
    </row>
    <row r="1659" spans="1:1">
      <c r="A1659" s="13" t="s">
        <v>1837</v>
      </c>
    </row>
    <row r="1660" spans="1:1">
      <c r="A1660" s="13" t="s">
        <v>1838</v>
      </c>
    </row>
    <row r="1661" spans="1:1">
      <c r="A1661" s="13" t="s">
        <v>1839</v>
      </c>
    </row>
    <row r="1662" spans="1:1">
      <c r="A1662" s="13" t="s">
        <v>1840</v>
      </c>
    </row>
    <row r="1663" spans="1:1">
      <c r="A1663" s="13" t="s">
        <v>1841</v>
      </c>
    </row>
    <row r="1664" spans="1:1">
      <c r="A1664" s="13" t="s">
        <v>1842</v>
      </c>
    </row>
    <row r="1665" spans="1:1">
      <c r="A1665" s="13" t="s">
        <v>1843</v>
      </c>
    </row>
    <row r="1666" spans="1:1">
      <c r="A1666" s="13" t="s">
        <v>1844</v>
      </c>
    </row>
    <row r="1667" spans="1:1">
      <c r="A1667" s="13" t="s">
        <v>1845</v>
      </c>
    </row>
    <row r="1668" spans="1:1">
      <c r="A1668" s="13" t="s">
        <v>1846</v>
      </c>
    </row>
    <row r="1669" spans="1:1">
      <c r="A1669" s="13" t="s">
        <v>1847</v>
      </c>
    </row>
    <row r="1670" spans="1:1">
      <c r="A1670" s="13" t="s">
        <v>1848</v>
      </c>
    </row>
    <row r="1671" spans="1:1">
      <c r="A1671" s="13" t="s">
        <v>1849</v>
      </c>
    </row>
    <row r="1672" spans="1:1">
      <c r="A1672" s="13" t="s">
        <v>1850</v>
      </c>
    </row>
    <row r="1673" spans="1:1">
      <c r="A1673" s="13" t="s">
        <v>1851</v>
      </c>
    </row>
    <row r="1674" spans="1:1">
      <c r="A1674" s="13" t="s">
        <v>1852</v>
      </c>
    </row>
    <row r="1675" spans="1:1">
      <c r="A1675" s="13" t="s">
        <v>1853</v>
      </c>
    </row>
    <row r="1676" spans="1:1">
      <c r="A1676" s="13" t="s">
        <v>1854</v>
      </c>
    </row>
    <row r="1677" spans="1:1">
      <c r="A1677" s="13" t="s">
        <v>1855</v>
      </c>
    </row>
    <row r="1678" spans="1:1">
      <c r="A1678" s="13" t="s">
        <v>1856</v>
      </c>
    </row>
    <row r="1679" spans="1:1">
      <c r="A1679" s="13" t="s">
        <v>1857</v>
      </c>
    </row>
    <row r="1680" spans="1:1">
      <c r="A1680" s="13" t="s">
        <v>1858</v>
      </c>
    </row>
    <row r="1681" spans="1:1">
      <c r="A1681" s="13" t="s">
        <v>1859</v>
      </c>
    </row>
    <row r="1682" spans="1:1">
      <c r="A1682" s="13" t="s">
        <v>1860</v>
      </c>
    </row>
    <row r="1683" spans="1:1">
      <c r="A1683" s="13" t="s">
        <v>1861</v>
      </c>
    </row>
    <row r="1684" spans="1:1">
      <c r="A1684" s="13" t="s">
        <v>1862</v>
      </c>
    </row>
    <row r="1685" spans="1:1">
      <c r="A1685" s="13" t="s">
        <v>1863</v>
      </c>
    </row>
    <row r="1686" spans="1:1">
      <c r="A1686" s="13" t="s">
        <v>1864</v>
      </c>
    </row>
    <row r="1687" spans="1:1">
      <c r="A1687" s="13" t="s">
        <v>1865</v>
      </c>
    </row>
    <row r="1688" spans="1:1">
      <c r="A1688" s="13" t="s">
        <v>1866</v>
      </c>
    </row>
    <row r="1689" spans="1:1">
      <c r="A1689" s="13" t="s">
        <v>1867</v>
      </c>
    </row>
    <row r="1690" spans="1:1">
      <c r="A1690" s="13" t="s">
        <v>1868</v>
      </c>
    </row>
    <row r="1691" spans="1:1">
      <c r="A1691" s="13" t="s">
        <v>1869</v>
      </c>
    </row>
    <row r="1692" spans="1:1">
      <c r="A1692" s="13" t="s">
        <v>1870</v>
      </c>
    </row>
    <row r="1693" spans="1:1">
      <c r="A1693" s="13" t="s">
        <v>1871</v>
      </c>
    </row>
    <row r="1694" spans="1:1">
      <c r="A1694" s="13" t="s">
        <v>1872</v>
      </c>
    </row>
    <row r="1695" spans="1:1">
      <c r="A1695" s="13" t="s">
        <v>1873</v>
      </c>
    </row>
    <row r="1696" spans="1:1">
      <c r="A1696" s="13" t="s">
        <v>1874</v>
      </c>
    </row>
    <row r="1697" spans="1:1">
      <c r="A1697" s="13" t="s">
        <v>1875</v>
      </c>
    </row>
    <row r="1698" spans="1:1">
      <c r="A1698" s="13" t="s">
        <v>1876</v>
      </c>
    </row>
    <row r="1699" spans="1:1">
      <c r="A1699" s="13" t="s">
        <v>1877</v>
      </c>
    </row>
    <row r="1700" spans="1:1">
      <c r="A1700" s="13" t="s">
        <v>1878</v>
      </c>
    </row>
    <row r="1701" spans="1:1">
      <c r="A1701" s="13" t="s">
        <v>1879</v>
      </c>
    </row>
    <row r="1702" spans="1:1">
      <c r="A1702" s="13" t="s">
        <v>1880</v>
      </c>
    </row>
    <row r="1703" spans="1:1">
      <c r="A1703" s="13" t="s">
        <v>1881</v>
      </c>
    </row>
    <row r="1704" spans="1:1">
      <c r="A1704" s="13" t="s">
        <v>1882</v>
      </c>
    </row>
    <row r="1705" spans="1:1">
      <c r="A1705" s="13" t="s">
        <v>1883</v>
      </c>
    </row>
    <row r="1706" spans="1:1">
      <c r="A1706" s="13" t="s">
        <v>1884</v>
      </c>
    </row>
    <row r="1707" spans="1:1">
      <c r="A1707" s="13" t="s">
        <v>1885</v>
      </c>
    </row>
    <row r="1708" spans="1:1">
      <c r="A1708" s="13" t="s">
        <v>1886</v>
      </c>
    </row>
    <row r="1709" spans="1:1">
      <c r="A1709" s="13" t="s">
        <v>1887</v>
      </c>
    </row>
    <row r="1710" spans="1:1">
      <c r="A1710" s="13" t="s">
        <v>1888</v>
      </c>
    </row>
    <row r="1711" spans="1:1">
      <c r="A1711" s="13" t="s">
        <v>1889</v>
      </c>
    </row>
    <row r="1712" spans="1:1">
      <c r="A1712" s="13" t="s">
        <v>1890</v>
      </c>
    </row>
    <row r="1713" spans="1:1">
      <c r="A1713" s="13" t="s">
        <v>1891</v>
      </c>
    </row>
    <row r="1714" spans="1:1">
      <c r="A1714" s="13" t="s">
        <v>1892</v>
      </c>
    </row>
    <row r="1715" spans="1:1">
      <c r="A1715" s="13" t="s">
        <v>1893</v>
      </c>
    </row>
    <row r="1716" spans="1:1">
      <c r="A1716" s="13" t="s">
        <v>1894</v>
      </c>
    </row>
    <row r="1717" spans="1:1">
      <c r="A1717" s="13" t="s">
        <v>1895</v>
      </c>
    </row>
    <row r="1718" spans="1:1">
      <c r="A1718" s="13" t="s">
        <v>1896</v>
      </c>
    </row>
    <row r="1719" spans="1:1">
      <c r="A1719" s="13" t="s">
        <v>1897</v>
      </c>
    </row>
    <row r="1720" spans="1:1">
      <c r="A1720" s="13" t="s">
        <v>1898</v>
      </c>
    </row>
    <row r="1721" spans="1:1">
      <c r="A1721" s="13" t="s">
        <v>1899</v>
      </c>
    </row>
    <row r="1722" spans="1:1">
      <c r="A1722" s="13" t="s">
        <v>1900</v>
      </c>
    </row>
    <row r="1723" spans="1:1">
      <c r="A1723" s="13" t="s">
        <v>1901</v>
      </c>
    </row>
    <row r="1724" spans="1:1">
      <c r="A1724" s="13" t="s">
        <v>1902</v>
      </c>
    </row>
    <row r="1725" spans="1:1">
      <c r="A1725" s="13" t="s">
        <v>1903</v>
      </c>
    </row>
    <row r="1726" spans="1:1">
      <c r="A1726" s="13" t="s">
        <v>1904</v>
      </c>
    </row>
    <row r="1727" spans="1:1">
      <c r="A1727" s="13" t="s">
        <v>1905</v>
      </c>
    </row>
    <row r="1728" spans="1:1">
      <c r="A1728" s="13" t="s">
        <v>1906</v>
      </c>
    </row>
    <row r="1729" spans="1:1">
      <c r="A1729" s="13" t="s">
        <v>1907</v>
      </c>
    </row>
    <row r="1730" spans="1:1">
      <c r="A1730" s="13" t="s">
        <v>1908</v>
      </c>
    </row>
    <row r="1731" spans="1:1">
      <c r="A1731" s="13" t="s">
        <v>1909</v>
      </c>
    </row>
    <row r="1732" spans="1:1">
      <c r="A1732" s="13" t="s">
        <v>1910</v>
      </c>
    </row>
    <row r="1733" spans="1:1">
      <c r="A1733" s="13" t="s">
        <v>1911</v>
      </c>
    </row>
    <row r="1734" spans="1:1">
      <c r="A1734" s="13" t="s">
        <v>1912</v>
      </c>
    </row>
    <row r="1735" spans="1:1">
      <c r="A1735" s="13" t="s">
        <v>1913</v>
      </c>
    </row>
    <row r="1736" spans="1:1">
      <c r="A1736" s="13" t="s">
        <v>1914</v>
      </c>
    </row>
    <row r="1737" spans="1:1">
      <c r="A1737" s="13" t="s">
        <v>1915</v>
      </c>
    </row>
    <row r="1738" spans="1:1">
      <c r="A1738" s="13" t="s">
        <v>1916</v>
      </c>
    </row>
    <row r="1739" spans="1:1">
      <c r="A1739" s="13" t="s">
        <v>1917</v>
      </c>
    </row>
    <row r="1740" spans="1:1">
      <c r="A1740" s="13" t="s">
        <v>1918</v>
      </c>
    </row>
    <row r="1741" spans="1:1">
      <c r="A1741" s="13" t="s">
        <v>1919</v>
      </c>
    </row>
    <row r="1742" spans="1:1">
      <c r="A1742" s="13" t="s">
        <v>1920</v>
      </c>
    </row>
    <row r="1743" spans="1:1">
      <c r="A1743" s="13" t="s">
        <v>1921</v>
      </c>
    </row>
    <row r="1744" spans="1:1">
      <c r="A1744" s="13" t="s">
        <v>1922</v>
      </c>
    </row>
    <row r="1745" spans="1:1">
      <c r="A1745" s="13" t="s">
        <v>1923</v>
      </c>
    </row>
    <row r="1746" spans="1:1">
      <c r="A1746" s="13" t="s">
        <v>1924</v>
      </c>
    </row>
    <row r="1747" spans="1:1">
      <c r="A1747" s="13" t="s">
        <v>1925</v>
      </c>
    </row>
    <row r="1748" spans="1:1">
      <c r="A1748" s="13" t="s">
        <v>1926</v>
      </c>
    </row>
    <row r="1749" spans="1:1">
      <c r="A1749" s="13" t="s">
        <v>1927</v>
      </c>
    </row>
    <row r="1750" spans="1:1">
      <c r="A1750" s="13" t="s">
        <v>1928</v>
      </c>
    </row>
    <row r="1751" spans="1:1">
      <c r="A1751" s="13" t="s">
        <v>1929</v>
      </c>
    </row>
    <row r="1752" spans="1:1">
      <c r="A1752" s="13" t="s">
        <v>1930</v>
      </c>
    </row>
    <row r="1753" spans="1:1">
      <c r="A1753" s="13" t="s">
        <v>1931</v>
      </c>
    </row>
    <row r="1754" spans="1:1">
      <c r="A1754" s="13" t="s">
        <v>1932</v>
      </c>
    </row>
    <row r="1755" spans="1:1">
      <c r="A1755" s="13" t="s">
        <v>1933</v>
      </c>
    </row>
    <row r="1756" spans="1:1">
      <c r="A1756" s="13" t="s">
        <v>1934</v>
      </c>
    </row>
    <row r="1757" spans="1:1">
      <c r="A1757" s="13" t="s">
        <v>1935</v>
      </c>
    </row>
    <row r="1758" spans="1:1">
      <c r="A1758" s="13" t="s">
        <v>1936</v>
      </c>
    </row>
    <row r="1759" spans="1:1">
      <c r="A1759" s="13" t="s">
        <v>1937</v>
      </c>
    </row>
    <row r="1760" spans="1:1">
      <c r="A1760" s="13" t="s">
        <v>1938</v>
      </c>
    </row>
    <row r="1761" spans="1:1">
      <c r="A1761" s="13" t="s">
        <v>1939</v>
      </c>
    </row>
    <row r="1762" spans="1:1">
      <c r="A1762" s="13" t="s">
        <v>1940</v>
      </c>
    </row>
    <row r="1763" spans="1:1">
      <c r="A1763" s="13" t="s">
        <v>1941</v>
      </c>
    </row>
    <row r="1764" spans="1:1">
      <c r="A1764" s="13" t="s">
        <v>1942</v>
      </c>
    </row>
    <row r="1765" spans="1:1">
      <c r="A1765" s="13" t="s">
        <v>1943</v>
      </c>
    </row>
    <row r="1766" spans="1:1">
      <c r="A1766" s="13" t="s">
        <v>1944</v>
      </c>
    </row>
    <row r="1767" spans="1:1">
      <c r="A1767" s="13" t="s">
        <v>1945</v>
      </c>
    </row>
    <row r="1768" spans="1:1">
      <c r="A1768" s="13" t="s">
        <v>1946</v>
      </c>
    </row>
    <row r="1769" spans="1:1">
      <c r="A1769" s="13" t="s">
        <v>1947</v>
      </c>
    </row>
    <row r="1770" spans="1:1">
      <c r="A1770" s="13" t="s">
        <v>1948</v>
      </c>
    </row>
    <row r="1771" spans="1:1">
      <c r="A1771" s="13" t="s">
        <v>1949</v>
      </c>
    </row>
    <row r="1772" spans="1:1">
      <c r="A1772" s="13" t="s">
        <v>1950</v>
      </c>
    </row>
    <row r="1773" spans="1:1">
      <c r="A1773" s="13" t="s">
        <v>1951</v>
      </c>
    </row>
    <row r="1774" spans="1:1">
      <c r="A1774" s="13" t="s">
        <v>1952</v>
      </c>
    </row>
    <row r="1775" spans="1:1">
      <c r="A1775" s="13" t="s">
        <v>1953</v>
      </c>
    </row>
    <row r="1776" spans="1:1">
      <c r="A1776" s="13" t="s">
        <v>1954</v>
      </c>
    </row>
    <row r="1777" spans="1:1">
      <c r="A1777" s="13" t="s">
        <v>1955</v>
      </c>
    </row>
    <row r="1778" spans="1:1">
      <c r="A1778" s="13" t="s">
        <v>1956</v>
      </c>
    </row>
    <row r="1779" spans="1:1">
      <c r="A1779" s="13" t="s">
        <v>1957</v>
      </c>
    </row>
    <row r="1780" spans="1:1">
      <c r="A1780" s="13" t="s">
        <v>1958</v>
      </c>
    </row>
    <row r="1781" spans="1:1">
      <c r="A1781" s="13" t="s">
        <v>1959</v>
      </c>
    </row>
    <row r="1782" spans="1:1">
      <c r="A1782" s="13" t="s">
        <v>1960</v>
      </c>
    </row>
    <row r="1783" spans="1:1">
      <c r="A1783" s="13" t="s">
        <v>1961</v>
      </c>
    </row>
    <row r="1784" spans="1:1">
      <c r="A1784" s="13" t="s">
        <v>1962</v>
      </c>
    </row>
    <row r="1785" spans="1:1">
      <c r="A1785" s="13" t="s">
        <v>1963</v>
      </c>
    </row>
    <row r="1786" spans="1:1">
      <c r="A1786" s="13" t="s">
        <v>1964</v>
      </c>
    </row>
    <row r="1787" spans="1:1">
      <c r="A1787" s="13" t="s">
        <v>1965</v>
      </c>
    </row>
    <row r="1788" spans="1:1">
      <c r="A1788" s="13" t="s">
        <v>1966</v>
      </c>
    </row>
    <row r="1789" spans="1:1">
      <c r="A1789" s="13" t="s">
        <v>1967</v>
      </c>
    </row>
    <row r="1790" spans="1:1">
      <c r="A1790" s="13" t="s">
        <v>1968</v>
      </c>
    </row>
    <row r="1791" spans="1:1">
      <c r="A1791" s="13" t="s">
        <v>1969</v>
      </c>
    </row>
    <row r="1792" spans="1:1">
      <c r="A1792" s="13" t="s">
        <v>1970</v>
      </c>
    </row>
    <row r="1793" spans="1:1">
      <c r="A1793" s="13" t="s">
        <v>1971</v>
      </c>
    </row>
    <row r="1794" spans="1:1">
      <c r="A1794" s="13" t="s">
        <v>1972</v>
      </c>
    </row>
    <row r="1795" spans="1:1">
      <c r="A1795" s="13" t="s">
        <v>1973</v>
      </c>
    </row>
    <row r="1796" spans="1:1">
      <c r="A1796" s="13" t="s">
        <v>1974</v>
      </c>
    </row>
    <row r="1797" spans="1:1">
      <c r="A1797" s="13" t="s">
        <v>1975</v>
      </c>
    </row>
    <row r="1798" spans="1:1">
      <c r="A1798" s="13" t="s">
        <v>1976</v>
      </c>
    </row>
    <row r="1799" spans="1:1">
      <c r="A1799" s="13" t="s">
        <v>1977</v>
      </c>
    </row>
    <row r="1800" spans="1:1">
      <c r="A1800" s="13" t="s">
        <v>1978</v>
      </c>
    </row>
    <row r="1801" spans="1:1">
      <c r="A1801" s="13" t="s">
        <v>1979</v>
      </c>
    </row>
    <row r="1802" spans="1:1">
      <c r="A1802" s="13" t="s">
        <v>1980</v>
      </c>
    </row>
    <row r="1803" spans="1:1">
      <c r="A1803" s="13" t="s">
        <v>1981</v>
      </c>
    </row>
    <row r="1804" spans="1:1">
      <c r="A1804" s="13" t="s">
        <v>1982</v>
      </c>
    </row>
    <row r="1805" spans="1:1">
      <c r="A1805" s="13" t="s">
        <v>1983</v>
      </c>
    </row>
    <row r="1806" spans="1:1">
      <c r="A1806" s="13" t="s">
        <v>1984</v>
      </c>
    </row>
    <row r="1807" spans="1:1">
      <c r="A1807" s="13" t="s">
        <v>1985</v>
      </c>
    </row>
    <row r="1808" spans="1:1">
      <c r="A1808" s="13" t="s">
        <v>1986</v>
      </c>
    </row>
    <row r="1809" spans="1:1">
      <c r="A1809" s="13" t="s">
        <v>1987</v>
      </c>
    </row>
    <row r="1810" spans="1:1">
      <c r="A1810" s="13" t="s">
        <v>1988</v>
      </c>
    </row>
    <row r="1811" spans="1:1">
      <c r="A1811" s="13" t="s">
        <v>1989</v>
      </c>
    </row>
    <row r="1812" spans="1:1">
      <c r="A1812" s="13" t="s">
        <v>1990</v>
      </c>
    </row>
    <row r="1813" spans="1:1">
      <c r="A1813" s="13" t="s">
        <v>1991</v>
      </c>
    </row>
    <row r="1814" spans="1:1">
      <c r="A1814" s="13" t="s">
        <v>1992</v>
      </c>
    </row>
    <row r="1815" spans="1:1">
      <c r="A1815" s="13" t="s">
        <v>1993</v>
      </c>
    </row>
    <row r="1816" spans="1:1">
      <c r="A1816" s="13" t="s">
        <v>1994</v>
      </c>
    </row>
    <row r="1817" spans="1:1">
      <c r="A1817" s="13" t="s">
        <v>1995</v>
      </c>
    </row>
    <row r="1818" spans="1:1">
      <c r="A1818" s="13" t="s">
        <v>1996</v>
      </c>
    </row>
    <row r="1819" spans="1:1">
      <c r="A1819" s="13" t="s">
        <v>1997</v>
      </c>
    </row>
    <row r="1820" spans="1:1">
      <c r="A1820" s="13" t="s">
        <v>1998</v>
      </c>
    </row>
    <row r="1821" spans="1:1">
      <c r="A1821" s="13" t="s">
        <v>1999</v>
      </c>
    </row>
    <row r="1822" spans="1:1">
      <c r="A1822" s="13" t="s">
        <v>2000</v>
      </c>
    </row>
    <row r="1823" spans="1:1">
      <c r="A1823" s="13" t="s">
        <v>2001</v>
      </c>
    </row>
    <row r="1824" spans="1:1">
      <c r="A1824" s="13" t="s">
        <v>2002</v>
      </c>
    </row>
    <row r="1825" spans="1:1">
      <c r="A1825" s="13" t="s">
        <v>2003</v>
      </c>
    </row>
    <row r="1826" spans="1:1">
      <c r="A1826" s="13" t="s">
        <v>2004</v>
      </c>
    </row>
    <row r="1827" spans="1:1">
      <c r="A1827" s="13" t="s">
        <v>2005</v>
      </c>
    </row>
    <row r="1828" spans="1:1">
      <c r="A1828" s="13" t="s">
        <v>2006</v>
      </c>
    </row>
    <row r="1829" spans="1:1">
      <c r="A1829" s="13" t="s">
        <v>2007</v>
      </c>
    </row>
    <row r="1830" spans="1:1">
      <c r="A1830" s="13" t="s">
        <v>2008</v>
      </c>
    </row>
    <row r="1831" spans="1:1">
      <c r="A1831" s="13" t="s">
        <v>2009</v>
      </c>
    </row>
    <row r="1832" spans="1:1">
      <c r="A1832" s="13" t="s">
        <v>2010</v>
      </c>
    </row>
    <row r="1833" spans="1:1">
      <c r="A1833" s="13" t="s">
        <v>2011</v>
      </c>
    </row>
    <row r="1834" spans="1:1">
      <c r="A1834" s="13" t="s">
        <v>2012</v>
      </c>
    </row>
    <row r="1835" spans="1:1">
      <c r="A1835" s="13" t="s">
        <v>2013</v>
      </c>
    </row>
    <row r="1836" spans="1:1">
      <c r="A1836" s="13" t="s">
        <v>2014</v>
      </c>
    </row>
    <row r="1837" spans="1:1">
      <c r="A1837" s="13" t="s">
        <v>2015</v>
      </c>
    </row>
    <row r="1838" spans="1:1">
      <c r="A1838" s="13" t="s">
        <v>2016</v>
      </c>
    </row>
    <row r="1839" spans="1:1">
      <c r="A1839" s="13" t="s">
        <v>2017</v>
      </c>
    </row>
    <row r="1840" spans="1:1">
      <c r="A1840" s="13" t="s">
        <v>2018</v>
      </c>
    </row>
    <row r="1841" spans="1:1">
      <c r="A1841" s="13" t="s">
        <v>2019</v>
      </c>
    </row>
    <row r="1842" spans="1:1">
      <c r="A1842" s="13" t="s">
        <v>2020</v>
      </c>
    </row>
    <row r="1843" spans="1:1">
      <c r="A1843" s="13" t="s">
        <v>2021</v>
      </c>
    </row>
    <row r="1844" spans="1:1">
      <c r="A1844" s="13" t="s">
        <v>2022</v>
      </c>
    </row>
    <row r="1845" spans="1:1">
      <c r="A1845" s="13" t="s">
        <v>2023</v>
      </c>
    </row>
    <row r="1846" spans="1:1">
      <c r="A1846" s="13" t="s">
        <v>2024</v>
      </c>
    </row>
    <row r="1847" spans="1:1">
      <c r="A1847" s="13" t="s">
        <v>2025</v>
      </c>
    </row>
    <row r="1848" spans="1:1">
      <c r="A1848" s="13" t="s">
        <v>2026</v>
      </c>
    </row>
    <row r="1849" spans="1:1">
      <c r="A1849" s="13" t="s">
        <v>2027</v>
      </c>
    </row>
    <row r="1850" spans="1:1">
      <c r="A1850" s="13" t="s">
        <v>2028</v>
      </c>
    </row>
    <row r="1851" spans="1:1">
      <c r="A1851" s="13" t="s">
        <v>2029</v>
      </c>
    </row>
    <row r="1852" spans="1:1">
      <c r="A1852" s="13" t="s">
        <v>2030</v>
      </c>
    </row>
    <row r="1853" spans="1:1">
      <c r="A1853" s="13" t="s">
        <v>2031</v>
      </c>
    </row>
    <row r="1854" spans="1:1">
      <c r="A1854" s="13" t="s">
        <v>2032</v>
      </c>
    </row>
    <row r="1855" spans="1:1">
      <c r="A1855" s="13" t="s">
        <v>2033</v>
      </c>
    </row>
    <row r="1856" spans="1:1">
      <c r="A1856" s="13" t="s">
        <v>2034</v>
      </c>
    </row>
    <row r="1857" spans="1:1">
      <c r="A1857" s="13" t="s">
        <v>2035</v>
      </c>
    </row>
    <row r="1858" spans="1:1">
      <c r="A1858" s="13" t="s">
        <v>2036</v>
      </c>
    </row>
    <row r="1859" spans="1:1">
      <c r="A1859" s="13" t="s">
        <v>2037</v>
      </c>
    </row>
    <row r="1860" spans="1:1">
      <c r="A1860" s="13" t="s">
        <v>2038</v>
      </c>
    </row>
    <row r="1861" spans="1:1">
      <c r="A1861" s="13" t="s">
        <v>2039</v>
      </c>
    </row>
    <row r="1862" spans="1:1">
      <c r="A1862" s="13" t="s">
        <v>2040</v>
      </c>
    </row>
    <row r="1863" spans="1:1">
      <c r="A1863" s="13" t="s">
        <v>2041</v>
      </c>
    </row>
    <row r="1864" spans="1:1">
      <c r="A1864" s="13" t="s">
        <v>2042</v>
      </c>
    </row>
    <row r="1865" spans="1:1">
      <c r="A1865" s="13" t="s">
        <v>2043</v>
      </c>
    </row>
    <row r="1866" spans="1:1">
      <c r="A1866" s="13" t="s">
        <v>2044</v>
      </c>
    </row>
    <row r="1867" spans="1:1">
      <c r="A1867" s="13" t="s">
        <v>2045</v>
      </c>
    </row>
    <row r="1868" spans="1:1">
      <c r="A1868" s="13" t="s">
        <v>2046</v>
      </c>
    </row>
    <row r="1869" spans="1:1">
      <c r="A1869" s="13" t="s">
        <v>2047</v>
      </c>
    </row>
    <row r="1870" spans="1:1">
      <c r="A1870" s="13" t="s">
        <v>2048</v>
      </c>
    </row>
    <row r="1871" spans="1:1">
      <c r="A1871" s="13" t="s">
        <v>2049</v>
      </c>
    </row>
    <row r="1872" spans="1:1">
      <c r="A1872" s="13" t="s">
        <v>2050</v>
      </c>
    </row>
    <row r="1873" spans="1:1">
      <c r="A1873" s="13" t="s">
        <v>2051</v>
      </c>
    </row>
    <row r="1874" spans="1:1">
      <c r="A1874" s="13" t="s">
        <v>2052</v>
      </c>
    </row>
    <row r="1875" spans="1:1">
      <c r="A1875" s="13" t="s">
        <v>2053</v>
      </c>
    </row>
    <row r="1876" spans="1:1">
      <c r="A1876" s="13" t="s">
        <v>2054</v>
      </c>
    </row>
    <row r="1877" spans="1:1">
      <c r="A1877" s="13" t="s">
        <v>2055</v>
      </c>
    </row>
    <row r="1878" spans="1:1">
      <c r="A1878" s="13" t="s">
        <v>2056</v>
      </c>
    </row>
    <row r="1879" spans="1:1">
      <c r="A1879" s="13" t="s">
        <v>2057</v>
      </c>
    </row>
    <row r="1880" spans="1:1">
      <c r="A1880" s="13" t="s">
        <v>2058</v>
      </c>
    </row>
    <row r="1881" spans="1:1">
      <c r="A1881" s="13" t="s">
        <v>2059</v>
      </c>
    </row>
    <row r="1882" spans="1:1">
      <c r="A1882" s="13" t="s">
        <v>2060</v>
      </c>
    </row>
    <row r="1883" spans="1:1">
      <c r="A1883" s="13" t="s">
        <v>2061</v>
      </c>
    </row>
    <row r="1884" spans="1:1">
      <c r="A1884" s="13" t="s">
        <v>2062</v>
      </c>
    </row>
    <row r="1885" spans="1:1">
      <c r="A1885" s="13" t="s">
        <v>2063</v>
      </c>
    </row>
    <row r="1886" spans="1:1">
      <c r="A1886" s="13" t="s">
        <v>2064</v>
      </c>
    </row>
    <row r="1887" spans="1:1">
      <c r="A1887" s="13" t="s">
        <v>2065</v>
      </c>
    </row>
    <row r="1888" spans="1:1">
      <c r="A1888" s="13" t="s">
        <v>312</v>
      </c>
    </row>
    <row r="1889" spans="1:1">
      <c r="A1889" s="13" t="s">
        <v>2066</v>
      </c>
    </row>
    <row r="1890" spans="1:1">
      <c r="A1890" s="13" t="s">
        <v>2067</v>
      </c>
    </row>
    <row r="1891" spans="1:1">
      <c r="A1891" s="13" t="s">
        <v>2068</v>
      </c>
    </row>
    <row r="1892" spans="1:1">
      <c r="A1892" s="13" t="s">
        <v>2069</v>
      </c>
    </row>
    <row r="1893" spans="1:1">
      <c r="A1893" s="13" t="s">
        <v>2070</v>
      </c>
    </row>
    <row r="1894" spans="1:1">
      <c r="A1894" s="13" t="s">
        <v>2071</v>
      </c>
    </row>
    <row r="1895" spans="1:1">
      <c r="A1895" s="13" t="s">
        <v>2072</v>
      </c>
    </row>
    <row r="1896" spans="1:1">
      <c r="A1896" s="13" t="s">
        <v>2073</v>
      </c>
    </row>
    <row r="1897" spans="1:1">
      <c r="A1897" s="13" t="s">
        <v>2074</v>
      </c>
    </row>
    <row r="1898" spans="1:1">
      <c r="A1898" s="13" t="s">
        <v>2075</v>
      </c>
    </row>
    <row r="1899" spans="1:1">
      <c r="A1899" s="13" t="s">
        <v>2076</v>
      </c>
    </row>
    <row r="1900" spans="1:1">
      <c r="A1900" s="13" t="s">
        <v>2077</v>
      </c>
    </row>
    <row r="1901" spans="1:1">
      <c r="A1901" s="13" t="s">
        <v>2078</v>
      </c>
    </row>
    <row r="1902" spans="1:1">
      <c r="A1902" s="13" t="s">
        <v>2079</v>
      </c>
    </row>
    <row r="1903" spans="1:1">
      <c r="A1903" s="13" t="s">
        <v>2080</v>
      </c>
    </row>
    <row r="1904" spans="1:1">
      <c r="A1904" s="13" t="s">
        <v>2081</v>
      </c>
    </row>
    <row r="1905" spans="1:1">
      <c r="A1905" s="13" t="s">
        <v>2082</v>
      </c>
    </row>
    <row r="1906" spans="1:1">
      <c r="A1906" s="13" t="s">
        <v>2083</v>
      </c>
    </row>
    <row r="1907" spans="1:1">
      <c r="A1907" s="13" t="s">
        <v>2084</v>
      </c>
    </row>
    <row r="1908" spans="1:1">
      <c r="A1908" s="13" t="s">
        <v>2085</v>
      </c>
    </row>
    <row r="1909" spans="1:1">
      <c r="A1909" s="13" t="s">
        <v>2086</v>
      </c>
    </row>
    <row r="1910" spans="1:1">
      <c r="A1910" s="13" t="s">
        <v>2087</v>
      </c>
    </row>
    <row r="1911" spans="1:1">
      <c r="A1911" s="13" t="s">
        <v>2088</v>
      </c>
    </row>
    <row r="1912" spans="1:1">
      <c r="A1912" s="13" t="s">
        <v>2089</v>
      </c>
    </row>
    <row r="1913" spans="1:1">
      <c r="A1913" s="13" t="s">
        <v>2090</v>
      </c>
    </row>
    <row r="1914" spans="1:1">
      <c r="A1914" s="13" t="s">
        <v>2091</v>
      </c>
    </row>
    <row r="1915" spans="1:1">
      <c r="A1915" s="13" t="s">
        <v>2092</v>
      </c>
    </row>
    <row r="1916" spans="1:1">
      <c r="A1916" s="13" t="s">
        <v>2093</v>
      </c>
    </row>
    <row r="1917" spans="1:1">
      <c r="A1917" s="13" t="s">
        <v>2094</v>
      </c>
    </row>
    <row r="1918" spans="1:1">
      <c r="A1918" s="13" t="s">
        <v>2095</v>
      </c>
    </row>
    <row r="1919" spans="1:1">
      <c r="A1919" s="13" t="s">
        <v>2096</v>
      </c>
    </row>
    <row r="1920" spans="1:1">
      <c r="A1920" s="13" t="s">
        <v>2097</v>
      </c>
    </row>
    <row r="1921" spans="1:1">
      <c r="A1921" s="13" t="s">
        <v>2098</v>
      </c>
    </row>
    <row r="1922" spans="1:1">
      <c r="A1922" s="13" t="s">
        <v>2099</v>
      </c>
    </row>
    <row r="1923" spans="1:1">
      <c r="A1923" s="13" t="s">
        <v>2100</v>
      </c>
    </row>
    <row r="1924" spans="1:1">
      <c r="A1924" s="13" t="s">
        <v>2101</v>
      </c>
    </row>
    <row r="1925" spans="1:1">
      <c r="A1925" s="13" t="s">
        <v>287</v>
      </c>
    </row>
    <row r="1926" spans="1:1">
      <c r="A1926" s="13" t="s">
        <v>2102</v>
      </c>
    </row>
    <row r="1927" spans="1:1">
      <c r="A1927" s="13" t="s">
        <v>2103</v>
      </c>
    </row>
    <row r="1928" spans="1:1">
      <c r="A1928" s="13" t="s">
        <v>2104</v>
      </c>
    </row>
    <row r="1929" spans="1:1">
      <c r="A1929" s="13" t="s">
        <v>2105</v>
      </c>
    </row>
    <row r="1930" spans="1:1">
      <c r="A1930" s="13" t="s">
        <v>2106</v>
      </c>
    </row>
    <row r="1931" spans="1:1">
      <c r="A1931" s="13" t="s">
        <v>2107</v>
      </c>
    </row>
    <row r="1932" spans="1:1">
      <c r="A1932" s="13" t="s">
        <v>2108</v>
      </c>
    </row>
    <row r="1933" spans="1:1">
      <c r="A1933" s="13" t="s">
        <v>2109</v>
      </c>
    </row>
    <row r="1934" spans="1:1">
      <c r="A1934" s="13" t="s">
        <v>2110</v>
      </c>
    </row>
    <row r="1935" spans="1:1">
      <c r="A1935" s="13" t="s">
        <v>2111</v>
      </c>
    </row>
    <row r="1936" spans="1:1">
      <c r="A1936" s="13" t="s">
        <v>2112</v>
      </c>
    </row>
    <row r="1937" spans="1:1">
      <c r="A1937" s="13" t="s">
        <v>2113</v>
      </c>
    </row>
    <row r="1938" spans="1:1">
      <c r="A1938" s="13" t="s">
        <v>2114</v>
      </c>
    </row>
    <row r="1939" spans="1:1">
      <c r="A1939" s="13" t="s">
        <v>2115</v>
      </c>
    </row>
    <row r="1940" spans="1:1">
      <c r="A1940" s="13" t="s">
        <v>2116</v>
      </c>
    </row>
    <row r="1941" spans="1:1">
      <c r="A1941" s="13" t="s">
        <v>2117</v>
      </c>
    </row>
    <row r="1942" spans="1:1">
      <c r="A1942" s="13" t="s">
        <v>2118</v>
      </c>
    </row>
    <row r="1943" spans="1:1">
      <c r="A1943" s="13" t="s">
        <v>2119</v>
      </c>
    </row>
    <row r="1944" spans="1:1">
      <c r="A1944" s="13" t="s">
        <v>2120</v>
      </c>
    </row>
    <row r="1945" spans="1:1">
      <c r="A1945" s="13" t="s">
        <v>2121</v>
      </c>
    </row>
    <row r="1946" spans="1:1">
      <c r="A1946" s="13" t="s">
        <v>2122</v>
      </c>
    </row>
    <row r="1947" spans="1:1">
      <c r="A1947" s="13" t="s">
        <v>2123</v>
      </c>
    </row>
    <row r="1948" spans="1:1">
      <c r="A1948" s="13" t="s">
        <v>2124</v>
      </c>
    </row>
    <row r="1949" spans="1:1">
      <c r="A1949" s="13" t="s">
        <v>2125</v>
      </c>
    </row>
    <row r="1950" spans="1:1">
      <c r="A1950" s="13" t="s">
        <v>2126</v>
      </c>
    </row>
    <row r="1951" spans="1:1">
      <c r="A1951" s="13" t="s">
        <v>2127</v>
      </c>
    </row>
    <row r="1952" spans="1:1">
      <c r="A1952" s="13" t="s">
        <v>2128</v>
      </c>
    </row>
    <row r="1953" spans="1:1">
      <c r="A1953" s="13" t="s">
        <v>2129</v>
      </c>
    </row>
    <row r="1954" spans="1:1">
      <c r="A1954" s="13" t="s">
        <v>2130</v>
      </c>
    </row>
    <row r="1955" spans="1:1">
      <c r="A1955" s="13" t="s">
        <v>2131</v>
      </c>
    </row>
    <row r="1956" spans="1:1">
      <c r="A1956" s="13" t="s">
        <v>2132</v>
      </c>
    </row>
    <row r="1957" spans="1:1">
      <c r="A1957" s="13" t="s">
        <v>2133</v>
      </c>
    </row>
    <row r="1958" spans="1:1">
      <c r="A1958" s="13" t="s">
        <v>2134</v>
      </c>
    </row>
    <row r="1959" spans="1:1">
      <c r="A1959" s="13" t="s">
        <v>2135</v>
      </c>
    </row>
    <row r="1960" spans="1:1">
      <c r="A1960" s="13" t="s">
        <v>2136</v>
      </c>
    </row>
    <row r="1961" spans="1:1">
      <c r="A1961" s="13" t="s">
        <v>2137</v>
      </c>
    </row>
    <row r="1962" spans="1:1">
      <c r="A1962" s="13" t="s">
        <v>2138</v>
      </c>
    </row>
    <row r="1963" spans="1:1">
      <c r="A1963" s="13" t="s">
        <v>2139</v>
      </c>
    </row>
    <row r="1964" spans="1:1">
      <c r="A1964" s="13" t="s">
        <v>2140</v>
      </c>
    </row>
    <row r="1965" spans="1:1">
      <c r="A1965" s="13" t="s">
        <v>2141</v>
      </c>
    </row>
    <row r="1966" spans="1:1">
      <c r="A1966" s="13" t="s">
        <v>2142</v>
      </c>
    </row>
    <row r="1967" spans="1:1">
      <c r="A1967" s="13" t="s">
        <v>2143</v>
      </c>
    </row>
    <row r="1968" spans="1:1">
      <c r="A1968" s="13" t="s">
        <v>2144</v>
      </c>
    </row>
    <row r="1969" spans="1:1">
      <c r="A1969" s="13" t="s">
        <v>2145</v>
      </c>
    </row>
    <row r="1970" spans="1:1">
      <c r="A1970" s="13" t="s">
        <v>2146</v>
      </c>
    </row>
    <row r="1971" spans="1:1">
      <c r="A1971" s="13" t="s">
        <v>2147</v>
      </c>
    </row>
    <row r="1972" spans="1:1">
      <c r="A1972" s="13" t="s">
        <v>2148</v>
      </c>
    </row>
    <row r="1973" spans="1:1">
      <c r="A1973" s="13" t="s">
        <v>2149</v>
      </c>
    </row>
    <row r="1974" spans="1:1">
      <c r="A1974" s="13" t="s">
        <v>2150</v>
      </c>
    </row>
    <row r="1975" spans="1:1">
      <c r="A1975" s="13" t="s">
        <v>2151</v>
      </c>
    </row>
    <row r="1976" spans="1:1">
      <c r="A1976" s="13" t="s">
        <v>2152</v>
      </c>
    </row>
    <row r="1977" spans="1:1">
      <c r="A1977" s="13" t="s">
        <v>2153</v>
      </c>
    </row>
    <row r="1978" spans="1:1">
      <c r="A1978" s="13" t="s">
        <v>2154</v>
      </c>
    </row>
    <row r="1979" spans="1:1">
      <c r="A1979" s="13" t="s">
        <v>2155</v>
      </c>
    </row>
    <row r="1980" spans="1:1">
      <c r="A1980" s="13" t="s">
        <v>2156</v>
      </c>
    </row>
    <row r="1981" spans="1:1">
      <c r="A1981" s="13" t="s">
        <v>2157</v>
      </c>
    </row>
    <row r="1982" spans="1:1">
      <c r="A1982" s="13" t="s">
        <v>2158</v>
      </c>
    </row>
    <row r="1983" spans="1:1">
      <c r="A1983" s="13" t="s">
        <v>2159</v>
      </c>
    </row>
    <row r="1984" spans="1:1">
      <c r="A1984" s="13" t="s">
        <v>2160</v>
      </c>
    </row>
    <row r="1985" spans="1:1">
      <c r="A1985" s="13" t="s">
        <v>2161</v>
      </c>
    </row>
    <row r="1986" spans="1:1">
      <c r="A1986" s="13" t="s">
        <v>2162</v>
      </c>
    </row>
    <row r="1987" spans="1:1">
      <c r="A1987" s="13" t="s">
        <v>2163</v>
      </c>
    </row>
    <row r="1988" spans="1:1">
      <c r="A1988" s="13" t="s">
        <v>2164</v>
      </c>
    </row>
    <row r="1989" spans="1:1">
      <c r="A1989" s="13" t="s">
        <v>2165</v>
      </c>
    </row>
    <row r="1990" spans="1:1">
      <c r="A1990" s="13" t="s">
        <v>2166</v>
      </c>
    </row>
    <row r="1991" spans="1:1">
      <c r="A1991" s="13" t="s">
        <v>2167</v>
      </c>
    </row>
    <row r="1992" spans="1:1">
      <c r="A1992" s="13" t="s">
        <v>2168</v>
      </c>
    </row>
    <row r="1993" spans="1:1">
      <c r="A1993" s="13" t="s">
        <v>2169</v>
      </c>
    </row>
    <row r="1994" spans="1:1">
      <c r="A1994" s="13" t="s">
        <v>2170</v>
      </c>
    </row>
    <row r="1995" spans="1:1">
      <c r="A1995" s="13" t="s">
        <v>2171</v>
      </c>
    </row>
    <row r="1996" spans="1:1">
      <c r="A1996" s="13" t="s">
        <v>2172</v>
      </c>
    </row>
    <row r="1997" spans="1:1">
      <c r="A1997" s="13" t="s">
        <v>2173</v>
      </c>
    </row>
    <row r="1998" spans="1:1">
      <c r="A1998" s="13" t="s">
        <v>2174</v>
      </c>
    </row>
    <row r="1999" spans="1:1">
      <c r="A1999" s="13" t="s">
        <v>2175</v>
      </c>
    </row>
    <row r="2000" spans="1:1">
      <c r="A2000" s="13" t="s">
        <v>2176</v>
      </c>
    </row>
    <row r="2001" spans="1:1">
      <c r="A2001" s="13" t="s">
        <v>2177</v>
      </c>
    </row>
    <row r="2002" spans="1:1">
      <c r="A2002" s="13" t="s">
        <v>2178</v>
      </c>
    </row>
    <row r="2003" spans="1:1">
      <c r="A2003" s="13" t="s">
        <v>2179</v>
      </c>
    </row>
    <row r="2004" spans="1:1">
      <c r="A2004" s="13" t="s">
        <v>2180</v>
      </c>
    </row>
    <row r="2005" spans="1:1">
      <c r="A2005" s="13" t="s">
        <v>2181</v>
      </c>
    </row>
    <row r="2006" spans="1:1">
      <c r="A2006" s="13" t="s">
        <v>2182</v>
      </c>
    </row>
    <row r="2007" spans="1:1">
      <c r="A2007" s="13" t="s">
        <v>2183</v>
      </c>
    </row>
    <row r="2008" spans="1:1">
      <c r="A2008" s="13" t="s">
        <v>2184</v>
      </c>
    </row>
    <row r="2009" spans="1:1">
      <c r="A2009" s="13" t="s">
        <v>2185</v>
      </c>
    </row>
    <row r="2010" spans="1:1">
      <c r="A2010" s="13" t="s">
        <v>2186</v>
      </c>
    </row>
    <row r="2011" spans="1:1">
      <c r="A2011" s="13" t="s">
        <v>2187</v>
      </c>
    </row>
    <row r="2012" spans="1:1">
      <c r="A2012" s="13" t="s">
        <v>2188</v>
      </c>
    </row>
    <row r="2013" spans="1:1">
      <c r="A2013" s="13" t="s">
        <v>2189</v>
      </c>
    </row>
    <row r="2014" spans="1:1">
      <c r="A2014" s="13" t="s">
        <v>2190</v>
      </c>
    </row>
    <row r="2015" spans="1:1">
      <c r="A2015" s="13" t="s">
        <v>2191</v>
      </c>
    </row>
    <row r="2016" spans="1:1">
      <c r="A2016" s="13" t="s">
        <v>2192</v>
      </c>
    </row>
    <row r="2017" spans="1:1">
      <c r="A2017" s="13" t="s">
        <v>2193</v>
      </c>
    </row>
    <row r="2018" spans="1:1">
      <c r="A2018" s="13" t="s">
        <v>2194</v>
      </c>
    </row>
    <row r="2019" spans="1:1">
      <c r="A2019" s="13" t="s">
        <v>2195</v>
      </c>
    </row>
    <row r="2020" spans="1:1">
      <c r="A2020" s="13" t="s">
        <v>2196</v>
      </c>
    </row>
    <row r="2021" spans="1:1">
      <c r="A2021" s="13" t="s">
        <v>2197</v>
      </c>
    </row>
    <row r="2022" spans="1:1">
      <c r="A2022" s="13" t="s">
        <v>2198</v>
      </c>
    </row>
    <row r="2023" spans="1:1">
      <c r="A2023" s="13" t="s">
        <v>2199</v>
      </c>
    </row>
    <row r="2024" spans="1:1">
      <c r="A2024" s="13" t="s">
        <v>2200</v>
      </c>
    </row>
    <row r="2025" spans="1:1">
      <c r="A2025" s="13" t="s">
        <v>2201</v>
      </c>
    </row>
    <row r="2026" spans="1:1">
      <c r="A2026" s="13" t="s">
        <v>2202</v>
      </c>
    </row>
    <row r="2027" spans="1:1">
      <c r="A2027" s="13" t="s">
        <v>2203</v>
      </c>
    </row>
    <row r="2028" spans="1:1">
      <c r="A2028" s="13" t="s">
        <v>2204</v>
      </c>
    </row>
    <row r="2029" spans="1:1">
      <c r="A2029" s="13" t="s">
        <v>2205</v>
      </c>
    </row>
    <row r="2030" spans="1:1">
      <c r="A2030" s="13" t="s">
        <v>2206</v>
      </c>
    </row>
    <row r="2031" spans="1:1">
      <c r="A2031" s="13" t="s">
        <v>2207</v>
      </c>
    </row>
    <row r="2032" spans="1:1">
      <c r="A2032" s="13" t="s">
        <v>2208</v>
      </c>
    </row>
    <row r="2033" spans="1:1">
      <c r="A2033" s="13" t="s">
        <v>2209</v>
      </c>
    </row>
    <row r="2034" spans="1:1">
      <c r="A2034" s="13" t="s">
        <v>2210</v>
      </c>
    </row>
    <row r="2035" spans="1:1">
      <c r="A2035" s="13" t="s">
        <v>2211</v>
      </c>
    </row>
    <row r="2036" spans="1:1">
      <c r="A2036" s="13" t="s">
        <v>2212</v>
      </c>
    </row>
    <row r="2037" spans="1:1">
      <c r="A2037" s="13" t="s">
        <v>2213</v>
      </c>
    </row>
    <row r="2038" spans="1:1">
      <c r="A2038" s="13" t="s">
        <v>2214</v>
      </c>
    </row>
    <row r="2039" spans="1:1">
      <c r="A2039" s="13" t="s">
        <v>2215</v>
      </c>
    </row>
    <row r="2040" spans="1:1">
      <c r="A2040" s="13" t="s">
        <v>2216</v>
      </c>
    </row>
    <row r="2041" spans="1:1">
      <c r="A2041" s="13" t="s">
        <v>2217</v>
      </c>
    </row>
    <row r="2042" spans="1:1">
      <c r="A2042" s="13" t="s">
        <v>2218</v>
      </c>
    </row>
    <row r="2043" spans="1:1">
      <c r="A2043" s="13" t="s">
        <v>2219</v>
      </c>
    </row>
    <row r="2044" spans="1:1">
      <c r="A2044" s="13" t="s">
        <v>2220</v>
      </c>
    </row>
    <row r="2045" spans="1:1">
      <c r="A2045" s="13" t="s">
        <v>2221</v>
      </c>
    </row>
    <row r="2046" spans="1:1">
      <c r="A2046" s="13" t="s">
        <v>2222</v>
      </c>
    </row>
    <row r="2047" spans="1:1">
      <c r="A2047" s="13" t="s">
        <v>2223</v>
      </c>
    </row>
    <row r="2048" spans="1:1">
      <c r="A2048" s="13" t="s">
        <v>2224</v>
      </c>
    </row>
    <row r="2049" spans="1:1">
      <c r="A2049" s="13" t="s">
        <v>2225</v>
      </c>
    </row>
    <row r="2050" spans="1:1">
      <c r="A2050" s="13" t="s">
        <v>2226</v>
      </c>
    </row>
    <row r="2051" spans="1:1">
      <c r="A2051" s="13" t="s">
        <v>2227</v>
      </c>
    </row>
    <row r="2052" spans="1:1">
      <c r="A2052" s="13" t="s">
        <v>2228</v>
      </c>
    </row>
    <row r="2053" spans="1:1">
      <c r="A2053" s="13" t="s">
        <v>2229</v>
      </c>
    </row>
    <row r="2054" spans="1:1">
      <c r="A2054" s="13" t="s">
        <v>2230</v>
      </c>
    </row>
    <row r="2055" spans="1:1">
      <c r="A2055" s="13" t="s">
        <v>2231</v>
      </c>
    </row>
    <row r="2056" spans="1:1">
      <c r="A2056" s="13" t="s">
        <v>2232</v>
      </c>
    </row>
    <row r="2057" spans="1:1">
      <c r="A2057" s="13" t="s">
        <v>2233</v>
      </c>
    </row>
    <row r="2058" spans="1:1">
      <c r="A2058" s="13" t="s">
        <v>2234</v>
      </c>
    </row>
    <row r="2059" spans="1:1">
      <c r="A2059" s="13" t="s">
        <v>2235</v>
      </c>
    </row>
    <row r="2060" spans="1:1">
      <c r="A2060" s="13" t="s">
        <v>2236</v>
      </c>
    </row>
    <row r="2061" spans="1:1">
      <c r="A2061" s="13" t="s">
        <v>2237</v>
      </c>
    </row>
    <row r="2062" spans="1:1">
      <c r="A2062" s="13" t="s">
        <v>2238</v>
      </c>
    </row>
    <row r="2063" spans="1:1">
      <c r="A2063" s="13" t="s">
        <v>2239</v>
      </c>
    </row>
    <row r="2064" spans="1:1">
      <c r="A2064" s="13" t="s">
        <v>2240</v>
      </c>
    </row>
    <row r="2065" spans="1:1">
      <c r="A2065" s="13" t="s">
        <v>2241</v>
      </c>
    </row>
    <row r="2066" spans="1:1">
      <c r="A2066" s="13" t="s">
        <v>2242</v>
      </c>
    </row>
    <row r="2067" spans="1:1">
      <c r="A2067" s="13" t="s">
        <v>2243</v>
      </c>
    </row>
    <row r="2068" spans="1:1">
      <c r="A2068" s="13" t="s">
        <v>2244</v>
      </c>
    </row>
    <row r="2069" spans="1:1">
      <c r="A2069" s="13" t="s">
        <v>2245</v>
      </c>
    </row>
    <row r="2070" spans="1:1">
      <c r="A2070" s="13" t="s">
        <v>2246</v>
      </c>
    </row>
    <row r="2071" spans="1:1">
      <c r="A2071" s="13" t="s">
        <v>2247</v>
      </c>
    </row>
    <row r="2072" spans="1:1">
      <c r="A2072" s="13" t="s">
        <v>2248</v>
      </c>
    </row>
    <row r="2073" spans="1:1">
      <c r="A2073" s="13" t="s">
        <v>2249</v>
      </c>
    </row>
    <row r="2074" spans="1:1">
      <c r="A2074" s="13" t="s">
        <v>2250</v>
      </c>
    </row>
    <row r="2075" spans="1:1">
      <c r="A2075" s="13" t="s">
        <v>2251</v>
      </c>
    </row>
    <row r="2076" spans="1:1">
      <c r="A2076" s="13" t="s">
        <v>2252</v>
      </c>
    </row>
    <row r="2077" spans="1:1">
      <c r="A2077" s="13" t="s">
        <v>2253</v>
      </c>
    </row>
    <row r="2078" spans="1:1">
      <c r="A2078" s="13" t="s">
        <v>2254</v>
      </c>
    </row>
    <row r="2079" spans="1:1">
      <c r="A2079" s="13" t="s">
        <v>2255</v>
      </c>
    </row>
    <row r="2080" spans="1:1">
      <c r="A2080" s="13" t="s">
        <v>2256</v>
      </c>
    </row>
    <row r="2081" spans="1:1">
      <c r="A2081" s="13" t="s">
        <v>2257</v>
      </c>
    </row>
    <row r="2082" spans="1:1">
      <c r="A2082" s="13" t="s">
        <v>2258</v>
      </c>
    </row>
    <row r="2083" spans="1:1">
      <c r="A2083" s="13" t="s">
        <v>2259</v>
      </c>
    </row>
    <row r="2084" spans="1:1">
      <c r="A2084" s="13" t="s">
        <v>2260</v>
      </c>
    </row>
    <row r="2085" spans="1:1">
      <c r="A2085" s="13" t="s">
        <v>2261</v>
      </c>
    </row>
    <row r="2086" spans="1:1">
      <c r="A2086" s="13" t="s">
        <v>2262</v>
      </c>
    </row>
    <row r="2087" spans="1:1">
      <c r="A2087" s="13" t="s">
        <v>2263</v>
      </c>
    </row>
    <row r="2088" spans="1:1">
      <c r="A2088" s="13" t="s">
        <v>2264</v>
      </c>
    </row>
    <row r="2089" spans="1:1">
      <c r="A2089" s="13" t="s">
        <v>2265</v>
      </c>
    </row>
    <row r="2090" spans="1:1">
      <c r="A2090" s="13" t="s">
        <v>2266</v>
      </c>
    </row>
    <row r="2091" spans="1:1">
      <c r="A2091" s="13" t="s">
        <v>2267</v>
      </c>
    </row>
    <row r="2092" spans="1:1">
      <c r="A2092" s="13" t="s">
        <v>2268</v>
      </c>
    </row>
    <row r="2093" spans="1:1">
      <c r="A2093" s="13" t="s">
        <v>2269</v>
      </c>
    </row>
    <row r="2094" spans="1:1">
      <c r="A2094" s="13" t="s">
        <v>2270</v>
      </c>
    </row>
    <row r="2095" spans="1:1">
      <c r="A2095" s="13" t="s">
        <v>2271</v>
      </c>
    </row>
    <row r="2096" spans="1:1">
      <c r="A2096" s="13" t="s">
        <v>2272</v>
      </c>
    </row>
    <row r="2097" spans="1:1">
      <c r="A2097" s="13" t="s">
        <v>2273</v>
      </c>
    </row>
    <row r="2098" spans="1:1">
      <c r="A2098" s="13" t="s">
        <v>2274</v>
      </c>
    </row>
    <row r="2099" spans="1:1">
      <c r="A2099" s="13" t="s">
        <v>2275</v>
      </c>
    </row>
    <row r="2100" spans="1:1">
      <c r="A2100" s="13" t="s">
        <v>2276</v>
      </c>
    </row>
    <row r="2101" spans="1:1">
      <c r="A2101" s="13" t="s">
        <v>2277</v>
      </c>
    </row>
    <row r="2102" spans="1:1">
      <c r="A2102" s="13" t="s">
        <v>2278</v>
      </c>
    </row>
    <row r="2103" spans="1:1">
      <c r="A2103" s="13" t="s">
        <v>2279</v>
      </c>
    </row>
    <row r="2104" spans="1:1">
      <c r="A2104" s="13" t="s">
        <v>2280</v>
      </c>
    </row>
    <row r="2105" spans="1:1">
      <c r="A2105" s="13" t="s">
        <v>2281</v>
      </c>
    </row>
    <row r="2106" spans="1:1">
      <c r="A2106" s="13" t="s">
        <v>2282</v>
      </c>
    </row>
    <row r="2107" spans="1:1">
      <c r="A2107" s="13" t="s">
        <v>2283</v>
      </c>
    </row>
    <row r="2108" spans="1:1">
      <c r="A2108" s="13" t="s">
        <v>2284</v>
      </c>
    </row>
    <row r="2109" spans="1:1">
      <c r="A2109" s="13" t="s">
        <v>2285</v>
      </c>
    </row>
    <row r="2110" spans="1:1">
      <c r="A2110" s="13" t="s">
        <v>2286</v>
      </c>
    </row>
    <row r="2111" spans="1:1">
      <c r="A2111" s="13" t="s">
        <v>2287</v>
      </c>
    </row>
    <row r="2112" spans="1:1">
      <c r="A2112" s="13" t="s">
        <v>2288</v>
      </c>
    </row>
    <row r="2113" spans="1:1">
      <c r="A2113" s="13" t="s">
        <v>2289</v>
      </c>
    </row>
    <row r="2114" spans="1:1">
      <c r="A2114" s="13" t="s">
        <v>2290</v>
      </c>
    </row>
    <row r="2115" spans="1:1">
      <c r="A2115" s="13" t="s">
        <v>2291</v>
      </c>
    </row>
    <row r="2116" spans="1:1">
      <c r="A2116" s="13" t="s">
        <v>2292</v>
      </c>
    </row>
    <row r="2117" spans="1:1">
      <c r="A2117" s="13" t="s">
        <v>2293</v>
      </c>
    </row>
    <row r="2118" spans="1:1">
      <c r="A2118" s="13" t="s">
        <v>2294</v>
      </c>
    </row>
    <row r="2119" spans="1:1">
      <c r="A2119" s="13" t="s">
        <v>2295</v>
      </c>
    </row>
    <row r="2120" spans="1:1">
      <c r="A2120" s="13" t="s">
        <v>2296</v>
      </c>
    </row>
    <row r="2121" spans="1:1">
      <c r="A2121" s="13" t="s">
        <v>2297</v>
      </c>
    </row>
    <row r="2122" spans="1:1">
      <c r="A2122" s="13" t="s">
        <v>2298</v>
      </c>
    </row>
    <row r="2123" spans="1:1">
      <c r="A2123" s="13" t="s">
        <v>2299</v>
      </c>
    </row>
    <row r="2124" spans="1:1">
      <c r="A2124" s="13" t="s">
        <v>2300</v>
      </c>
    </row>
    <row r="2125" spans="1:1">
      <c r="A2125" s="13" t="s">
        <v>2301</v>
      </c>
    </row>
    <row r="2126" spans="1:1">
      <c r="A2126" s="13" t="s">
        <v>2302</v>
      </c>
    </row>
    <row r="2127" spans="1:1">
      <c r="A2127" s="13" t="s">
        <v>2303</v>
      </c>
    </row>
    <row r="2128" spans="1:1">
      <c r="A2128" s="13" t="s">
        <v>2304</v>
      </c>
    </row>
    <row r="2129" spans="1:1">
      <c r="A2129" s="13" t="s">
        <v>2305</v>
      </c>
    </row>
    <row r="2130" spans="1:1">
      <c r="A2130" s="13" t="s">
        <v>2306</v>
      </c>
    </row>
    <row r="2131" spans="1:1">
      <c r="A2131" s="13" t="s">
        <v>2307</v>
      </c>
    </row>
    <row r="2132" spans="1:1">
      <c r="A2132" s="13" t="s">
        <v>2308</v>
      </c>
    </row>
    <row r="2133" spans="1:1">
      <c r="A2133" s="13" t="s">
        <v>2309</v>
      </c>
    </row>
    <row r="2134" spans="1:1">
      <c r="A2134" s="13" t="s">
        <v>2310</v>
      </c>
    </row>
    <row r="2135" spans="1:1">
      <c r="A2135" s="13" t="s">
        <v>2311</v>
      </c>
    </row>
    <row r="2136" spans="1:1">
      <c r="A2136" s="13" t="s">
        <v>2312</v>
      </c>
    </row>
    <row r="2137" spans="1:1">
      <c r="A2137" s="13" t="s">
        <v>2313</v>
      </c>
    </row>
    <row r="2138" spans="1:1">
      <c r="A2138" s="13" t="s">
        <v>2314</v>
      </c>
    </row>
    <row r="2139" spans="1:1">
      <c r="A2139" s="13" t="s">
        <v>2315</v>
      </c>
    </row>
    <row r="2140" spans="1:1">
      <c r="A2140" s="13" t="s">
        <v>2316</v>
      </c>
    </row>
    <row r="2141" spans="1:1">
      <c r="A2141" s="13" t="s">
        <v>2317</v>
      </c>
    </row>
    <row r="2142" spans="1:1">
      <c r="A2142" s="13" t="s">
        <v>2318</v>
      </c>
    </row>
    <row r="2143" spans="1:1">
      <c r="A2143" s="13" t="s">
        <v>2319</v>
      </c>
    </row>
    <row r="2144" spans="1:1">
      <c r="A2144" s="13" t="s">
        <v>2320</v>
      </c>
    </row>
    <row r="2145" spans="1:1">
      <c r="A2145" s="13" t="s">
        <v>2321</v>
      </c>
    </row>
    <row r="2146" spans="1:1">
      <c r="A2146" s="13" t="s">
        <v>2322</v>
      </c>
    </row>
    <row r="2147" spans="1:1">
      <c r="A2147" s="13" t="s">
        <v>2323</v>
      </c>
    </row>
    <row r="2148" spans="1:1">
      <c r="A2148" s="13" t="s">
        <v>2324</v>
      </c>
    </row>
    <row r="2149" spans="1:1">
      <c r="A2149" s="13" t="s">
        <v>2325</v>
      </c>
    </row>
    <row r="2150" spans="1:1">
      <c r="A2150" s="13" t="s">
        <v>2326</v>
      </c>
    </row>
    <row r="2151" spans="1:1">
      <c r="A2151" s="13" t="s">
        <v>2327</v>
      </c>
    </row>
    <row r="2152" spans="1:1">
      <c r="A2152" s="13" t="s">
        <v>2328</v>
      </c>
    </row>
    <row r="2153" spans="1:1">
      <c r="A2153" s="13" t="s">
        <v>2329</v>
      </c>
    </row>
    <row r="2154" spans="1:1">
      <c r="A2154" s="13" t="s">
        <v>2330</v>
      </c>
    </row>
    <row r="2155" spans="1:1">
      <c r="A2155" s="13" t="s">
        <v>2331</v>
      </c>
    </row>
    <row r="2156" spans="1:1">
      <c r="A2156" s="13" t="s">
        <v>2332</v>
      </c>
    </row>
    <row r="2157" spans="1:1">
      <c r="A2157" s="13" t="s">
        <v>2333</v>
      </c>
    </row>
    <row r="2158" spans="1:1">
      <c r="A2158" s="13" t="s">
        <v>2334</v>
      </c>
    </row>
    <row r="2159" spans="1:1">
      <c r="A2159" s="13" t="s">
        <v>2335</v>
      </c>
    </row>
    <row r="2160" spans="1:1">
      <c r="A2160" s="13" t="s">
        <v>2336</v>
      </c>
    </row>
    <row r="2161" spans="1:1">
      <c r="A2161" s="13" t="s">
        <v>2337</v>
      </c>
    </row>
    <row r="2162" spans="1:1">
      <c r="A2162" s="13" t="s">
        <v>2338</v>
      </c>
    </row>
    <row r="2163" spans="1:1">
      <c r="A2163" s="13" t="s">
        <v>2339</v>
      </c>
    </row>
    <row r="2164" spans="1:1">
      <c r="A2164" s="13" t="s">
        <v>2340</v>
      </c>
    </row>
    <row r="2165" spans="1:1">
      <c r="A2165" s="13" t="s">
        <v>2341</v>
      </c>
    </row>
    <row r="2166" spans="1:1">
      <c r="A2166" s="13" t="s">
        <v>2342</v>
      </c>
    </row>
    <row r="2167" spans="1:1">
      <c r="A2167" s="13" t="s">
        <v>2343</v>
      </c>
    </row>
    <row r="2168" spans="1:1">
      <c r="A2168" s="13" t="s">
        <v>2344</v>
      </c>
    </row>
    <row r="2169" spans="1:1">
      <c r="A2169" s="13" t="s">
        <v>2345</v>
      </c>
    </row>
    <row r="2170" spans="1:1">
      <c r="A2170" s="13" t="s">
        <v>2346</v>
      </c>
    </row>
    <row r="2171" spans="1:1">
      <c r="A2171" s="13" t="s">
        <v>2347</v>
      </c>
    </row>
    <row r="2172" spans="1:1">
      <c r="A2172" s="13" t="s">
        <v>2348</v>
      </c>
    </row>
    <row r="2173" spans="1:1">
      <c r="A2173" s="13" t="s">
        <v>2349</v>
      </c>
    </row>
    <row r="2174" spans="1:1">
      <c r="A2174" s="13" t="s">
        <v>2350</v>
      </c>
    </row>
    <row r="2175" spans="1:1">
      <c r="A2175" s="13" t="s">
        <v>2351</v>
      </c>
    </row>
    <row r="2176" spans="1:1">
      <c r="A2176" s="13" t="s">
        <v>2352</v>
      </c>
    </row>
    <row r="2177" spans="1:1">
      <c r="A2177" s="13" t="s">
        <v>2353</v>
      </c>
    </row>
    <row r="2178" spans="1:1">
      <c r="A2178" s="13" t="s">
        <v>2354</v>
      </c>
    </row>
    <row r="2179" spans="1:1">
      <c r="A2179" s="13" t="s">
        <v>2355</v>
      </c>
    </row>
    <row r="2180" spans="1:1">
      <c r="A2180" s="13" t="s">
        <v>2356</v>
      </c>
    </row>
    <row r="2181" spans="1:1">
      <c r="A2181" s="13" t="s">
        <v>2357</v>
      </c>
    </row>
    <row r="2182" spans="1:1">
      <c r="A2182" s="13" t="s">
        <v>2358</v>
      </c>
    </row>
    <row r="2183" spans="1:1">
      <c r="A2183" s="13" t="s">
        <v>2359</v>
      </c>
    </row>
    <row r="2184" spans="1:1">
      <c r="A2184" s="13" t="s">
        <v>2360</v>
      </c>
    </row>
    <row r="2185" spans="1:1">
      <c r="A2185" s="13" t="s">
        <v>2361</v>
      </c>
    </row>
    <row r="2186" spans="1:1">
      <c r="A2186" s="13" t="s">
        <v>2362</v>
      </c>
    </row>
    <row r="2187" spans="1:1">
      <c r="A2187" s="13" t="s">
        <v>2363</v>
      </c>
    </row>
    <row r="2188" spans="1:1">
      <c r="A2188" s="13" t="s">
        <v>2364</v>
      </c>
    </row>
    <row r="2189" spans="1:1">
      <c r="A2189" s="13" t="s">
        <v>2365</v>
      </c>
    </row>
    <row r="2190" spans="1:1">
      <c r="A2190" s="13" t="s">
        <v>2366</v>
      </c>
    </row>
    <row r="2191" spans="1:1">
      <c r="A2191" s="13" t="s">
        <v>2367</v>
      </c>
    </row>
    <row r="2192" spans="1:1">
      <c r="A2192" s="13" t="s">
        <v>2368</v>
      </c>
    </row>
    <row r="2193" spans="1:1">
      <c r="A2193" s="13" t="s">
        <v>2369</v>
      </c>
    </row>
    <row r="2194" spans="1:1">
      <c r="A2194" s="13" t="s">
        <v>2370</v>
      </c>
    </row>
    <row r="2195" spans="1:1">
      <c r="A2195" s="13" t="s">
        <v>2371</v>
      </c>
    </row>
    <row r="2196" spans="1:1">
      <c r="A2196" s="13" t="s">
        <v>2372</v>
      </c>
    </row>
    <row r="2197" spans="1:1">
      <c r="A2197" s="13" t="s">
        <v>2373</v>
      </c>
    </row>
    <row r="2198" spans="1:1">
      <c r="A2198" s="13" t="s">
        <v>2374</v>
      </c>
    </row>
    <row r="2199" spans="1:1">
      <c r="A2199" s="13" t="s">
        <v>2375</v>
      </c>
    </row>
    <row r="2200" spans="1:1">
      <c r="A2200" s="13" t="s">
        <v>2376</v>
      </c>
    </row>
    <row r="2201" spans="1:1">
      <c r="A2201" s="13" t="s">
        <v>2377</v>
      </c>
    </row>
    <row r="2202" spans="1:1">
      <c r="A2202" s="13" t="s">
        <v>2378</v>
      </c>
    </row>
    <row r="2203" spans="1:1">
      <c r="A2203" s="13" t="s">
        <v>2379</v>
      </c>
    </row>
    <row r="2204" spans="1:1">
      <c r="A2204" s="13" t="s">
        <v>2380</v>
      </c>
    </row>
    <row r="2205" spans="1:1">
      <c r="A2205" s="13" t="s">
        <v>2381</v>
      </c>
    </row>
    <row r="2206" spans="1:1">
      <c r="A2206" s="13" t="s">
        <v>2382</v>
      </c>
    </row>
    <row r="2207" spans="1:1">
      <c r="A2207" s="13" t="s">
        <v>2383</v>
      </c>
    </row>
    <row r="2208" spans="1:1">
      <c r="A2208" s="13" t="s">
        <v>2384</v>
      </c>
    </row>
    <row r="2209" spans="1:1">
      <c r="A2209" s="13" t="s">
        <v>2385</v>
      </c>
    </row>
    <row r="2210" spans="1:1">
      <c r="A2210" s="13" t="s">
        <v>2386</v>
      </c>
    </row>
    <row r="2211" spans="1:1">
      <c r="A2211" s="13" t="s">
        <v>2387</v>
      </c>
    </row>
    <row r="2212" spans="1:1">
      <c r="A2212" s="13" t="s">
        <v>2388</v>
      </c>
    </row>
    <row r="2213" spans="1:1">
      <c r="A2213" s="13" t="s">
        <v>2389</v>
      </c>
    </row>
    <row r="2214" spans="1:1">
      <c r="A2214" s="13" t="s">
        <v>2390</v>
      </c>
    </row>
    <row r="2215" spans="1:1">
      <c r="A2215" s="13" t="s">
        <v>2391</v>
      </c>
    </row>
    <row r="2216" spans="1:1">
      <c r="A2216" s="13" t="s">
        <v>2392</v>
      </c>
    </row>
    <row r="2217" spans="1:1">
      <c r="A2217" s="13" t="s">
        <v>2393</v>
      </c>
    </row>
    <row r="2218" spans="1:1">
      <c r="A2218" s="13" t="s">
        <v>2394</v>
      </c>
    </row>
    <row r="2219" spans="1:1">
      <c r="A2219" s="13" t="s">
        <v>2395</v>
      </c>
    </row>
    <row r="2220" spans="1:1">
      <c r="A2220" s="13" t="s">
        <v>2396</v>
      </c>
    </row>
    <row r="2221" spans="1:1">
      <c r="A2221" s="13" t="s">
        <v>2397</v>
      </c>
    </row>
    <row r="2222" spans="1:1">
      <c r="A2222" s="13" t="s">
        <v>2398</v>
      </c>
    </row>
    <row r="2223" spans="1:1">
      <c r="A2223" s="13" t="s">
        <v>2399</v>
      </c>
    </row>
    <row r="2224" spans="1:1">
      <c r="A2224" s="13" t="s">
        <v>2400</v>
      </c>
    </row>
    <row r="2225" spans="1:1">
      <c r="A2225" s="13" t="s">
        <v>2401</v>
      </c>
    </row>
    <row r="2226" spans="1:1">
      <c r="A2226" s="13" t="s">
        <v>2402</v>
      </c>
    </row>
    <row r="2227" spans="1:1">
      <c r="A2227" s="13" t="s">
        <v>2403</v>
      </c>
    </row>
    <row r="2228" spans="1:1">
      <c r="A2228" s="13" t="s">
        <v>2404</v>
      </c>
    </row>
    <row r="2229" spans="1:1">
      <c r="A2229" s="13" t="s">
        <v>2405</v>
      </c>
    </row>
    <row r="2230" spans="1:1">
      <c r="A2230" s="13" t="s">
        <v>2406</v>
      </c>
    </row>
    <row r="2231" spans="1:1">
      <c r="A2231" s="13" t="s">
        <v>2407</v>
      </c>
    </row>
    <row r="2232" spans="1:1">
      <c r="A2232" s="13" t="s">
        <v>2408</v>
      </c>
    </row>
    <row r="2233" spans="1:1">
      <c r="A2233" s="13" t="s">
        <v>2409</v>
      </c>
    </row>
    <row r="2234" spans="1:1">
      <c r="A2234" s="13" t="s">
        <v>2410</v>
      </c>
    </row>
    <row r="2235" spans="1:1">
      <c r="A2235" s="13" t="s">
        <v>2411</v>
      </c>
    </row>
    <row r="2236" spans="1:1">
      <c r="A2236" s="13" t="s">
        <v>2412</v>
      </c>
    </row>
    <row r="2237" spans="1:1">
      <c r="A2237" s="13" t="s">
        <v>2413</v>
      </c>
    </row>
    <row r="2238" spans="1:1">
      <c r="A2238" s="13" t="s">
        <v>2414</v>
      </c>
    </row>
    <row r="2239" spans="1:1">
      <c r="A2239" s="13" t="s">
        <v>2415</v>
      </c>
    </row>
    <row r="2240" spans="1:1">
      <c r="A2240" s="13" t="s">
        <v>2416</v>
      </c>
    </row>
    <row r="2241" spans="1:1">
      <c r="A2241" s="13" t="s">
        <v>2417</v>
      </c>
    </row>
    <row r="2242" spans="1:1">
      <c r="A2242" s="13" t="s">
        <v>2418</v>
      </c>
    </row>
    <row r="2243" spans="1:1">
      <c r="A2243" s="13" t="s">
        <v>2419</v>
      </c>
    </row>
    <row r="2244" spans="1:1">
      <c r="A2244" s="13" t="s">
        <v>2420</v>
      </c>
    </row>
    <row r="2245" spans="1:1">
      <c r="A2245" s="13" t="s">
        <v>2421</v>
      </c>
    </row>
    <row r="2246" spans="1:1">
      <c r="A2246" s="13" t="s">
        <v>2422</v>
      </c>
    </row>
    <row r="2247" spans="1:1">
      <c r="A2247" s="13" t="s">
        <v>2423</v>
      </c>
    </row>
    <row r="2248" spans="1:1">
      <c r="A2248" s="13" t="s">
        <v>2424</v>
      </c>
    </row>
    <row r="2249" spans="1:1">
      <c r="A2249" s="13" t="s">
        <v>2425</v>
      </c>
    </row>
    <row r="2250" spans="1:1">
      <c r="A2250" s="13" t="s">
        <v>2426</v>
      </c>
    </row>
    <row r="2251" spans="1:1">
      <c r="A2251" s="13" t="s">
        <v>2427</v>
      </c>
    </row>
    <row r="2252" spans="1:1">
      <c r="A2252" s="13" t="s">
        <v>2428</v>
      </c>
    </row>
    <row r="2253" spans="1:1">
      <c r="A2253" s="13" t="s">
        <v>2429</v>
      </c>
    </row>
    <row r="2254" spans="1:1">
      <c r="A2254" s="13" t="s">
        <v>2430</v>
      </c>
    </row>
    <row r="2255" spans="1:1">
      <c r="A2255" s="13" t="s">
        <v>2431</v>
      </c>
    </row>
    <row r="2256" spans="1:1">
      <c r="A2256" s="13" t="s">
        <v>2432</v>
      </c>
    </row>
    <row r="2257" spans="1:1">
      <c r="A2257" s="13" t="s">
        <v>2433</v>
      </c>
    </row>
    <row r="2258" spans="1:1">
      <c r="A2258" s="13" t="s">
        <v>2434</v>
      </c>
    </row>
    <row r="2259" spans="1:1">
      <c r="A2259" s="13" t="s">
        <v>2435</v>
      </c>
    </row>
    <row r="2260" spans="1:1">
      <c r="A2260" s="13" t="s">
        <v>2436</v>
      </c>
    </row>
    <row r="2261" spans="1:1">
      <c r="A2261" s="13" t="s">
        <v>2437</v>
      </c>
    </row>
    <row r="2262" spans="1:1">
      <c r="A2262" s="13" t="s">
        <v>2438</v>
      </c>
    </row>
    <row r="2263" spans="1:1">
      <c r="A2263" s="13" t="s">
        <v>2439</v>
      </c>
    </row>
    <row r="2264" spans="1:1">
      <c r="A2264" s="13" t="s">
        <v>2440</v>
      </c>
    </row>
    <row r="2265" spans="1:1">
      <c r="A2265" s="13" t="s">
        <v>2441</v>
      </c>
    </row>
    <row r="2266" spans="1:1">
      <c r="A2266" s="13" t="s">
        <v>2442</v>
      </c>
    </row>
    <row r="2267" spans="1:1">
      <c r="A2267" s="13" t="s">
        <v>2443</v>
      </c>
    </row>
    <row r="2268" spans="1:1">
      <c r="A2268" s="13" t="s">
        <v>2444</v>
      </c>
    </row>
    <row r="2269" spans="1:1">
      <c r="A2269" s="13" t="s">
        <v>2445</v>
      </c>
    </row>
    <row r="2270" spans="1:1">
      <c r="A2270" s="13" t="s">
        <v>2446</v>
      </c>
    </row>
    <row r="2271" spans="1:1">
      <c r="A2271" s="13" t="s">
        <v>2447</v>
      </c>
    </row>
    <row r="2272" spans="1:1">
      <c r="A2272" s="13" t="s">
        <v>2448</v>
      </c>
    </row>
    <row r="2273" spans="1:1">
      <c r="A2273" s="13" t="s">
        <v>2449</v>
      </c>
    </row>
    <row r="2274" spans="1:1">
      <c r="A2274" s="13" t="s">
        <v>2450</v>
      </c>
    </row>
    <row r="2275" spans="1:1">
      <c r="A2275" s="13" t="s">
        <v>2451</v>
      </c>
    </row>
    <row r="2276" spans="1:1">
      <c r="A2276" s="13" t="s">
        <v>2452</v>
      </c>
    </row>
    <row r="2277" spans="1:1">
      <c r="A2277" s="13" t="s">
        <v>2453</v>
      </c>
    </row>
    <row r="2278" spans="1:1">
      <c r="A2278" s="13" t="s">
        <v>2454</v>
      </c>
    </row>
    <row r="2279" spans="1:1">
      <c r="A2279" s="13" t="s">
        <v>2455</v>
      </c>
    </row>
    <row r="2280" spans="1:1">
      <c r="A2280" s="13" t="s">
        <v>2456</v>
      </c>
    </row>
    <row r="2281" spans="1:1">
      <c r="A2281" s="13" t="s">
        <v>2457</v>
      </c>
    </row>
    <row r="2282" spans="1:1">
      <c r="A2282" s="13" t="s">
        <v>2458</v>
      </c>
    </row>
    <row r="2283" spans="1:1">
      <c r="A2283" s="13" t="s">
        <v>2459</v>
      </c>
    </row>
    <row r="2284" spans="1:1">
      <c r="A2284" s="13" t="s">
        <v>2460</v>
      </c>
    </row>
    <row r="2285" spans="1:1">
      <c r="A2285" s="13" t="s">
        <v>2461</v>
      </c>
    </row>
    <row r="2286" spans="1:1">
      <c r="A2286" s="13" t="s">
        <v>2462</v>
      </c>
    </row>
    <row r="2287" spans="1:1">
      <c r="A2287" s="13" t="s">
        <v>2463</v>
      </c>
    </row>
    <row r="2288" spans="1:1">
      <c r="A2288" s="13" t="s">
        <v>2464</v>
      </c>
    </row>
    <row r="2289" spans="1:1">
      <c r="A2289" s="13" t="s">
        <v>2465</v>
      </c>
    </row>
    <row r="2290" spans="1:1">
      <c r="A2290" s="13" t="s">
        <v>2466</v>
      </c>
    </row>
    <row r="2291" spans="1:1">
      <c r="A2291" s="13" t="s">
        <v>2467</v>
      </c>
    </row>
    <row r="2292" spans="1:1">
      <c r="A2292" s="13" t="s">
        <v>2468</v>
      </c>
    </row>
    <row r="2293" spans="1:1">
      <c r="A2293" s="13" t="s">
        <v>2469</v>
      </c>
    </row>
    <row r="2294" spans="1:1">
      <c r="A2294" s="13" t="s">
        <v>2470</v>
      </c>
    </row>
    <row r="2295" spans="1:1">
      <c r="A2295" s="13" t="s">
        <v>2471</v>
      </c>
    </row>
    <row r="2296" spans="1:1">
      <c r="A2296" s="13" t="s">
        <v>2472</v>
      </c>
    </row>
    <row r="2297" spans="1:1">
      <c r="A2297" s="13" t="s">
        <v>2473</v>
      </c>
    </row>
    <row r="2298" spans="1:1">
      <c r="A2298" s="13" t="s">
        <v>2474</v>
      </c>
    </row>
    <row r="2299" spans="1:1">
      <c r="A2299" s="13" t="s">
        <v>2475</v>
      </c>
    </row>
    <row r="2300" spans="1:1">
      <c r="A2300" s="13" t="s">
        <v>2476</v>
      </c>
    </row>
    <row r="2301" spans="1:1">
      <c r="A2301" s="13" t="s">
        <v>2477</v>
      </c>
    </row>
    <row r="2302" spans="1:1">
      <c r="A2302" s="13" t="s">
        <v>2478</v>
      </c>
    </row>
    <row r="2303" spans="1:1">
      <c r="A2303" s="13" t="s">
        <v>2479</v>
      </c>
    </row>
    <row r="2304" spans="1:1">
      <c r="A2304" s="13" t="s">
        <v>2480</v>
      </c>
    </row>
    <row r="2305" spans="1:1">
      <c r="A2305" s="13" t="s">
        <v>2481</v>
      </c>
    </row>
    <row r="2306" spans="1:1">
      <c r="A2306" s="13" t="s">
        <v>2482</v>
      </c>
    </row>
    <row r="2307" spans="1:1">
      <c r="A2307" s="13" t="s">
        <v>2483</v>
      </c>
    </row>
    <row r="2308" spans="1:1">
      <c r="A2308" s="13" t="s">
        <v>2484</v>
      </c>
    </row>
    <row r="2309" spans="1:1">
      <c r="A2309" s="13" t="s">
        <v>2485</v>
      </c>
    </row>
    <row r="2310" spans="1:1">
      <c r="A2310" s="13" t="s">
        <v>2486</v>
      </c>
    </row>
    <row r="2311" spans="1:1">
      <c r="A2311" s="13" t="s">
        <v>2487</v>
      </c>
    </row>
    <row r="2312" spans="1:1">
      <c r="A2312" s="13" t="s">
        <v>2488</v>
      </c>
    </row>
    <row r="2313" spans="1:1">
      <c r="A2313" s="13" t="s">
        <v>2489</v>
      </c>
    </row>
    <row r="2314" spans="1:1">
      <c r="A2314" s="13" t="s">
        <v>2490</v>
      </c>
    </row>
    <row r="2315" spans="1:1">
      <c r="A2315" s="13" t="s">
        <v>2491</v>
      </c>
    </row>
    <row r="2316" spans="1:1">
      <c r="A2316" s="13" t="s">
        <v>2492</v>
      </c>
    </row>
    <row r="2317" spans="1:1">
      <c r="A2317" s="13" t="s">
        <v>2493</v>
      </c>
    </row>
    <row r="2318" spans="1:1">
      <c r="A2318" s="13" t="s">
        <v>2494</v>
      </c>
    </row>
    <row r="2319" spans="1:1">
      <c r="A2319" s="13" t="s">
        <v>2495</v>
      </c>
    </row>
    <row r="2320" spans="1:1">
      <c r="A2320" s="13" t="s">
        <v>2496</v>
      </c>
    </row>
    <row r="2321" spans="1:1">
      <c r="A2321" s="13" t="s">
        <v>2497</v>
      </c>
    </row>
    <row r="2322" spans="1:1">
      <c r="A2322" s="13" t="s">
        <v>2498</v>
      </c>
    </row>
    <row r="2323" spans="1:1">
      <c r="A2323" s="13" t="s">
        <v>2499</v>
      </c>
    </row>
    <row r="2324" spans="1:1">
      <c r="A2324" s="13" t="s">
        <v>2500</v>
      </c>
    </row>
    <row r="2325" spans="1:1">
      <c r="A2325" s="13" t="s">
        <v>2501</v>
      </c>
    </row>
    <row r="2326" spans="1:1">
      <c r="A2326" s="13" t="s">
        <v>2502</v>
      </c>
    </row>
    <row r="2327" spans="1:1">
      <c r="A2327" s="13" t="s">
        <v>2503</v>
      </c>
    </row>
    <row r="2328" spans="1:1">
      <c r="A2328" s="13" t="s">
        <v>2504</v>
      </c>
    </row>
    <row r="2329" spans="1:1">
      <c r="A2329" s="13" t="s">
        <v>2505</v>
      </c>
    </row>
    <row r="2330" spans="1:1">
      <c r="A2330" s="13" t="s">
        <v>2506</v>
      </c>
    </row>
    <row r="2331" spans="1:1">
      <c r="A2331" s="13" t="s">
        <v>2507</v>
      </c>
    </row>
    <row r="2332" spans="1:1">
      <c r="A2332" s="13" t="s">
        <v>2508</v>
      </c>
    </row>
    <row r="2333" spans="1:1">
      <c r="A2333" s="13" t="s">
        <v>2509</v>
      </c>
    </row>
    <row r="2334" spans="1:1">
      <c r="A2334" s="13" t="s">
        <v>2510</v>
      </c>
    </row>
    <row r="2335" spans="1:1">
      <c r="A2335" s="13" t="s">
        <v>2511</v>
      </c>
    </row>
    <row r="2336" spans="1:1">
      <c r="A2336" s="13" t="s">
        <v>2512</v>
      </c>
    </row>
    <row r="2337" spans="1:1">
      <c r="A2337" s="13" t="s">
        <v>2513</v>
      </c>
    </row>
    <row r="2338" spans="1:1">
      <c r="A2338" s="13" t="s">
        <v>2514</v>
      </c>
    </row>
    <row r="2339" spans="1:1">
      <c r="A2339" s="13" t="s">
        <v>2515</v>
      </c>
    </row>
    <row r="2340" spans="1:1">
      <c r="A2340" s="13" t="s">
        <v>2516</v>
      </c>
    </row>
    <row r="2341" spans="1:1">
      <c r="A2341" s="13" t="s">
        <v>2517</v>
      </c>
    </row>
    <row r="2342" spans="1:1">
      <c r="A2342" s="13" t="s">
        <v>2518</v>
      </c>
    </row>
    <row r="2343" spans="1:1">
      <c r="A2343" s="13" t="s">
        <v>2519</v>
      </c>
    </row>
    <row r="2344" spans="1:1">
      <c r="A2344" s="13" t="s">
        <v>2520</v>
      </c>
    </row>
    <row r="2345" spans="1:1">
      <c r="A2345" s="13" t="s">
        <v>2521</v>
      </c>
    </row>
    <row r="2346" spans="1:1">
      <c r="A2346" s="13" t="s">
        <v>2522</v>
      </c>
    </row>
    <row r="2347" spans="1:1">
      <c r="A2347" s="13" t="s">
        <v>2523</v>
      </c>
    </row>
    <row r="2348" spans="1:1">
      <c r="A2348" s="13" t="s">
        <v>2524</v>
      </c>
    </row>
    <row r="2349" spans="1:1">
      <c r="A2349" s="13" t="s">
        <v>2525</v>
      </c>
    </row>
    <row r="2350" spans="1:1">
      <c r="A2350" s="13" t="s">
        <v>2526</v>
      </c>
    </row>
    <row r="2351" spans="1:1">
      <c r="A2351" s="13" t="s">
        <v>2527</v>
      </c>
    </row>
    <row r="2352" spans="1:1">
      <c r="A2352" s="13" t="s">
        <v>2528</v>
      </c>
    </row>
    <row r="2353" spans="1:1">
      <c r="A2353" s="13" t="s">
        <v>2529</v>
      </c>
    </row>
    <row r="2354" spans="1:1">
      <c r="A2354" s="13" t="s">
        <v>2530</v>
      </c>
    </row>
    <row r="2355" spans="1:1">
      <c r="A2355" s="13" t="s">
        <v>2531</v>
      </c>
    </row>
    <row r="2356" spans="1:1">
      <c r="A2356" s="13" t="s">
        <v>2532</v>
      </c>
    </row>
    <row r="2357" spans="1:1">
      <c r="A2357" s="13" t="s">
        <v>2533</v>
      </c>
    </row>
    <row r="2358" spans="1:1">
      <c r="A2358" s="13" t="s">
        <v>2534</v>
      </c>
    </row>
    <row r="2359" spans="1:1">
      <c r="A2359" s="13" t="s">
        <v>2535</v>
      </c>
    </row>
    <row r="2360" spans="1:1">
      <c r="A2360" s="13" t="s">
        <v>2536</v>
      </c>
    </row>
    <row r="2361" spans="1:1">
      <c r="A2361" s="13" t="s">
        <v>2537</v>
      </c>
    </row>
    <row r="2362" spans="1:1">
      <c r="A2362" s="13" t="s">
        <v>2538</v>
      </c>
    </row>
    <row r="2363" spans="1:1">
      <c r="A2363" s="13" t="s">
        <v>2539</v>
      </c>
    </row>
    <row r="2364" spans="1:1">
      <c r="A2364" s="13" t="s">
        <v>2540</v>
      </c>
    </row>
    <row r="2365" spans="1:1">
      <c r="A2365" s="13" t="s">
        <v>2541</v>
      </c>
    </row>
    <row r="2366" spans="1:1">
      <c r="A2366" s="13" t="s">
        <v>2542</v>
      </c>
    </row>
    <row r="2367" spans="1:1">
      <c r="A2367" s="13" t="s">
        <v>2543</v>
      </c>
    </row>
    <row r="2368" spans="1:1">
      <c r="A2368" s="13" t="s">
        <v>2544</v>
      </c>
    </row>
    <row r="2369" spans="1:1">
      <c r="A2369" s="13" t="s">
        <v>2545</v>
      </c>
    </row>
    <row r="2370" spans="1:1">
      <c r="A2370" s="13" t="s">
        <v>2546</v>
      </c>
    </row>
    <row r="2371" spans="1:1">
      <c r="A2371" s="13" t="s">
        <v>2547</v>
      </c>
    </row>
    <row r="2372" spans="1:1">
      <c r="A2372" s="13" t="s">
        <v>2548</v>
      </c>
    </row>
    <row r="2373" spans="1:1">
      <c r="A2373" s="13" t="s">
        <v>2549</v>
      </c>
    </row>
    <row r="2374" spans="1:1">
      <c r="A2374" s="13" t="s">
        <v>2550</v>
      </c>
    </row>
    <row r="2375" spans="1:1">
      <c r="A2375" s="13" t="s">
        <v>2551</v>
      </c>
    </row>
    <row r="2376" spans="1:1">
      <c r="A2376" s="13" t="s">
        <v>2552</v>
      </c>
    </row>
    <row r="2377" spans="1:1">
      <c r="A2377" s="13" t="s">
        <v>2553</v>
      </c>
    </row>
    <row r="2378" spans="1:1">
      <c r="A2378" s="13" t="s">
        <v>2554</v>
      </c>
    </row>
    <row r="2379" spans="1:1">
      <c r="A2379" s="13" t="s">
        <v>2555</v>
      </c>
    </row>
    <row r="2380" spans="1:1">
      <c r="A2380" s="13" t="s">
        <v>2556</v>
      </c>
    </row>
    <row r="2381" spans="1:1">
      <c r="A2381" s="13" t="s">
        <v>2557</v>
      </c>
    </row>
    <row r="2382" spans="1:1">
      <c r="A2382" s="13" t="s">
        <v>2558</v>
      </c>
    </row>
    <row r="2383" spans="1:1">
      <c r="A2383" s="13" t="s">
        <v>2559</v>
      </c>
    </row>
    <row r="2384" spans="1:1">
      <c r="A2384" s="13" t="s">
        <v>2560</v>
      </c>
    </row>
    <row r="2385" spans="1:1">
      <c r="A2385" s="13" t="s">
        <v>2561</v>
      </c>
    </row>
    <row r="2386" spans="1:1">
      <c r="A2386" s="13" t="s">
        <v>2562</v>
      </c>
    </row>
    <row r="2387" spans="1:1">
      <c r="A2387" s="13" t="s">
        <v>2563</v>
      </c>
    </row>
    <row r="2388" spans="1:1">
      <c r="A2388" s="13" t="s">
        <v>2564</v>
      </c>
    </row>
    <row r="2389" spans="1:1">
      <c r="A2389" s="13" t="s">
        <v>2565</v>
      </c>
    </row>
    <row r="2390" spans="1:1">
      <c r="A2390" s="13" t="s">
        <v>2566</v>
      </c>
    </row>
    <row r="2391" spans="1:1">
      <c r="A2391" s="13" t="s">
        <v>2567</v>
      </c>
    </row>
    <row r="2392" spans="1:1">
      <c r="A2392" s="13" t="s">
        <v>2568</v>
      </c>
    </row>
    <row r="2393" spans="1:1">
      <c r="A2393" s="13" t="s">
        <v>2569</v>
      </c>
    </row>
    <row r="2394" spans="1:1">
      <c r="A2394" s="13" t="s">
        <v>2570</v>
      </c>
    </row>
    <row r="2395" spans="1:1">
      <c r="A2395" s="13" t="s">
        <v>2571</v>
      </c>
    </row>
    <row r="2396" spans="1:1">
      <c r="A2396" s="13" t="s">
        <v>2572</v>
      </c>
    </row>
    <row r="2397" spans="1:1">
      <c r="A2397" s="13" t="s">
        <v>2573</v>
      </c>
    </row>
    <row r="2398" spans="1:1">
      <c r="A2398" s="13" t="s">
        <v>2574</v>
      </c>
    </row>
    <row r="2399" spans="1:1">
      <c r="A2399" s="13" t="s">
        <v>2575</v>
      </c>
    </row>
    <row r="2400" spans="1:1">
      <c r="A2400" s="13" t="s">
        <v>2576</v>
      </c>
    </row>
    <row r="2401" spans="1:1">
      <c r="A2401" s="13" t="s">
        <v>2577</v>
      </c>
    </row>
    <row r="2402" spans="1:1">
      <c r="A2402" s="13" t="s">
        <v>2578</v>
      </c>
    </row>
    <row r="2403" spans="1:1">
      <c r="A2403" s="13" t="s">
        <v>2579</v>
      </c>
    </row>
    <row r="2404" spans="1:1">
      <c r="A2404" s="13" t="s">
        <v>2580</v>
      </c>
    </row>
    <row r="2405" spans="1:1">
      <c r="A2405" s="13" t="s">
        <v>2581</v>
      </c>
    </row>
    <row r="2406" spans="1:1">
      <c r="A2406" s="13" t="s">
        <v>2582</v>
      </c>
    </row>
    <row r="2407" spans="1:1">
      <c r="A2407" s="13" t="s">
        <v>2583</v>
      </c>
    </row>
    <row r="2408" spans="1:1">
      <c r="A2408" s="13" t="s">
        <v>2584</v>
      </c>
    </row>
    <row r="2409" spans="1:1">
      <c r="A2409" s="13" t="s">
        <v>2585</v>
      </c>
    </row>
    <row r="2410" spans="1:1">
      <c r="A2410" s="13" t="s">
        <v>2586</v>
      </c>
    </row>
    <row r="2411" spans="1:1">
      <c r="A2411" s="13" t="s">
        <v>2587</v>
      </c>
    </row>
    <row r="2412" spans="1:1">
      <c r="A2412" s="13" t="s">
        <v>2588</v>
      </c>
    </row>
    <row r="2413" spans="1:1">
      <c r="A2413" s="13" t="s">
        <v>2589</v>
      </c>
    </row>
    <row r="2414" spans="1:1">
      <c r="A2414" s="13" t="s">
        <v>2590</v>
      </c>
    </row>
    <row r="2415" spans="1:1">
      <c r="A2415" s="13" t="s">
        <v>2591</v>
      </c>
    </row>
    <row r="2416" spans="1:1">
      <c r="A2416" s="13" t="s">
        <v>2592</v>
      </c>
    </row>
    <row r="2417" spans="1:1">
      <c r="A2417" s="13" t="s">
        <v>2593</v>
      </c>
    </row>
    <row r="2418" spans="1:1">
      <c r="A2418" s="13" t="s">
        <v>2594</v>
      </c>
    </row>
    <row r="2419" spans="1:1">
      <c r="A2419" s="13" t="s">
        <v>2595</v>
      </c>
    </row>
    <row r="2420" spans="1:1">
      <c r="A2420" s="13" t="s">
        <v>2596</v>
      </c>
    </row>
    <row r="2421" spans="1:1">
      <c r="A2421" s="13" t="s">
        <v>2597</v>
      </c>
    </row>
    <row r="2422" spans="1:1">
      <c r="A2422" s="13" t="s">
        <v>2598</v>
      </c>
    </row>
    <row r="2423" spans="1:1">
      <c r="A2423" s="13" t="s">
        <v>2599</v>
      </c>
    </row>
    <row r="2424" spans="1:1">
      <c r="A2424" s="13" t="s">
        <v>2600</v>
      </c>
    </row>
    <row r="2425" spans="1:1">
      <c r="A2425" s="13" t="s">
        <v>2601</v>
      </c>
    </row>
    <row r="2426" spans="1:1">
      <c r="A2426" s="13" t="s">
        <v>2602</v>
      </c>
    </row>
    <row r="2427" spans="1:1">
      <c r="A2427" s="13" t="s">
        <v>2603</v>
      </c>
    </row>
    <row r="2428" spans="1:1">
      <c r="A2428" s="13" t="s">
        <v>2604</v>
      </c>
    </row>
    <row r="2429" spans="1:1">
      <c r="A2429" s="13" t="s">
        <v>2605</v>
      </c>
    </row>
    <row r="2430" spans="1:1">
      <c r="A2430" s="13" t="s">
        <v>2606</v>
      </c>
    </row>
    <row r="2431" spans="1:1">
      <c r="A2431" s="13" t="s">
        <v>2607</v>
      </c>
    </row>
    <row r="2432" spans="1:1">
      <c r="A2432" s="13" t="s">
        <v>2608</v>
      </c>
    </row>
    <row r="2433" spans="1:1">
      <c r="A2433" s="13" t="s">
        <v>2609</v>
      </c>
    </row>
    <row r="2434" spans="1:1">
      <c r="A2434" s="13" t="s">
        <v>2610</v>
      </c>
    </row>
    <row r="2435" spans="1:1">
      <c r="A2435" s="13" t="s">
        <v>2611</v>
      </c>
    </row>
    <row r="2436" spans="1:1">
      <c r="A2436" s="13" t="s">
        <v>2612</v>
      </c>
    </row>
    <row r="2437" spans="1:1">
      <c r="A2437" s="13" t="s">
        <v>2613</v>
      </c>
    </row>
    <row r="2438" spans="1:1">
      <c r="A2438" s="13" t="s">
        <v>2614</v>
      </c>
    </row>
    <row r="2439" spans="1:1">
      <c r="A2439" s="13" t="s">
        <v>2615</v>
      </c>
    </row>
    <row r="2440" spans="1:1">
      <c r="A2440" s="13" t="s">
        <v>2616</v>
      </c>
    </row>
    <row r="2441" spans="1:1">
      <c r="A2441" s="13" t="s">
        <v>2617</v>
      </c>
    </row>
    <row r="2442" spans="1:1">
      <c r="A2442" s="13" t="s">
        <v>526</v>
      </c>
    </row>
    <row r="2443" spans="1:1">
      <c r="A2443" s="13" t="s">
        <v>2618</v>
      </c>
    </row>
    <row r="2444" spans="1:1">
      <c r="A2444" s="13" t="s">
        <v>2619</v>
      </c>
    </row>
    <row r="2445" spans="1:1">
      <c r="A2445" s="13" t="s">
        <v>2620</v>
      </c>
    </row>
    <row r="2446" spans="1:1">
      <c r="A2446" s="13" t="s">
        <v>2621</v>
      </c>
    </row>
    <row r="2447" spans="1:1">
      <c r="A2447" s="13" t="s">
        <v>2622</v>
      </c>
    </row>
    <row r="2448" spans="1:1">
      <c r="A2448" s="13" t="s">
        <v>2623</v>
      </c>
    </row>
    <row r="2449" spans="1:1">
      <c r="A2449" s="13" t="s">
        <v>2624</v>
      </c>
    </row>
    <row r="2450" spans="1:1">
      <c r="A2450" s="13" t="s">
        <v>526</v>
      </c>
    </row>
    <row r="2451" spans="1:1">
      <c r="A2451" s="13" t="s">
        <v>2625</v>
      </c>
    </row>
    <row r="2452" spans="1:1">
      <c r="A2452" s="13" t="s">
        <v>2626</v>
      </c>
    </row>
    <row r="2453" spans="1:1">
      <c r="A2453" s="13" t="s">
        <v>2627</v>
      </c>
    </row>
    <row r="2454" spans="1:1">
      <c r="A2454" s="13" t="s">
        <v>2628</v>
      </c>
    </row>
    <row r="2455" spans="1:1">
      <c r="A2455" s="13" t="s">
        <v>2629</v>
      </c>
    </row>
    <row r="2456" spans="1:1">
      <c r="A2456" s="13" t="s">
        <v>2630</v>
      </c>
    </row>
    <row r="2457" spans="1:1">
      <c r="A2457" s="13" t="s">
        <v>2631</v>
      </c>
    </row>
    <row r="2458" spans="1:1">
      <c r="A2458" s="13" t="s">
        <v>2632</v>
      </c>
    </row>
    <row r="2459" spans="1:1">
      <c r="A2459" s="13" t="s">
        <v>2633</v>
      </c>
    </row>
    <row r="2460" spans="1:1">
      <c r="A2460" s="13" t="s">
        <v>2634</v>
      </c>
    </row>
    <row r="2461" spans="1:1">
      <c r="A2461" s="13" t="s">
        <v>2635</v>
      </c>
    </row>
    <row r="2462" spans="1:1">
      <c r="A2462" s="13" t="s">
        <v>2636</v>
      </c>
    </row>
    <row r="2463" spans="1:1">
      <c r="A2463" s="13" t="s">
        <v>2637</v>
      </c>
    </row>
    <row r="2464" spans="1:1">
      <c r="A2464" s="13" t="s">
        <v>2638</v>
      </c>
    </row>
    <row r="2465" spans="1:1">
      <c r="A2465" s="13" t="s">
        <v>2639</v>
      </c>
    </row>
    <row r="2466" spans="1:1">
      <c r="A2466" s="13" t="s">
        <v>2640</v>
      </c>
    </row>
    <row r="2467" spans="1:1">
      <c r="A2467" s="13" t="s">
        <v>2641</v>
      </c>
    </row>
    <row r="2468" spans="1:1">
      <c r="A2468" s="13" t="s">
        <v>2642</v>
      </c>
    </row>
    <row r="2469" spans="1:1">
      <c r="A2469" s="13" t="s">
        <v>2643</v>
      </c>
    </row>
    <row r="2470" spans="1:1">
      <c r="A2470" s="13" t="s">
        <v>2644</v>
      </c>
    </row>
    <row r="2471" spans="1:1">
      <c r="A2471" s="13" t="s">
        <v>2645</v>
      </c>
    </row>
    <row r="2472" spans="1:1">
      <c r="A2472" s="13" t="s">
        <v>2646</v>
      </c>
    </row>
    <row r="2473" spans="1:1">
      <c r="A2473" s="13" t="s">
        <v>2647</v>
      </c>
    </row>
    <row r="2474" spans="1:1">
      <c r="A2474" s="13" t="s">
        <v>2648</v>
      </c>
    </row>
    <row r="2475" spans="1:1">
      <c r="A2475" s="13" t="s">
        <v>2649</v>
      </c>
    </row>
    <row r="2476" spans="1:1">
      <c r="A2476" s="13" t="s">
        <v>2650</v>
      </c>
    </row>
    <row r="2477" spans="1:1">
      <c r="A2477" s="13" t="s">
        <v>2651</v>
      </c>
    </row>
    <row r="2478" spans="1:1">
      <c r="A2478" s="13" t="s">
        <v>2652</v>
      </c>
    </row>
    <row r="2479" spans="1:1">
      <c r="A2479" s="13" t="s">
        <v>2653</v>
      </c>
    </row>
    <row r="2480" spans="1:1">
      <c r="A2480" s="13" t="s">
        <v>2654</v>
      </c>
    </row>
    <row r="2481" spans="1:1">
      <c r="A2481" s="13" t="s">
        <v>2655</v>
      </c>
    </row>
    <row r="2482" spans="1:1">
      <c r="A2482" s="13" t="s">
        <v>2656</v>
      </c>
    </row>
    <row r="2483" spans="1:1">
      <c r="A2483" s="13" t="s">
        <v>2657</v>
      </c>
    </row>
    <row r="2484" spans="1:1">
      <c r="A2484" s="13" t="s">
        <v>2658</v>
      </c>
    </row>
    <row r="2485" spans="1:1">
      <c r="A2485" s="13" t="s">
        <v>2659</v>
      </c>
    </row>
    <row r="2486" spans="1:1">
      <c r="A2486" s="13" t="s">
        <v>2660</v>
      </c>
    </row>
    <row r="2487" spans="1:1">
      <c r="A2487" s="13" t="s">
        <v>2661</v>
      </c>
    </row>
    <row r="2488" spans="1:1">
      <c r="A2488" s="13" t="s">
        <v>2662</v>
      </c>
    </row>
    <row r="2489" spans="1:1">
      <c r="A2489" s="13" t="s">
        <v>2663</v>
      </c>
    </row>
    <row r="2490" spans="1:1">
      <c r="A2490" s="13" t="s">
        <v>2664</v>
      </c>
    </row>
    <row r="2491" spans="1:1">
      <c r="A2491" s="13" t="s">
        <v>2665</v>
      </c>
    </row>
    <row r="2492" spans="1:1">
      <c r="A2492" s="13" t="s">
        <v>2666</v>
      </c>
    </row>
    <row r="2493" spans="1:1">
      <c r="A2493" s="13" t="s">
        <v>2667</v>
      </c>
    </row>
    <row r="2494" spans="1:1">
      <c r="A2494" s="13" t="s">
        <v>2668</v>
      </c>
    </row>
    <row r="2495" spans="1:1">
      <c r="A2495" s="13" t="s">
        <v>2669</v>
      </c>
    </row>
    <row r="2496" spans="1:1">
      <c r="A2496" s="13" t="s">
        <v>2670</v>
      </c>
    </row>
    <row r="2497" spans="1:1">
      <c r="A2497" s="13" t="s">
        <v>2671</v>
      </c>
    </row>
    <row r="2498" spans="1:1">
      <c r="A2498" s="13" t="s">
        <v>2672</v>
      </c>
    </row>
    <row r="2499" spans="1:1">
      <c r="A2499" s="13" t="s">
        <v>2673</v>
      </c>
    </row>
    <row r="2500" spans="1:1">
      <c r="A2500" s="13" t="s">
        <v>2674</v>
      </c>
    </row>
    <row r="2501" spans="1:1">
      <c r="A2501" s="13" t="s">
        <v>2675</v>
      </c>
    </row>
    <row r="2502" spans="1:1">
      <c r="A2502" s="13" t="s">
        <v>2676</v>
      </c>
    </row>
    <row r="2503" spans="1:1">
      <c r="A2503" s="13" t="s">
        <v>2677</v>
      </c>
    </row>
    <row r="2504" spans="1:1">
      <c r="A2504" s="13" t="s">
        <v>2678</v>
      </c>
    </row>
    <row r="2505" spans="1:1">
      <c r="A2505" s="13" t="s">
        <v>2679</v>
      </c>
    </row>
    <row r="2506" spans="1:1">
      <c r="A2506" s="13" t="s">
        <v>2680</v>
      </c>
    </row>
    <row r="2507" spans="1:1">
      <c r="A2507" s="13" t="s">
        <v>2681</v>
      </c>
    </row>
    <row r="2508" spans="1:1">
      <c r="A2508" s="13" t="s">
        <v>2682</v>
      </c>
    </row>
    <row r="2509" spans="1:1">
      <c r="A2509" s="13" t="s">
        <v>2683</v>
      </c>
    </row>
    <row r="2510" spans="1:1">
      <c r="A2510" s="13" t="s">
        <v>2684</v>
      </c>
    </row>
    <row r="2511" spans="1:1">
      <c r="A2511" s="13" t="s">
        <v>2685</v>
      </c>
    </row>
    <row r="2512" spans="1:1">
      <c r="A2512" s="13" t="s">
        <v>2686</v>
      </c>
    </row>
    <row r="2513" spans="1:1">
      <c r="A2513" s="13" t="s">
        <v>2687</v>
      </c>
    </row>
    <row r="2514" spans="1:1">
      <c r="A2514" s="13" t="s">
        <v>2688</v>
      </c>
    </row>
    <row r="2515" spans="1:1">
      <c r="A2515" s="13" t="s">
        <v>2689</v>
      </c>
    </row>
    <row r="2516" spans="1:1">
      <c r="A2516" s="13" t="s">
        <v>2690</v>
      </c>
    </row>
    <row r="2517" spans="1:1">
      <c r="A2517" s="13" t="s">
        <v>2691</v>
      </c>
    </row>
    <row r="2518" spans="1:1">
      <c r="A2518" s="13" t="s">
        <v>2692</v>
      </c>
    </row>
    <row r="2519" spans="1:1">
      <c r="A2519" s="13" t="s">
        <v>2693</v>
      </c>
    </row>
    <row r="2520" spans="1:1">
      <c r="A2520" s="13" t="s">
        <v>2694</v>
      </c>
    </row>
    <row r="2521" spans="1:1">
      <c r="A2521" s="13" t="s">
        <v>2695</v>
      </c>
    </row>
    <row r="2522" spans="1:1">
      <c r="A2522" s="13" t="s">
        <v>2696</v>
      </c>
    </row>
    <row r="2523" spans="1:1">
      <c r="A2523" s="13" t="s">
        <v>2697</v>
      </c>
    </row>
    <row r="2524" spans="1:1">
      <c r="A2524" s="13" t="s">
        <v>2698</v>
      </c>
    </row>
    <row r="2525" spans="1:1">
      <c r="A2525" s="13" t="s">
        <v>2699</v>
      </c>
    </row>
    <row r="2526" spans="1:1">
      <c r="A2526" s="13" t="s">
        <v>2700</v>
      </c>
    </row>
    <row r="2527" spans="1:1">
      <c r="A2527" s="13" t="s">
        <v>2701</v>
      </c>
    </row>
    <row r="2528" spans="1:1">
      <c r="A2528" s="13" t="s">
        <v>2702</v>
      </c>
    </row>
    <row r="2529" spans="1:1">
      <c r="A2529" s="13" t="s">
        <v>2703</v>
      </c>
    </row>
    <row r="2530" spans="1:1">
      <c r="A2530" s="13" t="s">
        <v>2704</v>
      </c>
    </row>
    <row r="2531" spans="1:1">
      <c r="A2531" s="13" t="s">
        <v>2705</v>
      </c>
    </row>
    <row r="2532" spans="1:1">
      <c r="A2532" s="13" t="s">
        <v>2706</v>
      </c>
    </row>
    <row r="2533" spans="1:1">
      <c r="A2533" s="13" t="s">
        <v>2707</v>
      </c>
    </row>
    <row r="2534" spans="1:1">
      <c r="A2534" s="13" t="s">
        <v>2708</v>
      </c>
    </row>
    <row r="2535" spans="1:1">
      <c r="A2535" s="13" t="s">
        <v>2709</v>
      </c>
    </row>
    <row r="2536" spans="1:1">
      <c r="A2536" s="13" t="s">
        <v>2710</v>
      </c>
    </row>
    <row r="2537" spans="1:1">
      <c r="A2537" s="13" t="s">
        <v>2711</v>
      </c>
    </row>
    <row r="2538" spans="1:1">
      <c r="A2538" s="13" t="s">
        <v>2712</v>
      </c>
    </row>
    <row r="2539" spans="1:1">
      <c r="A2539" s="13" t="s">
        <v>2713</v>
      </c>
    </row>
    <row r="2540" spans="1:1">
      <c r="A2540" s="13" t="s">
        <v>2714</v>
      </c>
    </row>
    <row r="2541" spans="1:1">
      <c r="A2541" s="13" t="s">
        <v>2715</v>
      </c>
    </row>
    <row r="2542" spans="1:1">
      <c r="A2542" s="13" t="s">
        <v>2716</v>
      </c>
    </row>
    <row r="2543" spans="1:1">
      <c r="A2543" s="13" t="s">
        <v>2717</v>
      </c>
    </row>
    <row r="2544" spans="1:1">
      <c r="A2544" s="13" t="s">
        <v>2718</v>
      </c>
    </row>
    <row r="2545" spans="1:1">
      <c r="A2545" s="13" t="s">
        <v>2719</v>
      </c>
    </row>
    <row r="2546" spans="1:1">
      <c r="A2546" s="13" t="s">
        <v>2720</v>
      </c>
    </row>
    <row r="2547" spans="1:1">
      <c r="A2547" s="13" t="s">
        <v>2721</v>
      </c>
    </row>
    <row r="2548" spans="1:1">
      <c r="A2548" s="13" t="s">
        <v>2722</v>
      </c>
    </row>
    <row r="2549" spans="1:1">
      <c r="A2549" s="13" t="s">
        <v>2723</v>
      </c>
    </row>
    <row r="2550" spans="1:1">
      <c r="A2550" s="13" t="s">
        <v>2724</v>
      </c>
    </row>
    <row r="2551" spans="1:1">
      <c r="A2551" s="13" t="s">
        <v>2725</v>
      </c>
    </row>
    <row r="2552" spans="1:1">
      <c r="A2552" s="13" t="s">
        <v>2726</v>
      </c>
    </row>
    <row r="2553" spans="1:1">
      <c r="A2553" s="13" t="s">
        <v>2727</v>
      </c>
    </row>
    <row r="2554" spans="1:1">
      <c r="A2554" s="13" t="s">
        <v>2728</v>
      </c>
    </row>
    <row r="2555" spans="1:1">
      <c r="A2555" s="13" t="s">
        <v>2729</v>
      </c>
    </row>
    <row r="2556" spans="1:1">
      <c r="A2556" s="13" t="s">
        <v>2730</v>
      </c>
    </row>
    <row r="2557" spans="1:1">
      <c r="A2557" s="13" t="s">
        <v>2731</v>
      </c>
    </row>
    <row r="2558" spans="1:1">
      <c r="A2558" s="13" t="s">
        <v>2732</v>
      </c>
    </row>
    <row r="2559" spans="1:1">
      <c r="A2559" s="13" t="s">
        <v>2733</v>
      </c>
    </row>
    <row r="2560" spans="1:1">
      <c r="A2560" s="13" t="s">
        <v>2734</v>
      </c>
    </row>
    <row r="2561" spans="1:1">
      <c r="A2561" s="13" t="s">
        <v>2735</v>
      </c>
    </row>
    <row r="2562" spans="1:1">
      <c r="A2562" s="13" t="s">
        <v>526</v>
      </c>
    </row>
    <row r="2563" spans="1:1">
      <c r="A2563" s="13" t="s">
        <v>526</v>
      </c>
    </row>
    <row r="2564" spans="1:1">
      <c r="A2564" s="13" t="s">
        <v>526</v>
      </c>
    </row>
    <row r="2565" spans="1:1">
      <c r="A2565" s="13" t="s">
        <v>526</v>
      </c>
    </row>
    <row r="2566" spans="1:1">
      <c r="A2566" s="13" t="s">
        <v>526</v>
      </c>
    </row>
    <row r="2567" spans="1:1">
      <c r="A2567" s="13" t="s">
        <v>526</v>
      </c>
    </row>
    <row r="2568" spans="1:1">
      <c r="A2568" s="13" t="s">
        <v>526</v>
      </c>
    </row>
    <row r="2569" spans="1:1">
      <c r="A2569" s="13" t="s">
        <v>526</v>
      </c>
    </row>
    <row r="2570" spans="1:1">
      <c r="A2570" s="13" t="s">
        <v>2736</v>
      </c>
    </row>
    <row r="2571" spans="1:1">
      <c r="A2571" s="13" t="s">
        <v>2737</v>
      </c>
    </row>
    <row r="2572" spans="1:1">
      <c r="A2572" s="13" t="s">
        <v>2738</v>
      </c>
    </row>
    <row r="2573" spans="1:1">
      <c r="A2573" s="13" t="s">
        <v>2739</v>
      </c>
    </row>
    <row r="2574" spans="1:1">
      <c r="A2574" s="13" t="s">
        <v>2740</v>
      </c>
    </row>
    <row r="2575" spans="1:1">
      <c r="A2575" s="13" t="s">
        <v>526</v>
      </c>
    </row>
    <row r="2576" spans="1:1">
      <c r="A2576" s="13" t="s">
        <v>2741</v>
      </c>
    </row>
    <row r="2577" spans="1:1">
      <c r="A2577" s="13" t="s">
        <v>2742</v>
      </c>
    </row>
    <row r="2578" spans="1:1">
      <c r="A2578" s="13" t="s">
        <v>2743</v>
      </c>
    </row>
    <row r="2579" spans="1:1">
      <c r="A2579" s="13" t="s">
        <v>2744</v>
      </c>
    </row>
    <row r="2580" spans="1:1">
      <c r="A2580" s="13" t="s">
        <v>2745</v>
      </c>
    </row>
    <row r="2581" spans="1:1">
      <c r="A2581" s="13" t="s">
        <v>2746</v>
      </c>
    </row>
    <row r="2582" spans="1:1">
      <c r="A2582" s="13" t="s">
        <v>2747</v>
      </c>
    </row>
    <row r="2583" spans="1:1">
      <c r="A2583" s="13" t="s">
        <v>2748</v>
      </c>
    </row>
    <row r="2584" spans="1:1">
      <c r="A2584" s="13" t="s">
        <v>2749</v>
      </c>
    </row>
    <row r="2585" spans="1:1">
      <c r="A2585" s="13" t="s">
        <v>2750</v>
      </c>
    </row>
    <row r="2586" spans="1:1">
      <c r="A2586" s="13" t="s">
        <v>2751</v>
      </c>
    </row>
    <row r="2587" spans="1:1">
      <c r="A2587" s="13" t="s">
        <v>2752</v>
      </c>
    </row>
    <row r="2588" spans="1:1">
      <c r="A2588" s="13" t="s">
        <v>2753</v>
      </c>
    </row>
    <row r="2589" spans="1:1">
      <c r="A2589" s="13" t="s">
        <v>2754</v>
      </c>
    </row>
    <row r="2590" spans="1:1">
      <c r="A2590" s="13" t="s">
        <v>2755</v>
      </c>
    </row>
    <row r="2591" spans="1:1">
      <c r="A2591" s="13" t="s">
        <v>2756</v>
      </c>
    </row>
    <row r="2592" spans="1:1">
      <c r="A2592" s="13" t="s">
        <v>2757</v>
      </c>
    </row>
    <row r="2593" spans="1:1">
      <c r="A2593" s="13" t="s">
        <v>281</v>
      </c>
    </row>
    <row r="2594" spans="1:1">
      <c r="A2594" s="13" t="s">
        <v>2758</v>
      </c>
    </row>
    <row r="2595" spans="1:1">
      <c r="A2595" s="13" t="s">
        <v>2759</v>
      </c>
    </row>
    <row r="2596" spans="1:1">
      <c r="A2596" s="13" t="s">
        <v>2760</v>
      </c>
    </row>
    <row r="2597" spans="1:1">
      <c r="A2597" s="13" t="s">
        <v>2761</v>
      </c>
    </row>
    <row r="2598" spans="1:1">
      <c r="A2598" s="13" t="s">
        <v>2762</v>
      </c>
    </row>
    <row r="2599" spans="1:1">
      <c r="A2599" s="13" t="s">
        <v>2763</v>
      </c>
    </row>
    <row r="2600" spans="1:1">
      <c r="A2600" s="13" t="s">
        <v>2764</v>
      </c>
    </row>
    <row r="2601" spans="1:1">
      <c r="A2601" s="13" t="s">
        <v>2765</v>
      </c>
    </row>
    <row r="2602" spans="1:1">
      <c r="A2602" s="13" t="s">
        <v>2766</v>
      </c>
    </row>
    <row r="2603" spans="1:1">
      <c r="A2603" s="13" t="s">
        <v>2767</v>
      </c>
    </row>
    <row r="2604" spans="1:1">
      <c r="A2604" s="13" t="s">
        <v>2768</v>
      </c>
    </row>
    <row r="2605" spans="1:1">
      <c r="A2605" s="13" t="s">
        <v>2769</v>
      </c>
    </row>
    <row r="2606" spans="1:1">
      <c r="A2606" s="13" t="s">
        <v>2770</v>
      </c>
    </row>
    <row r="2607" spans="1:1">
      <c r="A2607" s="13" t="s">
        <v>2771</v>
      </c>
    </row>
    <row r="2608" spans="1:1">
      <c r="A2608" s="13" t="s">
        <v>2772</v>
      </c>
    </row>
    <row r="2609" spans="1:1">
      <c r="A2609" s="13" t="s">
        <v>2773</v>
      </c>
    </row>
    <row r="2610" spans="1:1">
      <c r="A2610" s="13" t="s">
        <v>2774</v>
      </c>
    </row>
    <row r="2611" spans="1:1">
      <c r="A2611" s="13" t="s">
        <v>2775</v>
      </c>
    </row>
    <row r="2612" spans="1:1">
      <c r="A2612" s="13" t="s">
        <v>2776</v>
      </c>
    </row>
    <row r="2613" spans="1:1">
      <c r="A2613" s="13" t="s">
        <v>2777</v>
      </c>
    </row>
    <row r="2614" spans="1:1">
      <c r="A2614" s="13" t="s">
        <v>2778</v>
      </c>
    </row>
    <row r="2615" spans="1:1">
      <c r="A2615" s="13" t="s">
        <v>2779</v>
      </c>
    </row>
    <row r="2616" spans="1:1">
      <c r="A2616" s="13" t="s">
        <v>2780</v>
      </c>
    </row>
    <row r="2617" spans="1:1">
      <c r="A2617" s="13" t="s">
        <v>2781</v>
      </c>
    </row>
    <row r="2618" spans="1:1">
      <c r="A2618" s="13" t="s">
        <v>2782</v>
      </c>
    </row>
    <row r="2619" spans="1:1">
      <c r="A2619" s="13" t="s">
        <v>2783</v>
      </c>
    </row>
    <row r="2620" spans="1:1">
      <c r="A2620" s="13" t="s">
        <v>2784</v>
      </c>
    </row>
    <row r="2621" spans="1:1">
      <c r="A2621" s="13" t="s">
        <v>2785</v>
      </c>
    </row>
    <row r="2622" spans="1:1">
      <c r="A2622" s="13" t="s">
        <v>284</v>
      </c>
    </row>
    <row r="2623" spans="1:1">
      <c r="A2623" s="13" t="s">
        <v>2786</v>
      </c>
    </row>
    <row r="2624" spans="1:1">
      <c r="A2624" s="13" t="s">
        <v>2787</v>
      </c>
    </row>
    <row r="2625" spans="1:1">
      <c r="A2625" s="13" t="s">
        <v>2788</v>
      </c>
    </row>
    <row r="2626" spans="1:1">
      <c r="A2626" s="13" t="s">
        <v>2789</v>
      </c>
    </row>
    <row r="2627" spans="1:1">
      <c r="A2627" s="13" t="s">
        <v>2790</v>
      </c>
    </row>
    <row r="2628" spans="1:1">
      <c r="A2628" s="13" t="s">
        <v>2791</v>
      </c>
    </row>
    <row r="2629" spans="1:1">
      <c r="A2629" s="13" t="s">
        <v>2792</v>
      </c>
    </row>
    <row r="2630" spans="1:1">
      <c r="A2630" s="13" t="s">
        <v>2793</v>
      </c>
    </row>
    <row r="2631" spans="1:1">
      <c r="A2631" s="13" t="s">
        <v>2794</v>
      </c>
    </row>
    <row r="2632" spans="1:1">
      <c r="A2632" s="13" t="s">
        <v>2795</v>
      </c>
    </row>
    <row r="2633" spans="1:1">
      <c r="A2633" s="13" t="s">
        <v>2796</v>
      </c>
    </row>
    <row r="2634" spans="1:1">
      <c r="A2634" s="13" t="s">
        <v>2797</v>
      </c>
    </row>
    <row r="2635" spans="1:1">
      <c r="A2635" s="13" t="s">
        <v>2798</v>
      </c>
    </row>
    <row r="2636" spans="1:1">
      <c r="A2636" s="13" t="s">
        <v>2799</v>
      </c>
    </row>
    <row r="2637" spans="1:1">
      <c r="A2637" s="13" t="s">
        <v>2800</v>
      </c>
    </row>
    <row r="2638" spans="1:1">
      <c r="A2638" s="13" t="s">
        <v>2801</v>
      </c>
    </row>
    <row r="2639" spans="1:1">
      <c r="A2639" s="13" t="s">
        <v>2802</v>
      </c>
    </row>
    <row r="2640" spans="1:1">
      <c r="A2640" s="13" t="s">
        <v>2803</v>
      </c>
    </row>
    <row r="2641" spans="1:1">
      <c r="A2641" s="13" t="s">
        <v>2804</v>
      </c>
    </row>
    <row r="2642" spans="1:1">
      <c r="A2642" s="13" t="s">
        <v>2805</v>
      </c>
    </row>
    <row r="2643" spans="1:1">
      <c r="A2643" s="13" t="s">
        <v>2806</v>
      </c>
    </row>
    <row r="2644" spans="1:1">
      <c r="A2644" s="13" t="s">
        <v>2807</v>
      </c>
    </row>
    <row r="2645" spans="1:1">
      <c r="A2645" s="13" t="s">
        <v>2808</v>
      </c>
    </row>
    <row r="2646" spans="1:1">
      <c r="A2646" s="13" t="s">
        <v>2809</v>
      </c>
    </row>
    <row r="2647" spans="1:1">
      <c r="A2647" s="13" t="s">
        <v>2810</v>
      </c>
    </row>
    <row r="2648" spans="1:1">
      <c r="A2648" s="13" t="s">
        <v>2811</v>
      </c>
    </row>
    <row r="2649" spans="1:1">
      <c r="A2649" s="13" t="s">
        <v>2812</v>
      </c>
    </row>
    <row r="2650" spans="1:1">
      <c r="A2650" s="13" t="s">
        <v>2813</v>
      </c>
    </row>
    <row r="2651" spans="1:1">
      <c r="A2651" s="13" t="s">
        <v>2814</v>
      </c>
    </row>
    <row r="2652" spans="1:1">
      <c r="A2652" s="13" t="s">
        <v>2815</v>
      </c>
    </row>
    <row r="2653" spans="1:1">
      <c r="A2653" s="13" t="s">
        <v>2816</v>
      </c>
    </row>
    <row r="2654" spans="1:1">
      <c r="A2654" s="13" t="s">
        <v>2817</v>
      </c>
    </row>
    <row r="2655" spans="1:1">
      <c r="A2655" s="13" t="s">
        <v>2818</v>
      </c>
    </row>
    <row r="2656" spans="1:1">
      <c r="A2656" s="13" t="s">
        <v>2819</v>
      </c>
    </row>
    <row r="2657" spans="1:1">
      <c r="A2657" s="13" t="s">
        <v>2820</v>
      </c>
    </row>
    <row r="2658" spans="1:1">
      <c r="A2658" s="13" t="s">
        <v>2821</v>
      </c>
    </row>
    <row r="2659" spans="1:1">
      <c r="A2659" s="13" t="s">
        <v>2822</v>
      </c>
    </row>
    <row r="2660" spans="1:1">
      <c r="A2660" s="13" t="s">
        <v>2823</v>
      </c>
    </row>
    <row r="2661" spans="1:1">
      <c r="A2661" s="13" t="s">
        <v>2824</v>
      </c>
    </row>
    <row r="2662" spans="1:1">
      <c r="A2662" s="13" t="s">
        <v>2825</v>
      </c>
    </row>
    <row r="2663" spans="1:1">
      <c r="A2663" s="13" t="s">
        <v>2826</v>
      </c>
    </row>
    <row r="2664" spans="1:1">
      <c r="A2664" s="13" t="s">
        <v>2827</v>
      </c>
    </row>
    <row r="2665" spans="1:1">
      <c r="A2665" s="13" t="s">
        <v>2828</v>
      </c>
    </row>
    <row r="2666" spans="1:1">
      <c r="A2666" s="13" t="s">
        <v>2829</v>
      </c>
    </row>
    <row r="2667" spans="1:1">
      <c r="A2667" s="13" t="s">
        <v>2830</v>
      </c>
    </row>
    <row r="2668" spans="1:1">
      <c r="A2668" s="13" t="s">
        <v>2831</v>
      </c>
    </row>
    <row r="2669" spans="1:1">
      <c r="A2669" s="13" t="s">
        <v>2832</v>
      </c>
    </row>
    <row r="2670" spans="1:1">
      <c r="A2670" s="13" t="s">
        <v>2833</v>
      </c>
    </row>
    <row r="2671" spans="1:1">
      <c r="A2671" s="13" t="s">
        <v>2834</v>
      </c>
    </row>
    <row r="2672" spans="1:1">
      <c r="A2672" s="13" t="s">
        <v>2835</v>
      </c>
    </row>
    <row r="2673" spans="1:1">
      <c r="A2673" s="13" t="s">
        <v>2836</v>
      </c>
    </row>
    <row r="2674" spans="1:1">
      <c r="A2674" s="13" t="s">
        <v>2837</v>
      </c>
    </row>
    <row r="2675" spans="1:1">
      <c r="A2675" s="13" t="s">
        <v>2838</v>
      </c>
    </row>
    <row r="2676" spans="1:1">
      <c r="A2676" s="13" t="s">
        <v>2839</v>
      </c>
    </row>
    <row r="2677" spans="1:1">
      <c r="A2677" s="13" t="s">
        <v>2840</v>
      </c>
    </row>
    <row r="2678" spans="1:1">
      <c r="A2678" s="13" t="s">
        <v>2841</v>
      </c>
    </row>
    <row r="2679" spans="1:1">
      <c r="A2679" s="13" t="s">
        <v>2842</v>
      </c>
    </row>
    <row r="2680" spans="1:1">
      <c r="A2680" s="13" t="s">
        <v>2843</v>
      </c>
    </row>
    <row r="2681" spans="1:1">
      <c r="A2681" s="13" t="s">
        <v>2844</v>
      </c>
    </row>
    <row r="2682" spans="1:1">
      <c r="A2682" s="13" t="s">
        <v>2845</v>
      </c>
    </row>
    <row r="2683" spans="1:1">
      <c r="A2683" s="13" t="s">
        <v>2846</v>
      </c>
    </row>
    <row r="2684" spans="1:1">
      <c r="A2684" s="13" t="s">
        <v>2847</v>
      </c>
    </row>
    <row r="2685" spans="1:1">
      <c r="A2685" s="13" t="s">
        <v>2848</v>
      </c>
    </row>
    <row r="2686" spans="1:1">
      <c r="A2686" s="13" t="s">
        <v>2849</v>
      </c>
    </row>
    <row r="2687" spans="1:1">
      <c r="A2687" s="13" t="s">
        <v>2850</v>
      </c>
    </row>
    <row r="2688" spans="1:1">
      <c r="A2688" s="13" t="s">
        <v>2851</v>
      </c>
    </row>
    <row r="2689" spans="1:1">
      <c r="A2689" s="13" t="s">
        <v>2852</v>
      </c>
    </row>
    <row r="2690" spans="1:1">
      <c r="A2690" s="13" t="s">
        <v>2853</v>
      </c>
    </row>
    <row r="2691" spans="1:1">
      <c r="A2691" s="13" t="s">
        <v>2854</v>
      </c>
    </row>
    <row r="2692" spans="1:1">
      <c r="A2692" s="13" t="s">
        <v>526</v>
      </c>
    </row>
    <row r="2693" spans="1:1">
      <c r="A2693" s="13" t="s">
        <v>2855</v>
      </c>
    </row>
    <row r="2694" spans="1:1">
      <c r="A2694" s="13" t="s">
        <v>2856</v>
      </c>
    </row>
    <row r="2695" spans="1:1">
      <c r="A2695" s="13" t="s">
        <v>2857</v>
      </c>
    </row>
    <row r="2696" spans="1:1">
      <c r="A2696" s="13" t="s">
        <v>2858</v>
      </c>
    </row>
    <row r="2697" spans="1:1">
      <c r="A2697" s="13" t="s">
        <v>2859</v>
      </c>
    </row>
    <row r="2698" spans="1:1">
      <c r="A2698" s="13" t="s">
        <v>2860</v>
      </c>
    </row>
    <row r="2699" spans="1:1">
      <c r="A2699" s="13" t="s">
        <v>2861</v>
      </c>
    </row>
    <row r="2700" spans="1:1">
      <c r="A2700" s="13" t="s">
        <v>2862</v>
      </c>
    </row>
    <row r="2701" spans="1:1">
      <c r="A2701" s="13" t="s">
        <v>2863</v>
      </c>
    </row>
    <row r="2702" spans="1:1">
      <c r="A2702" s="13" t="s">
        <v>2864</v>
      </c>
    </row>
    <row r="2703" spans="1:1">
      <c r="A2703" s="13" t="s">
        <v>2865</v>
      </c>
    </row>
    <row r="2704" spans="1:1">
      <c r="A2704" s="13" t="s">
        <v>2866</v>
      </c>
    </row>
    <row r="2705" spans="1:1">
      <c r="A2705" s="13" t="s">
        <v>2867</v>
      </c>
    </row>
    <row r="2706" spans="1:1">
      <c r="A2706" s="13" t="s">
        <v>2868</v>
      </c>
    </row>
    <row r="2707" spans="1:1">
      <c r="A2707" s="13" t="s">
        <v>2869</v>
      </c>
    </row>
    <row r="2708" spans="1:1">
      <c r="A2708" s="13" t="s">
        <v>2870</v>
      </c>
    </row>
    <row r="2709" spans="1:1">
      <c r="A2709" s="13" t="s">
        <v>526</v>
      </c>
    </row>
    <row r="2710" spans="1:1">
      <c r="A2710" s="13" t="s">
        <v>2871</v>
      </c>
    </row>
    <row r="2711" spans="1:1">
      <c r="A2711" s="13" t="s">
        <v>2872</v>
      </c>
    </row>
    <row r="2712" spans="1:1">
      <c r="A2712" s="13" t="s">
        <v>2873</v>
      </c>
    </row>
    <row r="2713" spans="1:1">
      <c r="A2713" s="13" t="s">
        <v>2874</v>
      </c>
    </row>
    <row r="2714" spans="1:1">
      <c r="A2714" s="13" t="s">
        <v>2875</v>
      </c>
    </row>
    <row r="2715" spans="1:1">
      <c r="A2715" s="13" t="s">
        <v>2876</v>
      </c>
    </row>
    <row r="2716" spans="1:1">
      <c r="A2716" s="13" t="s">
        <v>2877</v>
      </c>
    </row>
    <row r="2717" spans="1:1">
      <c r="A2717" s="13" t="s">
        <v>2878</v>
      </c>
    </row>
    <row r="2718" spans="1:1">
      <c r="A2718" s="13" t="s">
        <v>2879</v>
      </c>
    </row>
    <row r="2719" spans="1:1">
      <c r="A2719" s="13" t="s">
        <v>2880</v>
      </c>
    </row>
    <row r="2720" spans="1:1">
      <c r="A2720" s="13" t="s">
        <v>2881</v>
      </c>
    </row>
    <row r="2721" spans="1:1">
      <c r="A2721" s="13" t="s">
        <v>2882</v>
      </c>
    </row>
    <row r="2722" spans="1:1">
      <c r="A2722" s="13" t="s">
        <v>2883</v>
      </c>
    </row>
    <row r="2723" spans="1:1">
      <c r="A2723" s="13" t="s">
        <v>2884</v>
      </c>
    </row>
    <row r="2724" spans="1:1">
      <c r="A2724" s="13" t="s">
        <v>2885</v>
      </c>
    </row>
    <row r="2725" spans="1:1">
      <c r="A2725" s="13" t="s">
        <v>2886</v>
      </c>
    </row>
    <row r="2726" spans="1:1">
      <c r="A2726" s="13" t="s">
        <v>2887</v>
      </c>
    </row>
    <row r="2727" spans="1:1">
      <c r="A2727" s="13" t="s">
        <v>2888</v>
      </c>
    </row>
    <row r="2728" spans="1:1">
      <c r="A2728" s="13" t="s">
        <v>2889</v>
      </c>
    </row>
    <row r="2729" spans="1:1">
      <c r="A2729" s="13" t="s">
        <v>2890</v>
      </c>
    </row>
    <row r="2730" spans="1:1">
      <c r="A2730" s="13" t="s">
        <v>2891</v>
      </c>
    </row>
    <row r="2731" spans="1:1">
      <c r="A2731" s="13" t="s">
        <v>2892</v>
      </c>
    </row>
    <row r="2732" spans="1:1">
      <c r="A2732" s="13" t="s">
        <v>2893</v>
      </c>
    </row>
    <row r="2733" spans="1:1">
      <c r="A2733" s="13" t="s">
        <v>2894</v>
      </c>
    </row>
    <row r="2734" spans="1:1">
      <c r="A2734" s="13" t="s">
        <v>2895</v>
      </c>
    </row>
    <row r="2735" spans="1:1">
      <c r="A2735" s="13" t="s">
        <v>2896</v>
      </c>
    </row>
    <row r="2736" spans="1:1">
      <c r="A2736" s="13" t="s">
        <v>2897</v>
      </c>
    </row>
    <row r="2737" spans="1:1">
      <c r="A2737" s="13" t="s">
        <v>2898</v>
      </c>
    </row>
    <row r="2738" spans="1:1">
      <c r="A2738" s="13" t="s">
        <v>2899</v>
      </c>
    </row>
    <row r="2739" spans="1:1">
      <c r="A2739" s="13" t="s">
        <v>2900</v>
      </c>
    </row>
    <row r="2740" spans="1:1">
      <c r="A2740" s="13" t="s">
        <v>2901</v>
      </c>
    </row>
    <row r="2741" spans="1:1">
      <c r="A2741" s="13" t="s">
        <v>2902</v>
      </c>
    </row>
    <row r="2742" spans="1:1">
      <c r="A2742" s="13" t="s">
        <v>2903</v>
      </c>
    </row>
    <row r="2743" spans="1:1">
      <c r="A2743" s="13" t="s">
        <v>2904</v>
      </c>
    </row>
    <row r="2744" spans="1:1">
      <c r="A2744" s="13" t="s">
        <v>526</v>
      </c>
    </row>
    <row r="2745" spans="1:1">
      <c r="A2745" s="13" t="s">
        <v>2905</v>
      </c>
    </row>
    <row r="2746" spans="1:1">
      <c r="A2746" s="13" t="s">
        <v>2906</v>
      </c>
    </row>
    <row r="2747" spans="1:1">
      <c r="A2747" s="13" t="s">
        <v>2907</v>
      </c>
    </row>
    <row r="2748" spans="1:1">
      <c r="A2748" s="13" t="s">
        <v>2908</v>
      </c>
    </row>
    <row r="2749" spans="1:1">
      <c r="A2749" s="13" t="s">
        <v>2909</v>
      </c>
    </row>
    <row r="2750" spans="1:1">
      <c r="A2750" s="13" t="s">
        <v>2910</v>
      </c>
    </row>
    <row r="2751" spans="1:1">
      <c r="A2751" s="13" t="s">
        <v>2911</v>
      </c>
    </row>
    <row r="2752" spans="1:1">
      <c r="A2752" s="13" t="s">
        <v>2912</v>
      </c>
    </row>
    <row r="2753" spans="1:1">
      <c r="A2753" s="13" t="s">
        <v>2913</v>
      </c>
    </row>
    <row r="2754" spans="1:1">
      <c r="A2754" s="13" t="s">
        <v>2914</v>
      </c>
    </row>
    <row r="2755" spans="1:1">
      <c r="A2755" s="13" t="s">
        <v>2915</v>
      </c>
    </row>
    <row r="2756" spans="1:1">
      <c r="A2756" s="13" t="s">
        <v>2916</v>
      </c>
    </row>
    <row r="2757" spans="1:1">
      <c r="A2757" s="13" t="s">
        <v>2917</v>
      </c>
    </row>
    <row r="2758" spans="1:1">
      <c r="A2758" s="13" t="s">
        <v>2918</v>
      </c>
    </row>
    <row r="2759" spans="1:1">
      <c r="A2759" s="13" t="s">
        <v>2919</v>
      </c>
    </row>
    <row r="2760" spans="1:1">
      <c r="A2760" s="13" t="s">
        <v>2920</v>
      </c>
    </row>
    <row r="2761" spans="1:1">
      <c r="A2761" s="13" t="s">
        <v>2921</v>
      </c>
    </row>
    <row r="2762" spans="1:1">
      <c r="A2762" s="13" t="s">
        <v>2922</v>
      </c>
    </row>
    <row r="2763" spans="1:1">
      <c r="A2763" s="13" t="s">
        <v>2923</v>
      </c>
    </row>
    <row r="2764" spans="1:1">
      <c r="A2764" s="13" t="s">
        <v>2924</v>
      </c>
    </row>
    <row r="2765" spans="1:1">
      <c r="A2765" s="13" t="s">
        <v>2925</v>
      </c>
    </row>
    <row r="2766" spans="1:1">
      <c r="A2766" s="13" t="s">
        <v>2926</v>
      </c>
    </row>
    <row r="2767" spans="1:1">
      <c r="A2767" s="13" t="s">
        <v>2927</v>
      </c>
    </row>
    <row r="2768" spans="1:1">
      <c r="A2768" s="13" t="s">
        <v>2928</v>
      </c>
    </row>
    <row r="2769" spans="1:1">
      <c r="A2769" s="13" t="s">
        <v>2929</v>
      </c>
    </row>
    <row r="2770" spans="1:1">
      <c r="A2770" s="13" t="s">
        <v>2930</v>
      </c>
    </row>
    <row r="2771" spans="1:1">
      <c r="A2771" s="13" t="s">
        <v>2931</v>
      </c>
    </row>
    <row r="2772" spans="1:1">
      <c r="A2772" s="13" t="s">
        <v>2932</v>
      </c>
    </row>
    <row r="2773" spans="1:1">
      <c r="A2773" s="13" t="s">
        <v>2933</v>
      </c>
    </row>
    <row r="2774" spans="1:1">
      <c r="A2774" s="13" t="s">
        <v>2934</v>
      </c>
    </row>
    <row r="2775" spans="1:1">
      <c r="A2775" s="13" t="s">
        <v>2935</v>
      </c>
    </row>
    <row r="2776" spans="1:1">
      <c r="A2776" s="13" t="s">
        <v>2936</v>
      </c>
    </row>
    <row r="2777" spans="1:1">
      <c r="A2777" s="13" t="s">
        <v>2937</v>
      </c>
    </row>
    <row r="2778" spans="1:1">
      <c r="A2778" s="13" t="s">
        <v>2938</v>
      </c>
    </row>
    <row r="2779" spans="1:1">
      <c r="A2779" s="13" t="s">
        <v>2939</v>
      </c>
    </row>
    <row r="2780" spans="1:1">
      <c r="A2780" s="13" t="s">
        <v>2940</v>
      </c>
    </row>
    <row r="2781" spans="1:1">
      <c r="A2781" s="13" t="s">
        <v>2941</v>
      </c>
    </row>
    <row r="2782" spans="1:1">
      <c r="A2782" s="13" t="s">
        <v>2942</v>
      </c>
    </row>
    <row r="2783" spans="1:1">
      <c r="A2783" s="13" t="s">
        <v>2943</v>
      </c>
    </row>
    <row r="2784" spans="1:1">
      <c r="A2784" s="13" t="s">
        <v>2944</v>
      </c>
    </row>
    <row r="2785" spans="1:1">
      <c r="A2785" s="13" t="s">
        <v>2945</v>
      </c>
    </row>
    <row r="2786" spans="1:1">
      <c r="A2786" s="13" t="s">
        <v>2946</v>
      </c>
    </row>
    <row r="2787" spans="1:1">
      <c r="A2787" s="13" t="s">
        <v>2947</v>
      </c>
    </row>
    <row r="2788" spans="1:1">
      <c r="A2788" s="13" t="s">
        <v>2948</v>
      </c>
    </row>
    <row r="2789" spans="1:1">
      <c r="A2789" s="13" t="s">
        <v>2949</v>
      </c>
    </row>
    <row r="2790" spans="1:1">
      <c r="A2790" s="13" t="s">
        <v>2950</v>
      </c>
    </row>
    <row r="2791" spans="1:1">
      <c r="A2791" s="13" t="s">
        <v>2951</v>
      </c>
    </row>
    <row r="2792" spans="1:1">
      <c r="A2792" s="13" t="s">
        <v>2952</v>
      </c>
    </row>
    <row r="2793" spans="1:1">
      <c r="A2793" s="13" t="s">
        <v>2953</v>
      </c>
    </row>
    <row r="2794" spans="1:1">
      <c r="A2794" s="13" t="s">
        <v>2954</v>
      </c>
    </row>
    <row r="2795" spans="1:1">
      <c r="A2795" s="13" t="s">
        <v>2955</v>
      </c>
    </row>
    <row r="2796" spans="1:1">
      <c r="A2796" s="13" t="s">
        <v>2956</v>
      </c>
    </row>
    <row r="2797" spans="1:1">
      <c r="A2797" s="13" t="s">
        <v>316</v>
      </c>
    </row>
    <row r="2798" spans="1:1">
      <c r="A2798" s="13" t="s">
        <v>2957</v>
      </c>
    </row>
    <row r="2799" spans="1:1">
      <c r="A2799" s="13" t="s">
        <v>2958</v>
      </c>
    </row>
    <row r="2800" spans="1:1">
      <c r="A2800" s="13" t="s">
        <v>2959</v>
      </c>
    </row>
    <row r="2801" spans="1:1">
      <c r="A2801" s="13" t="s">
        <v>2960</v>
      </c>
    </row>
    <row r="2802" spans="1:1">
      <c r="A2802" s="13" t="s">
        <v>2961</v>
      </c>
    </row>
    <row r="2803" spans="1:1">
      <c r="A2803" s="13" t="s">
        <v>2962</v>
      </c>
    </row>
    <row r="2804" spans="1:1">
      <c r="A2804" s="13" t="s">
        <v>2963</v>
      </c>
    </row>
    <row r="2805" spans="1:1">
      <c r="A2805" s="13" t="s">
        <v>2964</v>
      </c>
    </row>
    <row r="2806" spans="1:1">
      <c r="A2806" s="13" t="s">
        <v>2965</v>
      </c>
    </row>
    <row r="2807" spans="1:1">
      <c r="A2807" s="13" t="s">
        <v>526</v>
      </c>
    </row>
    <row r="2808" spans="1:1">
      <c r="A2808" s="13" t="s">
        <v>2966</v>
      </c>
    </row>
    <row r="2809" spans="1:1">
      <c r="A2809" s="13" t="s">
        <v>2967</v>
      </c>
    </row>
    <row r="2810" spans="1:1">
      <c r="A2810" s="13" t="s">
        <v>2968</v>
      </c>
    </row>
    <row r="2811" spans="1:1">
      <c r="A2811" s="13" t="s">
        <v>2969</v>
      </c>
    </row>
    <row r="2812" spans="1:1">
      <c r="A2812" s="13" t="s">
        <v>2970</v>
      </c>
    </row>
    <row r="2813" spans="1:1">
      <c r="A2813" s="13" t="s">
        <v>2971</v>
      </c>
    </row>
    <row r="2814" spans="1:1">
      <c r="A2814" s="13" t="s">
        <v>2972</v>
      </c>
    </row>
    <row r="2815" spans="1:1">
      <c r="A2815" s="13" t="s">
        <v>2973</v>
      </c>
    </row>
    <row r="2816" spans="1:1">
      <c r="A2816" s="13" t="s">
        <v>2974</v>
      </c>
    </row>
    <row r="2817" spans="1:1">
      <c r="A2817" s="13" t="s">
        <v>2975</v>
      </c>
    </row>
    <row r="2818" spans="1:1">
      <c r="A2818" s="13" t="s">
        <v>2976</v>
      </c>
    </row>
    <row r="2819" spans="1:1">
      <c r="A2819" s="13" t="s">
        <v>2977</v>
      </c>
    </row>
    <row r="2820" spans="1:1">
      <c r="A2820" s="13" t="s">
        <v>2978</v>
      </c>
    </row>
    <row r="2821" spans="1:1">
      <c r="A2821" s="13" t="s">
        <v>2979</v>
      </c>
    </row>
    <row r="2822" spans="1:1">
      <c r="A2822" s="13" t="s">
        <v>2980</v>
      </c>
    </row>
    <row r="2823" spans="1:1">
      <c r="A2823" s="13" t="s">
        <v>2981</v>
      </c>
    </row>
    <row r="2824" spans="1:1">
      <c r="A2824" s="13" t="s">
        <v>2982</v>
      </c>
    </row>
    <row r="2825" spans="1:1">
      <c r="A2825" s="13" t="s">
        <v>2983</v>
      </c>
    </row>
    <row r="2826" spans="1:1">
      <c r="A2826" s="13" t="s">
        <v>2984</v>
      </c>
    </row>
    <row r="2827" spans="1:1">
      <c r="A2827" s="13" t="s">
        <v>2985</v>
      </c>
    </row>
    <row r="2828" spans="1:1">
      <c r="A2828" s="13" t="s">
        <v>2986</v>
      </c>
    </row>
    <row r="2829" spans="1:1">
      <c r="A2829" s="13" t="s">
        <v>2987</v>
      </c>
    </row>
    <row r="2830" spans="1:1">
      <c r="A2830" s="13" t="s">
        <v>2988</v>
      </c>
    </row>
    <row r="2831" spans="1:1">
      <c r="A2831" s="13" t="s">
        <v>2989</v>
      </c>
    </row>
    <row r="2832" spans="1:1">
      <c r="A2832" s="13" t="s">
        <v>2990</v>
      </c>
    </row>
    <row r="2833" spans="1:1">
      <c r="A2833" s="13" t="s">
        <v>2991</v>
      </c>
    </row>
    <row r="2834" spans="1:1">
      <c r="A2834" s="13" t="s">
        <v>2992</v>
      </c>
    </row>
    <row r="2835" spans="1:1">
      <c r="A2835" s="13" t="s">
        <v>2993</v>
      </c>
    </row>
    <row r="2836" spans="1:1">
      <c r="A2836" s="13" t="s">
        <v>2994</v>
      </c>
    </row>
    <row r="2837" spans="1:1">
      <c r="A2837" s="13" t="s">
        <v>2995</v>
      </c>
    </row>
    <row r="2838" spans="1:1">
      <c r="A2838" s="13" t="s">
        <v>2996</v>
      </c>
    </row>
    <row r="2839" spans="1:1">
      <c r="A2839" s="13" t="s">
        <v>2997</v>
      </c>
    </row>
    <row r="2840" spans="1:1">
      <c r="A2840" s="13" t="s">
        <v>2998</v>
      </c>
    </row>
    <row r="2841" spans="1:1">
      <c r="A2841" s="13" t="s">
        <v>2999</v>
      </c>
    </row>
    <row r="2842" spans="1:1">
      <c r="A2842" s="13" t="s">
        <v>3000</v>
      </c>
    </row>
    <row r="2843" spans="1:1">
      <c r="A2843" s="13" t="s">
        <v>3001</v>
      </c>
    </row>
    <row r="2844" spans="1:1">
      <c r="A2844" s="13" t="s">
        <v>3002</v>
      </c>
    </row>
    <row r="2845" spans="1:1">
      <c r="A2845" s="13" t="s">
        <v>3003</v>
      </c>
    </row>
    <row r="2846" spans="1:1">
      <c r="A2846" s="13" t="s">
        <v>3004</v>
      </c>
    </row>
    <row r="2847" spans="1:1">
      <c r="A2847" s="13" t="s">
        <v>3005</v>
      </c>
    </row>
    <row r="2848" spans="1:1">
      <c r="A2848" s="13" t="s">
        <v>3006</v>
      </c>
    </row>
    <row r="2849" spans="1:1">
      <c r="A2849" s="13" t="s">
        <v>3007</v>
      </c>
    </row>
    <row r="2850" spans="1:1">
      <c r="A2850" s="13" t="s">
        <v>3008</v>
      </c>
    </row>
    <row r="2851" spans="1:1">
      <c r="A2851" s="13" t="s">
        <v>3009</v>
      </c>
    </row>
    <row r="2852" spans="1:1">
      <c r="A2852" s="13" t="s">
        <v>3010</v>
      </c>
    </row>
    <row r="2853" spans="1:1">
      <c r="A2853" s="13" t="s">
        <v>3011</v>
      </c>
    </row>
    <row r="2854" spans="1:1">
      <c r="A2854" s="13" t="s">
        <v>3012</v>
      </c>
    </row>
    <row r="2855" spans="1:1">
      <c r="A2855" s="13" t="s">
        <v>3013</v>
      </c>
    </row>
    <row r="2856" spans="1:1">
      <c r="A2856" s="13" t="s">
        <v>3014</v>
      </c>
    </row>
    <row r="2857" spans="1:1">
      <c r="A2857" s="13" t="s">
        <v>3015</v>
      </c>
    </row>
    <row r="2858" spans="1:1">
      <c r="A2858" s="13" t="s">
        <v>3016</v>
      </c>
    </row>
    <row r="2859" spans="1:1">
      <c r="A2859" s="13" t="s">
        <v>3017</v>
      </c>
    </row>
    <row r="2860" spans="1:1">
      <c r="A2860" s="13" t="s">
        <v>3018</v>
      </c>
    </row>
    <row r="2861" spans="1:1">
      <c r="A2861" s="13" t="s">
        <v>3019</v>
      </c>
    </row>
    <row r="2862" spans="1:1">
      <c r="A2862" s="13" t="s">
        <v>3020</v>
      </c>
    </row>
    <row r="2863" spans="1:1">
      <c r="A2863" s="13" t="s">
        <v>3021</v>
      </c>
    </row>
    <row r="2864" spans="1:1">
      <c r="A2864" s="13" t="s">
        <v>3022</v>
      </c>
    </row>
    <row r="2865" spans="1:1">
      <c r="A2865" s="13" t="s">
        <v>3023</v>
      </c>
    </row>
    <row r="2866" spans="1:1">
      <c r="A2866" s="13" t="s">
        <v>3024</v>
      </c>
    </row>
    <row r="2867" spans="1:1">
      <c r="A2867" s="13" t="s">
        <v>3025</v>
      </c>
    </row>
    <row r="2868" spans="1:1">
      <c r="A2868" s="13" t="s">
        <v>3026</v>
      </c>
    </row>
    <row r="2869" spans="1:1">
      <c r="A2869" s="13" t="s">
        <v>3027</v>
      </c>
    </row>
    <row r="2870" spans="1:1">
      <c r="A2870" s="13" t="s">
        <v>3028</v>
      </c>
    </row>
    <row r="2871" spans="1:1">
      <c r="A2871" s="13" t="s">
        <v>3029</v>
      </c>
    </row>
    <row r="2872" spans="1:1">
      <c r="A2872" s="13" t="s">
        <v>3030</v>
      </c>
    </row>
    <row r="2873" spans="1:1">
      <c r="A2873" s="13" t="s">
        <v>3031</v>
      </c>
    </row>
    <row r="2874" spans="1:1">
      <c r="A2874" s="13" t="s">
        <v>3032</v>
      </c>
    </row>
    <row r="2875" spans="1:1">
      <c r="A2875" s="13" t="s">
        <v>3033</v>
      </c>
    </row>
    <row r="2876" spans="1:1">
      <c r="A2876" s="13" t="s">
        <v>3034</v>
      </c>
    </row>
    <row r="2877" spans="1:1">
      <c r="A2877" s="13" t="s">
        <v>3035</v>
      </c>
    </row>
    <row r="2878" spans="1:1">
      <c r="A2878" s="13" t="s">
        <v>3036</v>
      </c>
    </row>
    <row r="2879" spans="1:1">
      <c r="A2879" s="13" t="s">
        <v>3037</v>
      </c>
    </row>
    <row r="2880" spans="1:1">
      <c r="A2880" s="13" t="s">
        <v>3038</v>
      </c>
    </row>
    <row r="2881" spans="1:1">
      <c r="A2881" s="13" t="s">
        <v>3039</v>
      </c>
    </row>
    <row r="2882" spans="1:1">
      <c r="A2882" s="13" t="s">
        <v>3040</v>
      </c>
    </row>
    <row r="2883" spans="1:1">
      <c r="A2883" s="13" t="s">
        <v>3041</v>
      </c>
    </row>
    <row r="2884" spans="1:1">
      <c r="A2884" s="13" t="s">
        <v>3042</v>
      </c>
    </row>
    <row r="2885" spans="1:1">
      <c r="A2885" s="13" t="s">
        <v>3043</v>
      </c>
    </row>
    <row r="2886" spans="1:1">
      <c r="A2886" s="13" t="s">
        <v>3044</v>
      </c>
    </row>
    <row r="2887" spans="1:1">
      <c r="A2887" s="13" t="s">
        <v>3045</v>
      </c>
    </row>
    <row r="2888" spans="1:1">
      <c r="A2888" s="13" t="s">
        <v>3046</v>
      </c>
    </row>
    <row r="2889" spans="1:1">
      <c r="A2889" s="13" t="s">
        <v>3047</v>
      </c>
    </row>
    <row r="2890" spans="1:1">
      <c r="A2890" s="13" t="s">
        <v>3048</v>
      </c>
    </row>
    <row r="2891" spans="1:1">
      <c r="A2891" s="13" t="s">
        <v>3049</v>
      </c>
    </row>
    <row r="2892" spans="1:1">
      <c r="A2892" s="13" t="s">
        <v>3050</v>
      </c>
    </row>
    <row r="2893" spans="1:1">
      <c r="A2893" s="13" t="s">
        <v>3051</v>
      </c>
    </row>
    <row r="2894" spans="1:1">
      <c r="A2894" s="13" t="s">
        <v>3052</v>
      </c>
    </row>
    <row r="2895" spans="1:1">
      <c r="A2895" s="13" t="s">
        <v>3053</v>
      </c>
    </row>
    <row r="2896" spans="1:1">
      <c r="A2896" s="13" t="s">
        <v>3054</v>
      </c>
    </row>
    <row r="2897" spans="1:1">
      <c r="A2897" s="13" t="s">
        <v>3055</v>
      </c>
    </row>
    <row r="2898" spans="1:1">
      <c r="A2898" s="13" t="s">
        <v>3056</v>
      </c>
    </row>
    <row r="2899" spans="1:1">
      <c r="A2899" s="13" t="s">
        <v>3057</v>
      </c>
    </row>
    <row r="2900" spans="1:1">
      <c r="A2900" s="13" t="s">
        <v>3058</v>
      </c>
    </row>
    <row r="2901" spans="1:1">
      <c r="A2901" s="13" t="s">
        <v>3059</v>
      </c>
    </row>
    <row r="2902" spans="1:1">
      <c r="A2902" s="13" t="s">
        <v>3060</v>
      </c>
    </row>
    <row r="2903" spans="1:1">
      <c r="A2903" s="13" t="s">
        <v>3061</v>
      </c>
    </row>
    <row r="2904" spans="1:1">
      <c r="A2904" s="13" t="s">
        <v>3062</v>
      </c>
    </row>
    <row r="2905" spans="1:1">
      <c r="A2905" s="13" t="s">
        <v>3063</v>
      </c>
    </row>
    <row r="2906" spans="1:1">
      <c r="A2906" s="13" t="s">
        <v>3064</v>
      </c>
    </row>
    <row r="2907" spans="1:1">
      <c r="A2907" s="13" t="s">
        <v>3065</v>
      </c>
    </row>
    <row r="2908" spans="1:1">
      <c r="A2908" s="13" t="s">
        <v>3066</v>
      </c>
    </row>
    <row r="2909" spans="1:1">
      <c r="A2909" s="13" t="s">
        <v>3067</v>
      </c>
    </row>
    <row r="2910" spans="1:1">
      <c r="A2910" s="13" t="s">
        <v>526</v>
      </c>
    </row>
    <row r="2911" spans="1:1">
      <c r="A2911" s="13" t="s">
        <v>3068</v>
      </c>
    </row>
    <row r="2912" spans="1:1">
      <c r="A2912" s="13" t="s">
        <v>3069</v>
      </c>
    </row>
    <row r="2913" spans="1:1">
      <c r="A2913" s="13" t="s">
        <v>3070</v>
      </c>
    </row>
    <row r="2914" spans="1:1">
      <c r="A2914" s="13" t="s">
        <v>3071</v>
      </c>
    </row>
    <row r="2915" spans="1:1">
      <c r="A2915" s="13" t="s">
        <v>3072</v>
      </c>
    </row>
    <row r="2916" spans="1:1">
      <c r="A2916" s="13" t="s">
        <v>3073</v>
      </c>
    </row>
    <row r="2917" spans="1:1">
      <c r="A2917" s="13" t="s">
        <v>3074</v>
      </c>
    </row>
    <row r="2918" spans="1:1">
      <c r="A2918" s="13" t="s">
        <v>3075</v>
      </c>
    </row>
    <row r="2919" spans="1:1">
      <c r="A2919" s="13" t="s">
        <v>3076</v>
      </c>
    </row>
    <row r="2920" spans="1:1">
      <c r="A2920" s="13" t="s">
        <v>3077</v>
      </c>
    </row>
    <row r="2921" spans="1:1">
      <c r="A2921" s="13" t="s">
        <v>3078</v>
      </c>
    </row>
    <row r="2922" spans="1:1">
      <c r="A2922" s="13" t="s">
        <v>3079</v>
      </c>
    </row>
    <row r="2923" spans="1:1">
      <c r="A2923" s="13" t="s">
        <v>3080</v>
      </c>
    </row>
    <row r="2924" spans="1:1">
      <c r="A2924" s="13" t="s">
        <v>3081</v>
      </c>
    </row>
    <row r="2925" spans="1:1">
      <c r="A2925" s="13" t="s">
        <v>3082</v>
      </c>
    </row>
    <row r="2926" spans="1:1">
      <c r="A2926" s="13" t="s">
        <v>3083</v>
      </c>
    </row>
    <row r="2927" spans="1:1">
      <c r="A2927" s="13" t="s">
        <v>3084</v>
      </c>
    </row>
    <row r="2928" spans="1:1">
      <c r="A2928" s="13" t="s">
        <v>3085</v>
      </c>
    </row>
    <row r="2929" spans="1:1">
      <c r="A2929" s="13" t="s">
        <v>3086</v>
      </c>
    </row>
    <row r="2930" spans="1:1">
      <c r="A2930" s="13" t="s">
        <v>3087</v>
      </c>
    </row>
    <row r="2931" spans="1:1">
      <c r="A2931" s="13" t="s">
        <v>3088</v>
      </c>
    </row>
    <row r="2932" spans="1:1">
      <c r="A2932" s="13" t="s">
        <v>3089</v>
      </c>
    </row>
    <row r="2933" spans="1:1">
      <c r="A2933" s="13" t="s">
        <v>3090</v>
      </c>
    </row>
    <row r="2934" spans="1:1">
      <c r="A2934" s="13" t="s">
        <v>3091</v>
      </c>
    </row>
    <row r="2935" spans="1:1">
      <c r="A2935" s="13" t="s">
        <v>3092</v>
      </c>
    </row>
    <row r="2936" spans="1:1">
      <c r="A2936" s="13" t="s">
        <v>3093</v>
      </c>
    </row>
    <row r="2937" spans="1:1">
      <c r="A2937" s="13" t="s">
        <v>3094</v>
      </c>
    </row>
    <row r="2938" spans="1:1">
      <c r="A2938" s="13" t="s">
        <v>3095</v>
      </c>
    </row>
    <row r="2939" spans="1:1">
      <c r="A2939" s="13" t="s">
        <v>3096</v>
      </c>
    </row>
    <row r="2940" spans="1:1">
      <c r="A2940" s="13" t="s">
        <v>3097</v>
      </c>
    </row>
    <row r="2941" spans="1:1">
      <c r="A2941" s="13" t="s">
        <v>3098</v>
      </c>
    </row>
    <row r="2942" spans="1:1">
      <c r="A2942" s="13" t="s">
        <v>3099</v>
      </c>
    </row>
    <row r="2943" spans="1:1">
      <c r="A2943" s="13" t="s">
        <v>3100</v>
      </c>
    </row>
    <row r="2944" spans="1:1">
      <c r="A2944" s="13" t="s">
        <v>3101</v>
      </c>
    </row>
    <row r="2945" spans="1:1">
      <c r="A2945" s="13" t="s">
        <v>3102</v>
      </c>
    </row>
    <row r="2946" spans="1:1">
      <c r="A2946" s="13" t="s">
        <v>3103</v>
      </c>
    </row>
    <row r="2947" spans="1:1">
      <c r="A2947" s="13" t="s">
        <v>3104</v>
      </c>
    </row>
    <row r="2948" spans="1:1">
      <c r="A2948" s="13" t="s">
        <v>3105</v>
      </c>
    </row>
    <row r="2949" spans="1:1">
      <c r="A2949" s="13" t="s">
        <v>3106</v>
      </c>
    </row>
    <row r="2950" spans="1:1">
      <c r="A2950" s="13" t="s">
        <v>3107</v>
      </c>
    </row>
    <row r="2951" spans="1:1">
      <c r="A2951" s="13" t="s">
        <v>3108</v>
      </c>
    </row>
    <row r="2952" spans="1:1">
      <c r="A2952" s="13" t="s">
        <v>3109</v>
      </c>
    </row>
    <row r="2953" spans="1:1">
      <c r="A2953" s="13" t="s">
        <v>3110</v>
      </c>
    </row>
    <row r="2954" spans="1:1">
      <c r="A2954" s="13" t="s">
        <v>3111</v>
      </c>
    </row>
    <row r="2955" spans="1:1">
      <c r="A2955" s="13" t="s">
        <v>3112</v>
      </c>
    </row>
    <row r="2956" spans="1:1">
      <c r="A2956" s="13" t="s">
        <v>3113</v>
      </c>
    </row>
    <row r="2957" spans="1:1">
      <c r="A2957" s="13" t="s">
        <v>3114</v>
      </c>
    </row>
    <row r="2958" spans="1:1">
      <c r="A2958" s="13" t="s">
        <v>3115</v>
      </c>
    </row>
    <row r="2959" spans="1:1">
      <c r="A2959" s="13" t="s">
        <v>3116</v>
      </c>
    </row>
    <row r="2960" spans="1:1">
      <c r="A2960" s="13" t="s">
        <v>3117</v>
      </c>
    </row>
    <row r="2961" spans="1:1">
      <c r="A2961" s="13" t="s">
        <v>3118</v>
      </c>
    </row>
    <row r="2962" spans="1:1">
      <c r="A2962" s="13" t="s">
        <v>526</v>
      </c>
    </row>
    <row r="2963" spans="1:1">
      <c r="A2963" s="13" t="s">
        <v>3119</v>
      </c>
    </row>
    <row r="2964" spans="1:1">
      <c r="A2964" s="13" t="s">
        <v>3120</v>
      </c>
    </row>
    <row r="2965" spans="1:1">
      <c r="A2965" s="13" t="s">
        <v>3121</v>
      </c>
    </row>
    <row r="2966" spans="1:1">
      <c r="A2966" s="13" t="s">
        <v>3122</v>
      </c>
    </row>
    <row r="2967" spans="1:1">
      <c r="A2967" s="13" t="s">
        <v>3123</v>
      </c>
    </row>
    <row r="2968" spans="1:1">
      <c r="A2968" s="13" t="s">
        <v>3124</v>
      </c>
    </row>
    <row r="2969" spans="1:1">
      <c r="A2969" s="13" t="s">
        <v>3125</v>
      </c>
    </row>
    <row r="2970" spans="1:1">
      <c r="A2970" s="13" t="s">
        <v>3126</v>
      </c>
    </row>
    <row r="2971" spans="1:1">
      <c r="A2971" s="13" t="s">
        <v>3127</v>
      </c>
    </row>
    <row r="2972" spans="1:1">
      <c r="A2972" s="13" t="s">
        <v>3128</v>
      </c>
    </row>
    <row r="2973" spans="1:1">
      <c r="A2973" s="13" t="s">
        <v>3129</v>
      </c>
    </row>
    <row r="2974" spans="1:1">
      <c r="A2974" s="13" t="s">
        <v>3130</v>
      </c>
    </row>
    <row r="2975" spans="1:1">
      <c r="A2975" s="13" t="s">
        <v>3131</v>
      </c>
    </row>
    <row r="2976" spans="1:1">
      <c r="A2976" s="13" t="s">
        <v>3132</v>
      </c>
    </row>
    <row r="2977" spans="1:1">
      <c r="A2977" s="13" t="s">
        <v>3133</v>
      </c>
    </row>
    <row r="2978" spans="1:1">
      <c r="A2978" s="13" t="s">
        <v>3134</v>
      </c>
    </row>
    <row r="2979" spans="1:1">
      <c r="A2979" s="13" t="s">
        <v>3135</v>
      </c>
    </row>
    <row r="2980" spans="1:1">
      <c r="A2980" s="13" t="s">
        <v>3136</v>
      </c>
    </row>
    <row r="2981" spans="1:1">
      <c r="A2981" s="13" t="s">
        <v>3137</v>
      </c>
    </row>
    <row r="2982" spans="1:1">
      <c r="A2982" s="13" t="s">
        <v>3138</v>
      </c>
    </row>
    <row r="2983" spans="1:1">
      <c r="A2983" s="13" t="s">
        <v>3139</v>
      </c>
    </row>
    <row r="2984" spans="1:1">
      <c r="A2984" s="13" t="s">
        <v>3140</v>
      </c>
    </row>
    <row r="2985" spans="1:1">
      <c r="A2985" s="13" t="s">
        <v>526</v>
      </c>
    </row>
    <row r="2986" spans="1:1">
      <c r="A2986" s="13" t="s">
        <v>3141</v>
      </c>
    </row>
    <row r="2987" spans="1:1">
      <c r="A2987" s="13" t="s">
        <v>3142</v>
      </c>
    </row>
    <row r="2988" spans="1:1">
      <c r="A2988" s="13" t="s">
        <v>3143</v>
      </c>
    </row>
    <row r="2989" spans="1:1">
      <c r="A2989" s="13" t="s">
        <v>3144</v>
      </c>
    </row>
    <row r="2990" spans="1:1">
      <c r="A2990" s="13" t="s">
        <v>3145</v>
      </c>
    </row>
    <row r="2991" spans="1:1">
      <c r="A2991" s="13" t="s">
        <v>3146</v>
      </c>
    </row>
    <row r="2992" spans="1:1">
      <c r="A2992" s="13" t="s">
        <v>3147</v>
      </c>
    </row>
    <row r="2993" spans="1:1">
      <c r="A2993" s="13" t="s">
        <v>3148</v>
      </c>
    </row>
    <row r="2994" spans="1:1">
      <c r="A2994" s="13" t="s">
        <v>3149</v>
      </c>
    </row>
    <row r="2995" spans="1:1">
      <c r="A2995" s="13" t="s">
        <v>3150</v>
      </c>
    </row>
    <row r="2996" spans="1:1">
      <c r="A2996" s="13" t="s">
        <v>3151</v>
      </c>
    </row>
    <row r="2997" spans="1:1">
      <c r="A2997" s="13" t="s">
        <v>3152</v>
      </c>
    </row>
    <row r="2998" spans="1:1">
      <c r="A2998" s="13" t="s">
        <v>3153</v>
      </c>
    </row>
    <row r="2999" spans="1:1">
      <c r="A2999" s="13" t="s">
        <v>3154</v>
      </c>
    </row>
    <row r="3000" spans="1:1">
      <c r="A3000" s="13" t="s">
        <v>3155</v>
      </c>
    </row>
    <row r="3001" spans="1:1">
      <c r="A3001" s="13" t="s">
        <v>3156</v>
      </c>
    </row>
    <row r="3002" spans="1:1">
      <c r="A3002" s="13" t="s">
        <v>3157</v>
      </c>
    </row>
    <row r="3003" spans="1:1">
      <c r="A3003" s="13" t="s">
        <v>3158</v>
      </c>
    </row>
    <row r="3004" spans="1:1">
      <c r="A3004" s="13" t="s">
        <v>3159</v>
      </c>
    </row>
    <row r="3005" spans="1:1">
      <c r="A3005" s="13" t="s">
        <v>3160</v>
      </c>
    </row>
    <row r="3006" spans="1:1">
      <c r="A3006" s="13" t="s">
        <v>3161</v>
      </c>
    </row>
    <row r="3007" spans="1:1">
      <c r="A3007" s="13" t="s">
        <v>3162</v>
      </c>
    </row>
    <row r="3008" spans="1:1">
      <c r="A3008" s="13" t="s">
        <v>3163</v>
      </c>
    </row>
    <row r="3009" spans="1:1">
      <c r="A3009" s="13" t="s">
        <v>3164</v>
      </c>
    </row>
    <row r="3010" spans="1:1">
      <c r="A3010" s="13" t="s">
        <v>3165</v>
      </c>
    </row>
    <row r="3011" spans="1:1">
      <c r="A3011" s="13" t="s">
        <v>3166</v>
      </c>
    </row>
    <row r="3012" spans="1:1">
      <c r="A3012" s="13" t="s">
        <v>3167</v>
      </c>
    </row>
    <row r="3013" spans="1:1">
      <c r="A3013" s="13" t="s">
        <v>3168</v>
      </c>
    </row>
    <row r="3014" spans="1:1">
      <c r="A3014" s="13" t="s">
        <v>3169</v>
      </c>
    </row>
    <row r="3015" spans="1:1">
      <c r="A3015" s="13" t="s">
        <v>3170</v>
      </c>
    </row>
    <row r="3016" spans="1:1">
      <c r="A3016" s="13" t="s">
        <v>3171</v>
      </c>
    </row>
    <row r="3017" spans="1:1">
      <c r="A3017" s="13" t="s">
        <v>3172</v>
      </c>
    </row>
    <row r="3018" spans="1:1">
      <c r="A3018" s="13" t="s">
        <v>3173</v>
      </c>
    </row>
    <row r="3019" spans="1:1">
      <c r="A3019" s="13" t="s">
        <v>3174</v>
      </c>
    </row>
    <row r="3020" spans="1:1">
      <c r="A3020" s="13" t="s">
        <v>3175</v>
      </c>
    </row>
    <row r="3021" spans="1:1">
      <c r="A3021" s="13" t="s">
        <v>3176</v>
      </c>
    </row>
    <row r="3022" spans="1:1">
      <c r="A3022" s="13" t="s">
        <v>3177</v>
      </c>
    </row>
    <row r="3023" spans="1:1">
      <c r="A3023" s="13" t="s">
        <v>3178</v>
      </c>
    </row>
    <row r="3024" spans="1:1">
      <c r="A3024" s="13" t="s">
        <v>3179</v>
      </c>
    </row>
    <row r="3025" spans="1:1">
      <c r="A3025" s="13" t="s">
        <v>3180</v>
      </c>
    </row>
    <row r="3026" spans="1:1">
      <c r="A3026" s="13" t="s">
        <v>3181</v>
      </c>
    </row>
    <row r="3027" spans="1:1">
      <c r="A3027" s="13" t="s">
        <v>3182</v>
      </c>
    </row>
    <row r="3028" spans="1:1">
      <c r="A3028" s="13" t="s">
        <v>3183</v>
      </c>
    </row>
    <row r="3029" spans="1:1">
      <c r="A3029" s="13" t="s">
        <v>3184</v>
      </c>
    </row>
    <row r="3030" spans="1:1">
      <c r="A3030" s="13" t="s">
        <v>3185</v>
      </c>
    </row>
    <row r="3031" spans="1:1">
      <c r="A3031" s="13" t="s">
        <v>3186</v>
      </c>
    </row>
    <row r="3032" spans="1:1">
      <c r="A3032" s="13" t="s">
        <v>3187</v>
      </c>
    </row>
    <row r="3033" spans="1:1">
      <c r="A3033" s="13" t="s">
        <v>3188</v>
      </c>
    </row>
    <row r="3034" spans="1:1">
      <c r="A3034" s="13" t="s">
        <v>3189</v>
      </c>
    </row>
    <row r="3035" spans="1:1">
      <c r="A3035" s="13" t="s">
        <v>3190</v>
      </c>
    </row>
    <row r="3036" spans="1:1">
      <c r="A3036" s="13" t="s">
        <v>3191</v>
      </c>
    </row>
    <row r="3037" spans="1:1">
      <c r="A3037" s="13" t="s">
        <v>3192</v>
      </c>
    </row>
    <row r="3038" spans="1:1">
      <c r="A3038" s="13" t="s">
        <v>3193</v>
      </c>
    </row>
    <row r="3039" spans="1:1">
      <c r="A3039" s="13" t="s">
        <v>3194</v>
      </c>
    </row>
    <row r="3040" spans="1:1">
      <c r="A3040" s="13" t="s">
        <v>3195</v>
      </c>
    </row>
    <row r="3041" spans="1:1">
      <c r="A3041" s="13" t="s">
        <v>3196</v>
      </c>
    </row>
    <row r="3042" spans="1:1">
      <c r="A3042" s="13" t="s">
        <v>3197</v>
      </c>
    </row>
    <row r="3043" spans="1:1">
      <c r="A3043" s="13" t="s">
        <v>3198</v>
      </c>
    </row>
    <row r="3044" spans="1:1">
      <c r="A3044" s="13" t="s">
        <v>3199</v>
      </c>
    </row>
    <row r="3045" spans="1:1">
      <c r="A3045" s="13" t="s">
        <v>3200</v>
      </c>
    </row>
    <row r="3046" spans="1:1">
      <c r="A3046" s="13" t="s">
        <v>3201</v>
      </c>
    </row>
    <row r="3047" spans="1:1">
      <c r="A3047" s="13" t="s">
        <v>3202</v>
      </c>
    </row>
    <row r="3048" spans="1:1">
      <c r="A3048" s="13" t="s">
        <v>3203</v>
      </c>
    </row>
    <row r="3049" spans="1:1">
      <c r="A3049" s="13" t="s">
        <v>3204</v>
      </c>
    </row>
    <row r="3050" spans="1:1">
      <c r="A3050" s="13" t="s">
        <v>3205</v>
      </c>
    </row>
    <row r="3051" spans="1:1">
      <c r="A3051" s="13" t="s">
        <v>3206</v>
      </c>
    </row>
    <row r="3052" spans="1:1">
      <c r="A3052" s="13" t="s">
        <v>3207</v>
      </c>
    </row>
    <row r="3053" spans="1:1">
      <c r="A3053" s="13" t="s">
        <v>3208</v>
      </c>
    </row>
    <row r="3054" spans="1:1">
      <c r="A3054" s="13" t="s">
        <v>3209</v>
      </c>
    </row>
    <row r="3055" spans="1:1">
      <c r="A3055" s="13" t="s">
        <v>3210</v>
      </c>
    </row>
    <row r="3056" spans="1:1">
      <c r="A3056" s="13" t="s">
        <v>3211</v>
      </c>
    </row>
    <row r="3057" spans="1:1">
      <c r="A3057" s="13" t="s">
        <v>3212</v>
      </c>
    </row>
    <row r="3058" spans="1:1">
      <c r="A3058" s="13" t="s">
        <v>3213</v>
      </c>
    </row>
    <row r="3059" spans="1:1">
      <c r="A3059" s="13" t="s">
        <v>3214</v>
      </c>
    </row>
    <row r="3060" spans="1:1">
      <c r="A3060" s="13" t="s">
        <v>3215</v>
      </c>
    </row>
    <row r="3061" spans="1:1">
      <c r="A3061" s="13" t="s">
        <v>3216</v>
      </c>
    </row>
    <row r="3062" spans="1:1">
      <c r="A3062" s="13" t="s">
        <v>3217</v>
      </c>
    </row>
    <row r="3063" spans="1:1">
      <c r="A3063" s="13" t="s">
        <v>3218</v>
      </c>
    </row>
    <row r="3064" spans="1:1">
      <c r="A3064" s="13" t="s">
        <v>3219</v>
      </c>
    </row>
    <row r="3065" spans="1:1">
      <c r="A3065" s="13" t="s">
        <v>3220</v>
      </c>
    </row>
    <row r="3066" spans="1:1">
      <c r="A3066" s="13" t="s">
        <v>3221</v>
      </c>
    </row>
    <row r="3067" spans="1:1">
      <c r="A3067" s="13" t="s">
        <v>3222</v>
      </c>
    </row>
    <row r="3068" spans="1:1">
      <c r="A3068" s="13" t="s">
        <v>3223</v>
      </c>
    </row>
    <row r="3069" spans="1:1">
      <c r="A3069" s="13" t="s">
        <v>3224</v>
      </c>
    </row>
    <row r="3070" spans="1:1">
      <c r="A3070" s="13" t="s">
        <v>3225</v>
      </c>
    </row>
    <row r="3071" spans="1:1">
      <c r="A3071" s="13" t="s">
        <v>3226</v>
      </c>
    </row>
    <row r="3072" spans="1:1">
      <c r="A3072" s="13" t="s">
        <v>3227</v>
      </c>
    </row>
    <row r="3073" spans="1:1">
      <c r="A3073" s="13" t="s">
        <v>3228</v>
      </c>
    </row>
    <row r="3074" spans="1:1">
      <c r="A3074" s="13" t="s">
        <v>3229</v>
      </c>
    </row>
    <row r="3075" spans="1:1">
      <c r="A3075" s="13" t="s">
        <v>3230</v>
      </c>
    </row>
    <row r="3076" spans="1:1">
      <c r="A3076" s="13" t="s">
        <v>3231</v>
      </c>
    </row>
    <row r="3077" spans="1:1">
      <c r="A3077" s="13" t="s">
        <v>3232</v>
      </c>
    </row>
    <row r="3078" spans="1:1">
      <c r="A3078" s="13" t="s">
        <v>3233</v>
      </c>
    </row>
    <row r="3079" spans="1:1">
      <c r="A3079" s="13" t="s">
        <v>3234</v>
      </c>
    </row>
    <row r="3080" spans="1:1">
      <c r="A3080" s="13" t="s">
        <v>3235</v>
      </c>
    </row>
    <row r="3081" spans="1:1">
      <c r="A3081" s="13" t="s">
        <v>3236</v>
      </c>
    </row>
    <row r="3082" spans="1:1">
      <c r="A3082" s="13" t="s">
        <v>3237</v>
      </c>
    </row>
    <row r="3083" spans="1:1">
      <c r="A3083" s="13" t="s">
        <v>3238</v>
      </c>
    </row>
    <row r="3084" spans="1:1">
      <c r="A3084" s="13" t="s">
        <v>3239</v>
      </c>
    </row>
    <row r="3085" spans="1:1">
      <c r="A3085" s="13" t="s">
        <v>3240</v>
      </c>
    </row>
    <row r="3086" spans="1:1">
      <c r="A3086" s="13" t="s">
        <v>3241</v>
      </c>
    </row>
    <row r="3087" spans="1:1">
      <c r="A3087" s="13" t="s">
        <v>3242</v>
      </c>
    </row>
    <row r="3088" spans="1:1">
      <c r="A3088" s="13" t="s">
        <v>3243</v>
      </c>
    </row>
    <row r="3089" spans="1:1">
      <c r="A3089" s="13" t="s">
        <v>3244</v>
      </c>
    </row>
    <row r="3090" spans="1:1">
      <c r="A3090" s="13" t="s">
        <v>3245</v>
      </c>
    </row>
    <row r="3091" spans="1:1">
      <c r="A3091" s="13" t="s">
        <v>3246</v>
      </c>
    </row>
    <row r="3092" spans="1:1">
      <c r="A3092" s="13" t="s">
        <v>3247</v>
      </c>
    </row>
    <row r="3093" spans="1:1">
      <c r="A3093" s="13" t="s">
        <v>3248</v>
      </c>
    </row>
    <row r="3094" spans="1:1">
      <c r="A3094" s="13" t="s">
        <v>3249</v>
      </c>
    </row>
    <row r="3095" spans="1:1">
      <c r="A3095" s="13" t="s">
        <v>3250</v>
      </c>
    </row>
    <row r="3096" spans="1:1">
      <c r="A3096" s="13" t="s">
        <v>3251</v>
      </c>
    </row>
    <row r="3097" spans="1:1">
      <c r="A3097" s="13" t="s">
        <v>3252</v>
      </c>
    </row>
    <row r="3098" spans="1:1">
      <c r="A3098" s="13" t="s">
        <v>3253</v>
      </c>
    </row>
    <row r="3099" spans="1:1">
      <c r="A3099" s="13" t="s">
        <v>3254</v>
      </c>
    </row>
    <row r="3100" spans="1:1">
      <c r="A3100" s="13" t="s">
        <v>3255</v>
      </c>
    </row>
    <row r="3101" spans="1:1">
      <c r="A3101" s="13" t="s">
        <v>3256</v>
      </c>
    </row>
    <row r="3102" spans="1:1">
      <c r="A3102" s="13" t="s">
        <v>3257</v>
      </c>
    </row>
    <row r="3103" spans="1:1">
      <c r="A3103" s="13" t="s">
        <v>3258</v>
      </c>
    </row>
    <row r="3104" spans="1:1">
      <c r="A3104" s="13" t="s">
        <v>3259</v>
      </c>
    </row>
    <row r="3105" spans="1:1">
      <c r="A3105" s="13" t="s">
        <v>3260</v>
      </c>
    </row>
    <row r="3106" spans="1:1">
      <c r="A3106" s="13" t="s">
        <v>3261</v>
      </c>
    </row>
    <row r="3107" spans="1:1">
      <c r="A3107" s="13" t="s">
        <v>3262</v>
      </c>
    </row>
    <row r="3108" spans="1:1">
      <c r="A3108" s="13" t="s">
        <v>3263</v>
      </c>
    </row>
    <row r="3109" spans="1:1">
      <c r="A3109" s="13" t="s">
        <v>3264</v>
      </c>
    </row>
    <row r="3110" spans="1:1">
      <c r="A3110" s="13" t="s">
        <v>3265</v>
      </c>
    </row>
    <row r="3111" spans="1:1">
      <c r="A3111" s="13" t="s">
        <v>3266</v>
      </c>
    </row>
    <row r="3112" spans="1:1">
      <c r="A3112" s="13" t="s">
        <v>3267</v>
      </c>
    </row>
    <row r="3113" spans="1:1">
      <c r="A3113" s="13" t="s">
        <v>3268</v>
      </c>
    </row>
    <row r="3114" spans="1:1">
      <c r="A3114" s="13" t="s">
        <v>3269</v>
      </c>
    </row>
    <row r="3115" spans="1:1">
      <c r="A3115" s="13" t="s">
        <v>3270</v>
      </c>
    </row>
    <row r="3116" spans="1:1">
      <c r="A3116" s="13" t="s">
        <v>3271</v>
      </c>
    </row>
    <row r="3117" spans="1:1">
      <c r="A3117" s="13" t="s">
        <v>3272</v>
      </c>
    </row>
    <row r="3118" spans="1:1">
      <c r="A3118" s="13" t="s">
        <v>3273</v>
      </c>
    </row>
    <row r="3119" spans="1:1">
      <c r="A3119" s="13" t="s">
        <v>3274</v>
      </c>
    </row>
    <row r="3120" spans="1:1">
      <c r="A3120" s="13" t="s">
        <v>3275</v>
      </c>
    </row>
    <row r="3121" spans="1:1">
      <c r="A3121" s="13" t="s">
        <v>3276</v>
      </c>
    </row>
    <row r="3122" spans="1:1">
      <c r="A3122" s="13" t="s">
        <v>3277</v>
      </c>
    </row>
    <row r="3123" spans="1:1">
      <c r="A3123" s="13" t="s">
        <v>3278</v>
      </c>
    </row>
    <row r="3124" spans="1:1">
      <c r="A3124" s="13" t="s">
        <v>3279</v>
      </c>
    </row>
    <row r="3125" spans="1:1">
      <c r="A3125" s="13" t="s">
        <v>3280</v>
      </c>
    </row>
    <row r="3126" spans="1:1">
      <c r="A3126" s="13" t="s">
        <v>3281</v>
      </c>
    </row>
    <row r="3127" spans="1:1">
      <c r="A3127" s="13" t="s">
        <v>3282</v>
      </c>
    </row>
    <row r="3128" spans="1:1">
      <c r="A3128" s="13" t="s">
        <v>3283</v>
      </c>
    </row>
    <row r="3129" spans="1:1">
      <c r="A3129" s="13" t="s">
        <v>3284</v>
      </c>
    </row>
    <row r="3130" spans="1:1">
      <c r="A3130" s="13" t="s">
        <v>3285</v>
      </c>
    </row>
    <row r="3131" spans="1:1">
      <c r="A3131" s="13" t="s">
        <v>3286</v>
      </c>
    </row>
    <row r="3132" spans="1:1">
      <c r="A3132" s="13" t="s">
        <v>3287</v>
      </c>
    </row>
    <row r="3133" spans="1:1">
      <c r="A3133" s="13" t="s">
        <v>3288</v>
      </c>
    </row>
    <row r="3134" spans="1:1">
      <c r="A3134" s="13" t="s">
        <v>3289</v>
      </c>
    </row>
    <row r="3135" spans="1:1">
      <c r="A3135" s="13" t="s">
        <v>3290</v>
      </c>
    </row>
    <row r="3136" spans="1:1">
      <c r="A3136" s="13" t="s">
        <v>3291</v>
      </c>
    </row>
    <row r="3137" spans="1:1">
      <c r="A3137" s="13" t="s">
        <v>3292</v>
      </c>
    </row>
    <row r="3138" spans="1:1">
      <c r="A3138" s="13" t="s">
        <v>3293</v>
      </c>
    </row>
    <row r="3139" spans="1:1">
      <c r="A3139" s="13" t="s">
        <v>3294</v>
      </c>
    </row>
    <row r="3140" spans="1:1">
      <c r="A3140" s="13" t="s">
        <v>3295</v>
      </c>
    </row>
    <row r="3141" spans="1:1">
      <c r="A3141" s="13" t="s">
        <v>3296</v>
      </c>
    </row>
    <row r="3142" spans="1:1">
      <c r="A3142" s="13" t="s">
        <v>3297</v>
      </c>
    </row>
    <row r="3143" spans="1:1">
      <c r="A3143" s="13" t="s">
        <v>3298</v>
      </c>
    </row>
    <row r="3144" spans="1:1">
      <c r="A3144" s="13" t="s">
        <v>3299</v>
      </c>
    </row>
    <row r="3145" spans="1:1">
      <c r="A3145" s="13" t="s">
        <v>3300</v>
      </c>
    </row>
    <row r="3146" spans="1:1">
      <c r="A3146" s="13" t="s">
        <v>3301</v>
      </c>
    </row>
    <row r="3147" spans="1:1">
      <c r="A3147" s="13" t="s">
        <v>3302</v>
      </c>
    </row>
    <row r="3148" spans="1:1">
      <c r="A3148" s="13" t="s">
        <v>3303</v>
      </c>
    </row>
    <row r="3149" spans="1:1">
      <c r="A3149" s="13" t="s">
        <v>3304</v>
      </c>
    </row>
    <row r="3150" spans="1:1">
      <c r="A3150" s="13" t="s">
        <v>3305</v>
      </c>
    </row>
    <row r="3151" spans="1:1">
      <c r="A3151" s="13" t="s">
        <v>3306</v>
      </c>
    </row>
    <row r="3152" spans="1:1">
      <c r="A3152" s="13" t="s">
        <v>3307</v>
      </c>
    </row>
    <row r="3153" spans="1:1">
      <c r="A3153" s="13" t="s">
        <v>3308</v>
      </c>
    </row>
    <row r="3154" spans="1:1">
      <c r="A3154" s="13" t="s">
        <v>3309</v>
      </c>
    </row>
    <row r="3155" spans="1:1">
      <c r="A3155" s="13" t="s">
        <v>3310</v>
      </c>
    </row>
    <row r="3156" spans="1:1">
      <c r="A3156" s="13" t="s">
        <v>3311</v>
      </c>
    </row>
    <row r="3157" spans="1:1">
      <c r="A3157" s="13" t="s">
        <v>3312</v>
      </c>
    </row>
    <row r="3158" spans="1:1">
      <c r="A3158" s="13" t="s">
        <v>3313</v>
      </c>
    </row>
    <row r="3159" spans="1:1">
      <c r="A3159" s="13" t="s">
        <v>3314</v>
      </c>
    </row>
    <row r="3160" spans="1:1">
      <c r="A3160" s="13" t="s">
        <v>3315</v>
      </c>
    </row>
    <row r="3161" spans="1:1">
      <c r="A3161" s="13" t="s">
        <v>3316</v>
      </c>
    </row>
    <row r="3162" spans="1:1">
      <c r="A3162" s="13" t="s">
        <v>3317</v>
      </c>
    </row>
    <row r="3163" spans="1:1">
      <c r="A3163" s="13" t="s">
        <v>3318</v>
      </c>
    </row>
    <row r="3164" spans="1:1">
      <c r="A3164" s="13" t="s">
        <v>3319</v>
      </c>
    </row>
    <row r="3165" spans="1:1">
      <c r="A3165" s="13" t="s">
        <v>3320</v>
      </c>
    </row>
    <row r="3166" spans="1:1">
      <c r="A3166" s="13" t="s">
        <v>3321</v>
      </c>
    </row>
    <row r="3167" spans="1:1">
      <c r="A3167" s="13" t="s">
        <v>3322</v>
      </c>
    </row>
    <row r="3168" spans="1:1">
      <c r="A3168" s="13" t="s">
        <v>3323</v>
      </c>
    </row>
    <row r="3169" spans="1:1">
      <c r="A3169" s="13" t="s">
        <v>3324</v>
      </c>
    </row>
    <row r="3170" spans="1:1">
      <c r="A3170" s="13" t="s">
        <v>3325</v>
      </c>
    </row>
    <row r="3171" spans="1:1">
      <c r="A3171" s="13" t="s">
        <v>3326</v>
      </c>
    </row>
    <row r="3172" spans="1:1">
      <c r="A3172" s="13" t="s">
        <v>3327</v>
      </c>
    </row>
    <row r="3173" spans="1:1">
      <c r="A3173" s="13" t="s">
        <v>3328</v>
      </c>
    </row>
    <row r="3174" spans="1:1">
      <c r="A3174" s="13" t="s">
        <v>3329</v>
      </c>
    </row>
    <row r="3175" spans="1:1">
      <c r="A3175" s="13" t="s">
        <v>3330</v>
      </c>
    </row>
    <row r="3176" spans="1:1">
      <c r="A3176" s="13" t="s">
        <v>3331</v>
      </c>
    </row>
    <row r="3177" spans="1:1">
      <c r="A3177" s="13" t="s">
        <v>3332</v>
      </c>
    </row>
    <row r="3178" spans="1:1">
      <c r="A3178" s="13" t="s">
        <v>3333</v>
      </c>
    </row>
    <row r="3179" spans="1:1">
      <c r="A3179" s="13" t="s">
        <v>3334</v>
      </c>
    </row>
    <row r="3180" spans="1:1">
      <c r="A3180" s="13" t="s">
        <v>3335</v>
      </c>
    </row>
    <row r="3181" spans="1:1">
      <c r="A3181" s="13" t="s">
        <v>3336</v>
      </c>
    </row>
    <row r="3182" spans="1:1">
      <c r="A3182" s="13" t="s">
        <v>3337</v>
      </c>
    </row>
    <row r="3183" spans="1:1">
      <c r="A3183" s="13" t="s">
        <v>3338</v>
      </c>
    </row>
    <row r="3184" spans="1:1">
      <c r="A3184" s="13" t="s">
        <v>3339</v>
      </c>
    </row>
    <row r="3185" spans="1:1">
      <c r="A3185" s="13" t="s">
        <v>3340</v>
      </c>
    </row>
    <row r="3186" spans="1:1">
      <c r="A3186" s="13" t="s">
        <v>3341</v>
      </c>
    </row>
    <row r="3187" spans="1:1">
      <c r="A3187" s="13" t="s">
        <v>3342</v>
      </c>
    </row>
    <row r="3188" spans="1:1">
      <c r="A3188" s="13" t="s">
        <v>3343</v>
      </c>
    </row>
    <row r="3189" spans="1:1">
      <c r="A3189" s="13" t="s">
        <v>3344</v>
      </c>
    </row>
    <row r="3190" spans="1:1">
      <c r="A3190" s="13" t="s">
        <v>3345</v>
      </c>
    </row>
    <row r="3191" spans="1:1">
      <c r="A3191" s="13" t="s">
        <v>3346</v>
      </c>
    </row>
    <row r="3192" spans="1:1">
      <c r="A3192" s="13" t="s">
        <v>3347</v>
      </c>
    </row>
    <row r="3193" spans="1:1">
      <c r="A3193" s="13" t="s">
        <v>3348</v>
      </c>
    </row>
    <row r="3194" spans="1:1">
      <c r="A3194" s="13" t="s">
        <v>3349</v>
      </c>
    </row>
    <row r="3195" spans="1:1">
      <c r="A3195" s="13" t="s">
        <v>3350</v>
      </c>
    </row>
    <row r="3196" spans="1:1">
      <c r="A3196" s="13" t="s">
        <v>3351</v>
      </c>
    </row>
    <row r="3197" spans="1:1">
      <c r="A3197" s="13" t="s">
        <v>3352</v>
      </c>
    </row>
    <row r="3198" spans="1:1">
      <c r="A3198" s="13" t="s">
        <v>3353</v>
      </c>
    </row>
    <row r="3199" spans="1:1">
      <c r="A3199" s="13" t="s">
        <v>3354</v>
      </c>
    </row>
    <row r="3200" spans="1:1">
      <c r="A3200" s="13" t="s">
        <v>3355</v>
      </c>
    </row>
    <row r="3201" spans="1:1">
      <c r="A3201" s="13" t="s">
        <v>3356</v>
      </c>
    </row>
    <row r="3202" spans="1:1">
      <c r="A3202" s="13" t="s">
        <v>3357</v>
      </c>
    </row>
    <row r="3203" spans="1:1">
      <c r="A3203" s="13" t="s">
        <v>3358</v>
      </c>
    </row>
    <row r="3204" spans="1:1">
      <c r="A3204" s="13" t="s">
        <v>3359</v>
      </c>
    </row>
    <row r="3205" spans="1:1">
      <c r="A3205" s="13" t="s">
        <v>3360</v>
      </c>
    </row>
    <row r="3206" spans="1:1">
      <c r="A3206" s="13" t="s">
        <v>3361</v>
      </c>
    </row>
    <row r="3207" spans="1:1">
      <c r="A3207" s="13" t="s">
        <v>3362</v>
      </c>
    </row>
    <row r="3208" spans="1:1">
      <c r="A3208" s="13" t="s">
        <v>3363</v>
      </c>
    </row>
    <row r="3209" spans="1:1">
      <c r="A3209" s="13" t="s">
        <v>3364</v>
      </c>
    </row>
    <row r="3210" spans="1:1">
      <c r="A3210" s="13" t="s">
        <v>3365</v>
      </c>
    </row>
    <row r="3211" spans="1:1">
      <c r="A3211" s="13" t="s">
        <v>3366</v>
      </c>
    </row>
    <row r="3212" spans="1:1">
      <c r="A3212" s="13" t="s">
        <v>3367</v>
      </c>
    </row>
    <row r="3213" spans="1:1">
      <c r="A3213" s="13" t="s">
        <v>3368</v>
      </c>
    </row>
    <row r="3214" spans="1:1">
      <c r="A3214" s="13" t="s">
        <v>3369</v>
      </c>
    </row>
    <row r="3215" spans="1:1">
      <c r="A3215" s="13" t="s">
        <v>3370</v>
      </c>
    </row>
    <row r="3216" spans="1:1">
      <c r="A3216" s="13" t="s">
        <v>3371</v>
      </c>
    </row>
    <row r="3217" spans="1:1">
      <c r="A3217" s="13" t="s">
        <v>3372</v>
      </c>
    </row>
    <row r="3218" spans="1:1">
      <c r="A3218" s="13" t="s">
        <v>3373</v>
      </c>
    </row>
    <row r="3219" spans="1:1">
      <c r="A3219" s="13" t="s">
        <v>3374</v>
      </c>
    </row>
    <row r="3220" spans="1:1">
      <c r="A3220" s="13" t="s">
        <v>3375</v>
      </c>
    </row>
    <row r="3221" spans="1:1">
      <c r="A3221" s="13" t="s">
        <v>3376</v>
      </c>
    </row>
    <row r="3222" spans="1:1">
      <c r="A3222" s="13" t="s">
        <v>3377</v>
      </c>
    </row>
    <row r="3223" spans="1:1">
      <c r="A3223" s="13" t="s">
        <v>3378</v>
      </c>
    </row>
    <row r="3224" spans="1:1">
      <c r="A3224" s="13" t="s">
        <v>3379</v>
      </c>
    </row>
    <row r="3225" spans="1:1">
      <c r="A3225" s="13" t="s">
        <v>3380</v>
      </c>
    </row>
    <row r="3226" spans="1:1">
      <c r="A3226" s="13" t="s">
        <v>3381</v>
      </c>
    </row>
    <row r="3227" spans="1:1">
      <c r="A3227" s="13" t="s">
        <v>3382</v>
      </c>
    </row>
    <row r="3228" spans="1:1">
      <c r="A3228" s="13" t="s">
        <v>3383</v>
      </c>
    </row>
    <row r="3229" spans="1:1">
      <c r="A3229" s="13" t="s">
        <v>3384</v>
      </c>
    </row>
    <row r="3230" spans="1:1">
      <c r="A3230" s="13" t="s">
        <v>3385</v>
      </c>
    </row>
    <row r="3231" spans="1:1">
      <c r="A3231" s="13" t="s">
        <v>3386</v>
      </c>
    </row>
    <row r="3232" spans="1:1">
      <c r="A3232" s="13" t="s">
        <v>3387</v>
      </c>
    </row>
    <row r="3233" spans="1:1">
      <c r="A3233" s="13" t="s">
        <v>3388</v>
      </c>
    </row>
    <row r="3234" spans="1:1">
      <c r="A3234" s="13" t="s">
        <v>3389</v>
      </c>
    </row>
    <row r="3235" spans="1:1">
      <c r="A3235" s="13" t="s">
        <v>3390</v>
      </c>
    </row>
    <row r="3236" spans="1:1">
      <c r="A3236" s="13" t="s">
        <v>3391</v>
      </c>
    </row>
    <row r="3237" spans="1:1">
      <c r="A3237" s="13" t="s">
        <v>3392</v>
      </c>
    </row>
    <row r="3238" spans="1:1">
      <c r="A3238" s="13" t="s">
        <v>3393</v>
      </c>
    </row>
    <row r="3239" spans="1:1">
      <c r="A3239" s="13" t="s">
        <v>3394</v>
      </c>
    </row>
    <row r="3240" spans="1:1">
      <c r="A3240" s="13" t="s">
        <v>3395</v>
      </c>
    </row>
    <row r="3241" spans="1:1">
      <c r="A3241" s="13" t="s">
        <v>3396</v>
      </c>
    </row>
    <row r="3242" spans="1:1">
      <c r="A3242" s="13" t="s">
        <v>3397</v>
      </c>
    </row>
    <row r="3243" spans="1:1">
      <c r="A3243" s="13" t="s">
        <v>3398</v>
      </c>
    </row>
    <row r="3244" spans="1:1">
      <c r="A3244" s="13" t="s">
        <v>3399</v>
      </c>
    </row>
    <row r="3245" spans="1:1">
      <c r="A3245" s="13" t="s">
        <v>3400</v>
      </c>
    </row>
    <row r="3246" spans="1:1">
      <c r="A3246" s="13" t="s">
        <v>3401</v>
      </c>
    </row>
    <row r="3247" spans="1:1">
      <c r="A3247" s="13" t="s">
        <v>3402</v>
      </c>
    </row>
    <row r="3248" spans="1:1">
      <c r="A3248" s="13" t="s">
        <v>3403</v>
      </c>
    </row>
    <row r="3249" spans="1:1">
      <c r="A3249" s="13" t="s">
        <v>3404</v>
      </c>
    </row>
    <row r="3250" spans="1:1">
      <c r="A3250" s="13" t="s">
        <v>3405</v>
      </c>
    </row>
    <row r="3251" spans="1:1">
      <c r="A3251" s="13" t="s">
        <v>3406</v>
      </c>
    </row>
    <row r="3252" spans="1:1">
      <c r="A3252" s="13" t="s">
        <v>3407</v>
      </c>
    </row>
    <row r="3253" spans="1:1">
      <c r="A3253" s="13" t="s">
        <v>3408</v>
      </c>
    </row>
    <row r="3254" spans="1:1">
      <c r="A3254" s="13" t="s">
        <v>3409</v>
      </c>
    </row>
    <row r="3255" spans="1:1">
      <c r="A3255" s="13" t="s">
        <v>3410</v>
      </c>
    </row>
    <row r="3256" spans="1:1">
      <c r="A3256" s="13" t="s">
        <v>3411</v>
      </c>
    </row>
    <row r="3257" spans="1:1">
      <c r="A3257" s="13" t="s">
        <v>3412</v>
      </c>
    </row>
    <row r="3258" spans="1:1">
      <c r="A3258" s="13" t="s">
        <v>3413</v>
      </c>
    </row>
    <row r="3259" spans="1:1">
      <c r="A3259" s="13" t="s">
        <v>3414</v>
      </c>
    </row>
    <row r="3260" spans="1:1">
      <c r="A3260" s="13" t="s">
        <v>3415</v>
      </c>
    </row>
    <row r="3261" spans="1:1">
      <c r="A3261" s="13" t="s">
        <v>3416</v>
      </c>
    </row>
    <row r="3262" spans="1:1">
      <c r="A3262" s="13" t="s">
        <v>3417</v>
      </c>
    </row>
    <row r="3263" spans="1:1">
      <c r="A3263" s="13" t="s">
        <v>3418</v>
      </c>
    </row>
    <row r="3264" spans="1:1">
      <c r="A3264" s="13" t="s">
        <v>526</v>
      </c>
    </row>
    <row r="3265" spans="1:1">
      <c r="A3265" s="13" t="s">
        <v>3419</v>
      </c>
    </row>
    <row r="3266" spans="1:1">
      <c r="A3266" s="13" t="s">
        <v>3420</v>
      </c>
    </row>
    <row r="3267" spans="1:1">
      <c r="A3267" s="13" t="s">
        <v>3421</v>
      </c>
    </row>
    <row r="3268" spans="1:1">
      <c r="A3268" s="13" t="s">
        <v>3422</v>
      </c>
    </row>
    <row r="3269" spans="1:1">
      <c r="A3269" s="13" t="s">
        <v>3423</v>
      </c>
    </row>
    <row r="3270" spans="1:1">
      <c r="A3270" s="13" t="s">
        <v>3424</v>
      </c>
    </row>
    <row r="3271" spans="1:1">
      <c r="A3271" s="13" t="s">
        <v>3425</v>
      </c>
    </row>
    <row r="3272" spans="1:1">
      <c r="A3272" s="13" t="s">
        <v>3426</v>
      </c>
    </row>
    <row r="3273" spans="1:1">
      <c r="A3273" s="13" t="s">
        <v>3427</v>
      </c>
    </row>
    <row r="3274" spans="1:1">
      <c r="A3274" s="13" t="s">
        <v>3428</v>
      </c>
    </row>
    <row r="3275" spans="1:1">
      <c r="A3275" s="13" t="s">
        <v>3429</v>
      </c>
    </row>
    <row r="3276" spans="1:1">
      <c r="A3276" s="13" t="s">
        <v>3430</v>
      </c>
    </row>
    <row r="3277" spans="1:1">
      <c r="A3277" s="13" t="s">
        <v>3431</v>
      </c>
    </row>
    <row r="3278" spans="1:1">
      <c r="A3278" s="13" t="s">
        <v>3432</v>
      </c>
    </row>
    <row r="3279" spans="1:1">
      <c r="A3279" s="13" t="s">
        <v>526</v>
      </c>
    </row>
    <row r="3280" spans="1:1">
      <c r="A3280" s="13" t="s">
        <v>3433</v>
      </c>
    </row>
    <row r="3281" spans="1:1">
      <c r="A3281" s="13" t="s">
        <v>3434</v>
      </c>
    </row>
    <row r="3282" spans="1:1">
      <c r="A3282" s="13" t="s">
        <v>3435</v>
      </c>
    </row>
    <row r="3283" spans="1:1">
      <c r="A3283" s="13" t="s">
        <v>3436</v>
      </c>
    </row>
    <row r="3284" spans="1:1">
      <c r="A3284" s="13" t="s">
        <v>3437</v>
      </c>
    </row>
    <row r="3285" spans="1:1">
      <c r="A3285" s="13" t="s">
        <v>3438</v>
      </c>
    </row>
    <row r="3286" spans="1:1">
      <c r="A3286" s="13" t="s">
        <v>3439</v>
      </c>
    </row>
    <row r="3287" spans="1:1">
      <c r="A3287" s="13" t="s">
        <v>3440</v>
      </c>
    </row>
    <row r="3288" spans="1:1">
      <c r="A3288" s="13" t="s">
        <v>3441</v>
      </c>
    </row>
    <row r="3289" spans="1:1">
      <c r="A3289" s="13" t="s">
        <v>3442</v>
      </c>
    </row>
    <row r="3290" spans="1:1">
      <c r="A3290" s="13" t="s">
        <v>3443</v>
      </c>
    </row>
    <row r="3291" spans="1:1">
      <c r="A3291" s="13" t="s">
        <v>3444</v>
      </c>
    </row>
    <row r="3292" spans="1:1">
      <c r="A3292" s="13" t="s">
        <v>3445</v>
      </c>
    </row>
    <row r="3293" spans="1:1">
      <c r="A3293" s="13" t="s">
        <v>3446</v>
      </c>
    </row>
    <row r="3294" spans="1:1">
      <c r="A3294" s="13" t="s">
        <v>3447</v>
      </c>
    </row>
    <row r="3295" spans="1:1">
      <c r="A3295" s="13" t="s">
        <v>3448</v>
      </c>
    </row>
    <row r="3296" spans="1:1">
      <c r="A3296" s="13" t="s">
        <v>3449</v>
      </c>
    </row>
    <row r="3297" spans="1:1">
      <c r="A3297" s="13" t="s">
        <v>3450</v>
      </c>
    </row>
    <row r="3298" spans="1:1">
      <c r="A3298" s="13" t="s">
        <v>3451</v>
      </c>
    </row>
    <row r="3299" spans="1:1">
      <c r="A3299" s="13" t="s">
        <v>3452</v>
      </c>
    </row>
    <row r="3300" spans="1:1">
      <c r="A3300" s="13" t="s">
        <v>3453</v>
      </c>
    </row>
    <row r="3301" spans="1:1">
      <c r="A3301" s="13" t="s">
        <v>3454</v>
      </c>
    </row>
    <row r="3302" spans="1:1">
      <c r="A3302" s="13" t="s">
        <v>3455</v>
      </c>
    </row>
    <row r="3303" spans="1:1">
      <c r="A3303" s="13" t="s">
        <v>3456</v>
      </c>
    </row>
    <row r="3304" spans="1:1">
      <c r="A3304" s="13" t="s">
        <v>3457</v>
      </c>
    </row>
    <row r="3305" spans="1:1">
      <c r="A3305" s="13" t="s">
        <v>3458</v>
      </c>
    </row>
    <row r="3306" spans="1:1">
      <c r="A3306" s="13" t="s">
        <v>3459</v>
      </c>
    </row>
    <row r="3307" spans="1:1">
      <c r="A3307" s="13" t="s">
        <v>3460</v>
      </c>
    </row>
    <row r="3308" spans="1:1">
      <c r="A3308" s="13" t="s">
        <v>3461</v>
      </c>
    </row>
    <row r="3309" spans="1:1">
      <c r="A3309" s="13" t="s">
        <v>3462</v>
      </c>
    </row>
    <row r="3310" spans="1:1">
      <c r="A3310" s="13" t="s">
        <v>3463</v>
      </c>
    </row>
    <row r="3311" spans="1:1">
      <c r="A3311" s="13" t="s">
        <v>526</v>
      </c>
    </row>
    <row r="3312" spans="1:1">
      <c r="A3312" s="13" t="s">
        <v>3464</v>
      </c>
    </row>
    <row r="3313" spans="1:1">
      <c r="A3313" s="13" t="s">
        <v>3465</v>
      </c>
    </row>
    <row r="3314" spans="1:1">
      <c r="A3314" s="13" t="s">
        <v>3466</v>
      </c>
    </row>
    <row r="3315" spans="1:1">
      <c r="A3315" s="13" t="s">
        <v>3467</v>
      </c>
    </row>
    <row r="3316" spans="1:1">
      <c r="A3316" s="13" t="s">
        <v>3468</v>
      </c>
    </row>
    <row r="3317" spans="1:1">
      <c r="A3317" s="13" t="s">
        <v>3469</v>
      </c>
    </row>
    <row r="3318" spans="1:1">
      <c r="A3318" s="13" t="s">
        <v>3470</v>
      </c>
    </row>
    <row r="3319" spans="1:1">
      <c r="A3319" s="13" t="s">
        <v>3471</v>
      </c>
    </row>
    <row r="3320" spans="1:1">
      <c r="A3320" s="13" t="s">
        <v>3472</v>
      </c>
    </row>
    <row r="3321" spans="1:1">
      <c r="A3321" s="13" t="s">
        <v>3473</v>
      </c>
    </row>
    <row r="3322" spans="1:1">
      <c r="A3322" s="13" t="s">
        <v>3474</v>
      </c>
    </row>
    <row r="3323" spans="1:1">
      <c r="A3323" s="13" t="s">
        <v>3475</v>
      </c>
    </row>
    <row r="3324" spans="1:1">
      <c r="A3324" s="13" t="s">
        <v>3476</v>
      </c>
    </row>
    <row r="3325" spans="1:1">
      <c r="A3325" s="13" t="s">
        <v>3477</v>
      </c>
    </row>
    <row r="3326" spans="1:1">
      <c r="A3326" s="13" t="s">
        <v>3478</v>
      </c>
    </row>
    <row r="3327" spans="1:1">
      <c r="A3327" s="13" t="s">
        <v>3479</v>
      </c>
    </row>
    <row r="3328" spans="1:1">
      <c r="A3328" s="13" t="s">
        <v>3480</v>
      </c>
    </row>
    <row r="3329" spans="1:1">
      <c r="A3329" s="13" t="s">
        <v>3481</v>
      </c>
    </row>
    <row r="3330" spans="1:1">
      <c r="A3330" s="13" t="s">
        <v>3482</v>
      </c>
    </row>
    <row r="3331" spans="1:1">
      <c r="A3331" s="13" t="s">
        <v>3483</v>
      </c>
    </row>
    <row r="3332" spans="1:1">
      <c r="A3332" s="13" t="s">
        <v>3484</v>
      </c>
    </row>
    <row r="3333" spans="1:1">
      <c r="A3333" s="13" t="s">
        <v>526</v>
      </c>
    </row>
    <row r="3334" spans="1:1">
      <c r="A3334" s="13" t="s">
        <v>3485</v>
      </c>
    </row>
    <row r="3335" spans="1:1">
      <c r="A3335" s="13" t="s">
        <v>3486</v>
      </c>
    </row>
    <row r="3336" spans="1:1">
      <c r="A3336" s="13" t="s">
        <v>3487</v>
      </c>
    </row>
    <row r="3337" spans="1:1">
      <c r="A3337" s="13" t="s">
        <v>3488</v>
      </c>
    </row>
    <row r="3338" spans="1:1">
      <c r="A3338" s="13" t="s">
        <v>3489</v>
      </c>
    </row>
    <row r="3339" spans="1:1">
      <c r="A3339" s="13" t="s">
        <v>3490</v>
      </c>
    </row>
    <row r="3340" spans="1:1">
      <c r="A3340" s="13" t="s">
        <v>3491</v>
      </c>
    </row>
    <row r="3341" spans="1:1">
      <c r="A3341" s="13" t="s">
        <v>3492</v>
      </c>
    </row>
    <row r="3342" spans="1:1">
      <c r="A3342" s="13" t="s">
        <v>3493</v>
      </c>
    </row>
    <row r="3343" spans="1:1">
      <c r="A3343" s="13" t="s">
        <v>3494</v>
      </c>
    </row>
    <row r="3344" spans="1:1">
      <c r="A3344" s="13" t="s">
        <v>3495</v>
      </c>
    </row>
    <row r="3345" spans="1:1">
      <c r="A3345" s="13" t="s">
        <v>526</v>
      </c>
    </row>
    <row r="3346" spans="1:1">
      <c r="A3346" s="13" t="s">
        <v>3496</v>
      </c>
    </row>
    <row r="3347" spans="1:1">
      <c r="A3347" s="13" t="s">
        <v>3497</v>
      </c>
    </row>
    <row r="3348" spans="1:1">
      <c r="A3348" s="13" t="s">
        <v>3498</v>
      </c>
    </row>
    <row r="3349" spans="1:1">
      <c r="A3349" s="13" t="s">
        <v>3499</v>
      </c>
    </row>
    <row r="3350" spans="1:1">
      <c r="A3350" s="13" t="s">
        <v>3500</v>
      </c>
    </row>
    <row r="3351" spans="1:1">
      <c r="A3351" s="13" t="s">
        <v>3501</v>
      </c>
    </row>
    <row r="3352" spans="1:1">
      <c r="A3352" s="13" t="s">
        <v>3502</v>
      </c>
    </row>
    <row r="3353" spans="1:1">
      <c r="A3353" s="13" t="s">
        <v>3503</v>
      </c>
    </row>
    <row r="3354" spans="1:1">
      <c r="A3354" s="13" t="s">
        <v>3504</v>
      </c>
    </row>
    <row r="3355" spans="1:1">
      <c r="A3355" s="13" t="s">
        <v>3505</v>
      </c>
    </row>
    <row r="3356" spans="1:1">
      <c r="A3356" s="13" t="s">
        <v>3506</v>
      </c>
    </row>
    <row r="3357" spans="1:1">
      <c r="A3357" s="13" t="s">
        <v>3507</v>
      </c>
    </row>
    <row r="3358" spans="1:1">
      <c r="A3358" s="13" t="s">
        <v>3508</v>
      </c>
    </row>
    <row r="3359" spans="1:1">
      <c r="A3359" s="13" t="s">
        <v>3509</v>
      </c>
    </row>
    <row r="3360" spans="1:1">
      <c r="A3360" s="13" t="s">
        <v>3510</v>
      </c>
    </row>
    <row r="3361" spans="1:1">
      <c r="A3361" s="13" t="s">
        <v>3511</v>
      </c>
    </row>
    <row r="3362" spans="1:1">
      <c r="A3362" s="13" t="s">
        <v>3512</v>
      </c>
    </row>
    <row r="3363" spans="1:1">
      <c r="A3363" s="13" t="s">
        <v>3513</v>
      </c>
    </row>
    <row r="3364" spans="1:1">
      <c r="A3364" s="13" t="s">
        <v>526</v>
      </c>
    </row>
    <row r="3365" spans="1:1">
      <c r="A3365" s="13" t="s">
        <v>3514</v>
      </c>
    </row>
    <row r="3366" spans="1:1">
      <c r="A3366" s="13" t="s">
        <v>3515</v>
      </c>
    </row>
    <row r="3367" spans="1:1">
      <c r="A3367" s="13" t="s">
        <v>3516</v>
      </c>
    </row>
    <row r="3368" spans="1:1">
      <c r="A3368" s="13" t="s">
        <v>3517</v>
      </c>
    </row>
    <row r="3369" spans="1:1">
      <c r="A3369" s="13" t="s">
        <v>3518</v>
      </c>
    </row>
    <row r="3370" spans="1:1">
      <c r="A3370" s="13" t="s">
        <v>3519</v>
      </c>
    </row>
    <row r="3371" spans="1:1">
      <c r="A3371" s="13" t="s">
        <v>3520</v>
      </c>
    </row>
    <row r="3372" spans="1:1">
      <c r="A3372" s="13" t="s">
        <v>3521</v>
      </c>
    </row>
    <row r="3373" spans="1:1">
      <c r="A3373" s="13" t="s">
        <v>3522</v>
      </c>
    </row>
    <row r="3374" spans="1:1">
      <c r="A3374" s="13" t="s">
        <v>3523</v>
      </c>
    </row>
    <row r="3375" spans="1:1">
      <c r="A3375" s="13" t="s">
        <v>3524</v>
      </c>
    </row>
    <row r="3376" spans="1:1">
      <c r="A3376" s="13" t="s">
        <v>3525</v>
      </c>
    </row>
    <row r="3377" spans="1:1">
      <c r="A3377" s="13" t="s">
        <v>526</v>
      </c>
    </row>
    <row r="3378" spans="1:1">
      <c r="A3378" s="13" t="s">
        <v>3526</v>
      </c>
    </row>
    <row r="3379" spans="1:1">
      <c r="A3379" s="13" t="s">
        <v>3527</v>
      </c>
    </row>
    <row r="3380" spans="1:1">
      <c r="A3380" s="13" t="s">
        <v>3528</v>
      </c>
    </row>
    <row r="3381" spans="1:1">
      <c r="A3381" s="13" t="s">
        <v>3529</v>
      </c>
    </row>
    <row r="3382" spans="1:1">
      <c r="A3382" s="13" t="s">
        <v>3530</v>
      </c>
    </row>
    <row r="3383" spans="1:1">
      <c r="A3383" s="13" t="s">
        <v>3531</v>
      </c>
    </row>
    <row r="3384" spans="1:1">
      <c r="A3384" s="13" t="s">
        <v>3532</v>
      </c>
    </row>
    <row r="3385" spans="1:1">
      <c r="A3385" s="13" t="s">
        <v>3533</v>
      </c>
    </row>
    <row r="3386" spans="1:1">
      <c r="A3386" s="13" t="s">
        <v>3534</v>
      </c>
    </row>
    <row r="3387" spans="1:1">
      <c r="A3387" s="13" t="s">
        <v>3535</v>
      </c>
    </row>
    <row r="3388" spans="1:1">
      <c r="A3388" s="13" t="s">
        <v>3536</v>
      </c>
    </row>
    <row r="3389" spans="1:1">
      <c r="A3389" s="13" t="s">
        <v>3537</v>
      </c>
    </row>
    <row r="3390" spans="1:1">
      <c r="A3390" s="13" t="s">
        <v>3538</v>
      </c>
    </row>
    <row r="3391" spans="1:1">
      <c r="A3391" s="13" t="s">
        <v>3539</v>
      </c>
    </row>
    <row r="3392" spans="1:1">
      <c r="A3392" s="13" t="s">
        <v>3540</v>
      </c>
    </row>
    <row r="3393" spans="1:1">
      <c r="A3393" s="13" t="s">
        <v>3541</v>
      </c>
    </row>
    <row r="3394" spans="1:1">
      <c r="A3394" s="13" t="s">
        <v>3542</v>
      </c>
    </row>
    <row r="3395" spans="1:1">
      <c r="A3395" s="13" t="s">
        <v>3543</v>
      </c>
    </row>
    <row r="3396" spans="1:1">
      <c r="A3396" s="13" t="s">
        <v>3544</v>
      </c>
    </row>
    <row r="3397" spans="1:1">
      <c r="A3397" s="13" t="s">
        <v>526</v>
      </c>
    </row>
    <row r="3398" spans="1:1">
      <c r="A3398" s="13" t="s">
        <v>3545</v>
      </c>
    </row>
    <row r="3399" spans="1:1">
      <c r="A3399" s="13" t="s">
        <v>3546</v>
      </c>
    </row>
    <row r="3400" spans="1:1">
      <c r="A3400" s="13" t="s">
        <v>3547</v>
      </c>
    </row>
    <row r="3401" spans="1:1">
      <c r="A3401" s="13" t="s">
        <v>3548</v>
      </c>
    </row>
    <row r="3402" spans="1:1">
      <c r="A3402" s="13" t="s">
        <v>3549</v>
      </c>
    </row>
    <row r="3403" spans="1:1">
      <c r="A3403" s="13" t="s">
        <v>3550</v>
      </c>
    </row>
    <row r="3404" spans="1:1">
      <c r="A3404" s="13" t="s">
        <v>3551</v>
      </c>
    </row>
    <row r="3405" spans="1:1">
      <c r="A3405" s="13" t="s">
        <v>3552</v>
      </c>
    </row>
    <row r="3406" spans="1:1">
      <c r="A3406" s="13" t="s">
        <v>3553</v>
      </c>
    </row>
    <row r="3407" spans="1:1">
      <c r="A3407" s="13" t="s">
        <v>3554</v>
      </c>
    </row>
    <row r="3408" spans="1:1">
      <c r="A3408" s="13" t="s">
        <v>3555</v>
      </c>
    </row>
    <row r="3409" spans="1:1">
      <c r="A3409" s="13" t="s">
        <v>3556</v>
      </c>
    </row>
    <row r="3410" spans="1:1">
      <c r="A3410" s="13" t="s">
        <v>3557</v>
      </c>
    </row>
    <row r="3411" spans="1:1">
      <c r="A3411" s="13" t="s">
        <v>3558</v>
      </c>
    </row>
    <row r="3412" spans="1:1">
      <c r="A3412" s="13" t="s">
        <v>3559</v>
      </c>
    </row>
    <row r="3413" spans="1:1">
      <c r="A3413" s="13" t="s">
        <v>3560</v>
      </c>
    </row>
    <row r="3414" spans="1:1">
      <c r="A3414" s="13" t="s">
        <v>3561</v>
      </c>
    </row>
    <row r="3415" spans="1:1">
      <c r="A3415" s="13" t="s">
        <v>3562</v>
      </c>
    </row>
    <row r="3416" spans="1:1">
      <c r="A3416" s="13" t="s">
        <v>3563</v>
      </c>
    </row>
    <row r="3417" spans="1:1">
      <c r="A3417" s="13" t="s">
        <v>3564</v>
      </c>
    </row>
    <row r="3418" spans="1:1">
      <c r="A3418" s="13" t="s">
        <v>3565</v>
      </c>
    </row>
    <row r="3419" spans="1:1">
      <c r="A3419" s="13" t="s">
        <v>3566</v>
      </c>
    </row>
    <row r="3420" spans="1:1">
      <c r="A3420" s="13" t="s">
        <v>3567</v>
      </c>
    </row>
    <row r="3421" spans="1:1">
      <c r="A3421" s="13" t="s">
        <v>3568</v>
      </c>
    </row>
    <row r="3422" spans="1:1">
      <c r="A3422" s="13" t="s">
        <v>3569</v>
      </c>
    </row>
    <row r="3423" spans="1:1">
      <c r="A3423" s="13" t="s">
        <v>3570</v>
      </c>
    </row>
    <row r="3424" spans="1:1">
      <c r="A3424" s="13" t="s">
        <v>3571</v>
      </c>
    </row>
    <row r="3425" spans="1:1">
      <c r="A3425" s="13" t="s">
        <v>3572</v>
      </c>
    </row>
    <row r="3426" spans="1:1">
      <c r="A3426" s="13" t="s">
        <v>3573</v>
      </c>
    </row>
    <row r="3427" spans="1:1">
      <c r="A3427" s="13" t="s">
        <v>3574</v>
      </c>
    </row>
    <row r="3428" spans="1:1">
      <c r="A3428" s="13" t="s">
        <v>3575</v>
      </c>
    </row>
    <row r="3429" spans="1:1">
      <c r="A3429" s="13" t="s">
        <v>3576</v>
      </c>
    </row>
    <row r="3430" spans="1:1">
      <c r="A3430" s="13" t="s">
        <v>3577</v>
      </c>
    </row>
    <row r="3431" spans="1:1">
      <c r="A3431" s="13" t="s">
        <v>3578</v>
      </c>
    </row>
    <row r="3432" spans="1:1">
      <c r="A3432" s="13" t="s">
        <v>3579</v>
      </c>
    </row>
    <row r="3433" spans="1:1">
      <c r="A3433" s="13" t="s">
        <v>3580</v>
      </c>
    </row>
    <row r="3434" spans="1:1">
      <c r="A3434" s="13" t="s">
        <v>3581</v>
      </c>
    </row>
    <row r="3435" spans="1:1">
      <c r="A3435" s="13" t="s">
        <v>3582</v>
      </c>
    </row>
    <row r="3436" spans="1:1">
      <c r="A3436" s="13" t="s">
        <v>3583</v>
      </c>
    </row>
    <row r="3437" spans="1:1">
      <c r="A3437" s="13" t="s">
        <v>3584</v>
      </c>
    </row>
    <row r="3438" spans="1:1">
      <c r="A3438" s="13" t="s">
        <v>3585</v>
      </c>
    </row>
    <row r="3439" spans="1:1">
      <c r="A3439" s="13" t="s">
        <v>3586</v>
      </c>
    </row>
    <row r="3440" spans="1:1">
      <c r="A3440" s="13" t="s">
        <v>3587</v>
      </c>
    </row>
    <row r="3441" spans="1:1">
      <c r="A3441" s="13" t="s">
        <v>3588</v>
      </c>
    </row>
    <row r="3442" spans="1:1">
      <c r="A3442" s="13" t="s">
        <v>3589</v>
      </c>
    </row>
    <row r="3443" spans="1:1">
      <c r="A3443" s="13" t="s">
        <v>3590</v>
      </c>
    </row>
    <row r="3444" spans="1:1">
      <c r="A3444" s="13" t="s">
        <v>3591</v>
      </c>
    </row>
    <row r="3445" spans="1:1">
      <c r="A3445" s="13" t="s">
        <v>3592</v>
      </c>
    </row>
    <row r="3446" spans="1:1">
      <c r="A3446" s="13" t="s">
        <v>3593</v>
      </c>
    </row>
    <row r="3447" spans="1:1">
      <c r="A3447" s="13" t="s">
        <v>3594</v>
      </c>
    </row>
    <row r="3448" spans="1:1">
      <c r="A3448" s="13" t="s">
        <v>3595</v>
      </c>
    </row>
    <row r="3449" spans="1:1">
      <c r="A3449" s="13" t="s">
        <v>3596</v>
      </c>
    </row>
    <row r="3450" spans="1:1">
      <c r="A3450" s="13" t="s">
        <v>3597</v>
      </c>
    </row>
    <row r="3451" spans="1:1">
      <c r="A3451" s="13" t="s">
        <v>3598</v>
      </c>
    </row>
    <row r="3452" spans="1:1">
      <c r="A3452" s="13" t="s">
        <v>3599</v>
      </c>
    </row>
    <row r="3453" spans="1:1">
      <c r="A3453" s="13" t="s">
        <v>3600</v>
      </c>
    </row>
    <row r="3454" spans="1:1">
      <c r="A3454" s="13" t="s">
        <v>3601</v>
      </c>
    </row>
    <row r="3455" spans="1:1">
      <c r="A3455" s="13" t="s">
        <v>3602</v>
      </c>
    </row>
    <row r="3456" spans="1:1">
      <c r="A3456" s="13" t="s">
        <v>3603</v>
      </c>
    </row>
    <row r="3457" spans="1:1">
      <c r="A3457" s="13" t="s">
        <v>3604</v>
      </c>
    </row>
    <row r="3458" spans="1:1">
      <c r="A3458" s="13" t="s">
        <v>3605</v>
      </c>
    </row>
    <row r="3459" spans="1:1">
      <c r="A3459" s="13" t="s">
        <v>3606</v>
      </c>
    </row>
    <row r="3460" spans="1:1">
      <c r="A3460" s="13" t="s">
        <v>3607</v>
      </c>
    </row>
    <row r="3461" spans="1:1">
      <c r="A3461" s="13" t="s">
        <v>3608</v>
      </c>
    </row>
    <row r="3462" spans="1:1">
      <c r="A3462" s="13" t="s">
        <v>3609</v>
      </c>
    </row>
    <row r="3463" spans="1:1">
      <c r="A3463" s="13" t="s">
        <v>3610</v>
      </c>
    </row>
    <row r="3464" spans="1:1">
      <c r="A3464" s="13" t="s">
        <v>3611</v>
      </c>
    </row>
    <row r="3465" spans="1:1">
      <c r="A3465" s="13" t="s">
        <v>3612</v>
      </c>
    </row>
    <row r="3466" spans="1:1">
      <c r="A3466" s="13" t="s">
        <v>3613</v>
      </c>
    </row>
    <row r="3467" spans="1:1">
      <c r="A3467" s="13" t="s">
        <v>3614</v>
      </c>
    </row>
    <row r="3468" spans="1:1">
      <c r="A3468" s="13" t="s">
        <v>3615</v>
      </c>
    </row>
    <row r="3469" spans="1:1">
      <c r="A3469" s="13" t="s">
        <v>3616</v>
      </c>
    </row>
    <row r="3470" spans="1:1">
      <c r="A3470" s="13" t="s">
        <v>3617</v>
      </c>
    </row>
    <row r="3471" spans="1:1">
      <c r="A3471" s="13" t="s">
        <v>3618</v>
      </c>
    </row>
    <row r="3472" spans="1:1">
      <c r="A3472" s="13" t="s">
        <v>3619</v>
      </c>
    </row>
    <row r="3473" spans="1:1">
      <c r="A3473" s="13" t="s">
        <v>3620</v>
      </c>
    </row>
    <row r="3474" spans="1:1">
      <c r="A3474" s="13" t="s">
        <v>3621</v>
      </c>
    </row>
    <row r="3475" spans="1:1">
      <c r="A3475" s="13" t="s">
        <v>3622</v>
      </c>
    </row>
    <row r="3476" spans="1:1">
      <c r="A3476" s="13" t="s">
        <v>3623</v>
      </c>
    </row>
    <row r="3477" spans="1:1">
      <c r="A3477" s="13" t="s">
        <v>3624</v>
      </c>
    </row>
    <row r="3478" spans="1:1">
      <c r="A3478" s="13" t="s">
        <v>3625</v>
      </c>
    </row>
    <row r="3479" spans="1:1">
      <c r="A3479" s="13" t="s">
        <v>3626</v>
      </c>
    </row>
    <row r="3480" spans="1:1">
      <c r="A3480" s="13" t="s">
        <v>3627</v>
      </c>
    </row>
    <row r="3481" spans="1:1">
      <c r="A3481" s="13" t="s">
        <v>3628</v>
      </c>
    </row>
    <row r="3482" spans="1:1">
      <c r="A3482" s="13" t="s">
        <v>3629</v>
      </c>
    </row>
    <row r="3483" spans="1:1">
      <c r="A3483" s="13" t="s">
        <v>3630</v>
      </c>
    </row>
    <row r="3484" spans="1:1">
      <c r="A3484" s="13" t="s">
        <v>3631</v>
      </c>
    </row>
    <row r="3485" spans="1:1">
      <c r="A3485" s="13" t="s">
        <v>3632</v>
      </c>
    </row>
    <row r="3486" spans="1:1">
      <c r="A3486" s="13" t="s">
        <v>3633</v>
      </c>
    </row>
    <row r="3487" spans="1:1">
      <c r="A3487" s="13" t="s">
        <v>3634</v>
      </c>
    </row>
    <row r="3488" spans="1:1">
      <c r="A3488" s="13" t="s">
        <v>3635</v>
      </c>
    </row>
    <row r="3489" spans="1:1">
      <c r="A3489" s="13" t="s">
        <v>3636</v>
      </c>
    </row>
    <row r="3490" spans="1:1">
      <c r="A3490" s="13" t="s">
        <v>3637</v>
      </c>
    </row>
    <row r="3491" spans="1:1">
      <c r="A3491" s="13" t="s">
        <v>3638</v>
      </c>
    </row>
    <row r="3492" spans="1:1">
      <c r="A3492" s="13" t="s">
        <v>3639</v>
      </c>
    </row>
    <row r="3493" spans="1:1">
      <c r="A3493" s="13" t="s">
        <v>3640</v>
      </c>
    </row>
    <row r="3494" spans="1:1">
      <c r="A3494" s="13" t="s">
        <v>3641</v>
      </c>
    </row>
    <row r="3495" spans="1:1">
      <c r="A3495" s="13" t="s">
        <v>3642</v>
      </c>
    </row>
    <row r="3496" spans="1:1">
      <c r="A3496" s="13" t="s">
        <v>3643</v>
      </c>
    </row>
    <row r="3497" spans="1:1">
      <c r="A3497" s="13" t="s">
        <v>3644</v>
      </c>
    </row>
    <row r="3498" spans="1:1">
      <c r="A3498" s="13" t="s">
        <v>3645</v>
      </c>
    </row>
    <row r="3499" spans="1:1">
      <c r="A3499" s="13" t="s">
        <v>3646</v>
      </c>
    </row>
    <row r="3500" spans="1:1">
      <c r="A3500" s="13" t="s">
        <v>3647</v>
      </c>
    </row>
    <row r="3501" spans="1:1">
      <c r="A3501" s="13" t="s">
        <v>3648</v>
      </c>
    </row>
    <row r="3502" spans="1:1">
      <c r="A3502" s="13" t="s">
        <v>3649</v>
      </c>
    </row>
    <row r="3503" spans="1:1">
      <c r="A3503" s="13" t="s">
        <v>3650</v>
      </c>
    </row>
    <row r="3504" spans="1:1">
      <c r="A3504" s="13" t="s">
        <v>3651</v>
      </c>
    </row>
    <row r="3505" spans="1:1">
      <c r="A3505" s="13" t="s">
        <v>3652</v>
      </c>
    </row>
    <row r="3506" spans="1:1">
      <c r="A3506" s="13" t="s">
        <v>3653</v>
      </c>
    </row>
    <row r="3507" spans="1:1">
      <c r="A3507" s="13" t="s">
        <v>3654</v>
      </c>
    </row>
    <row r="3508" spans="1:1">
      <c r="A3508" s="13" t="s">
        <v>3655</v>
      </c>
    </row>
    <row r="3509" spans="1:1">
      <c r="A3509" s="13" t="s">
        <v>3656</v>
      </c>
    </row>
    <row r="3510" spans="1:1">
      <c r="A3510" s="13" t="s">
        <v>3657</v>
      </c>
    </row>
    <row r="3511" spans="1:1">
      <c r="A3511" s="13" t="s">
        <v>3658</v>
      </c>
    </row>
    <row r="3512" spans="1:1">
      <c r="A3512" s="13" t="s">
        <v>3659</v>
      </c>
    </row>
    <row r="3513" spans="1:1">
      <c r="A3513" s="13" t="s">
        <v>3660</v>
      </c>
    </row>
    <row r="3514" spans="1:1">
      <c r="A3514" s="13" t="s">
        <v>3661</v>
      </c>
    </row>
    <row r="3515" spans="1:1">
      <c r="A3515" s="13" t="s">
        <v>3662</v>
      </c>
    </row>
    <row r="3516" spans="1:1">
      <c r="A3516" s="13" t="s">
        <v>3663</v>
      </c>
    </row>
    <row r="3517" spans="1:1">
      <c r="A3517" s="13" t="s">
        <v>3664</v>
      </c>
    </row>
    <row r="3518" spans="1:1">
      <c r="A3518" s="13" t="s">
        <v>3665</v>
      </c>
    </row>
    <row r="3519" spans="1:1">
      <c r="A3519" s="13" t="s">
        <v>3666</v>
      </c>
    </row>
    <row r="3520" spans="1:1">
      <c r="A3520" s="13" t="s">
        <v>3667</v>
      </c>
    </row>
    <row r="3521" spans="1:1">
      <c r="A3521" s="13" t="s">
        <v>3668</v>
      </c>
    </row>
    <row r="3522" spans="1:1">
      <c r="A3522" s="13" t="s">
        <v>3669</v>
      </c>
    </row>
    <row r="3523" spans="1:1">
      <c r="A3523" s="13" t="s">
        <v>3670</v>
      </c>
    </row>
    <row r="3524" spans="1:1">
      <c r="A3524" s="13" t="s">
        <v>3671</v>
      </c>
    </row>
    <row r="3525" spans="1:1">
      <c r="A3525" s="13" t="s">
        <v>3672</v>
      </c>
    </row>
    <row r="3526" spans="1:1">
      <c r="A3526" s="13" t="s">
        <v>3673</v>
      </c>
    </row>
    <row r="3527" spans="1:1">
      <c r="A3527" s="13" t="s">
        <v>3674</v>
      </c>
    </row>
    <row r="3528" spans="1:1">
      <c r="A3528" s="13" t="s">
        <v>526</v>
      </c>
    </row>
    <row r="3529" spans="1:1">
      <c r="A3529" s="13" t="s">
        <v>3675</v>
      </c>
    </row>
    <row r="3530" spans="1:1">
      <c r="A3530" s="13" t="s">
        <v>3676</v>
      </c>
    </row>
    <row r="3531" spans="1:1">
      <c r="A3531" s="13" t="s">
        <v>3677</v>
      </c>
    </row>
    <row r="3532" spans="1:1">
      <c r="A3532" s="13" t="s">
        <v>3678</v>
      </c>
    </row>
    <row r="3533" spans="1:1">
      <c r="A3533" s="13" t="s">
        <v>3679</v>
      </c>
    </row>
    <row r="3534" spans="1:1">
      <c r="A3534" s="13" t="s">
        <v>3680</v>
      </c>
    </row>
    <row r="3535" spans="1:1">
      <c r="A3535" s="13" t="s">
        <v>3681</v>
      </c>
    </row>
    <row r="3536" spans="1:1">
      <c r="A3536" s="13" t="s">
        <v>3682</v>
      </c>
    </row>
    <row r="3537" spans="1:1">
      <c r="A3537" s="13" t="s">
        <v>3683</v>
      </c>
    </row>
    <row r="3538" spans="1:1">
      <c r="A3538" s="13" t="s">
        <v>3684</v>
      </c>
    </row>
    <row r="3539" spans="1:1">
      <c r="A3539" s="13" t="s">
        <v>3685</v>
      </c>
    </row>
    <row r="3540" spans="1:1">
      <c r="A3540" s="13" t="s">
        <v>3686</v>
      </c>
    </row>
    <row r="3541" spans="1:1">
      <c r="A3541" s="13" t="s">
        <v>3687</v>
      </c>
    </row>
    <row r="3542" spans="1:1">
      <c r="A3542" s="13" t="s">
        <v>3688</v>
      </c>
    </row>
    <row r="3543" spans="1:1">
      <c r="A3543" s="13" t="s">
        <v>3689</v>
      </c>
    </row>
    <row r="3544" spans="1:1">
      <c r="A3544" s="13" t="s">
        <v>3690</v>
      </c>
    </row>
    <row r="3545" spans="1:1">
      <c r="A3545" s="13" t="s">
        <v>3691</v>
      </c>
    </row>
    <row r="3546" spans="1:1">
      <c r="A3546" s="13" t="s">
        <v>3692</v>
      </c>
    </row>
    <row r="3547" spans="1:1">
      <c r="A3547" s="13" t="s">
        <v>3693</v>
      </c>
    </row>
    <row r="3548" spans="1:1">
      <c r="A3548" s="13" t="s">
        <v>526</v>
      </c>
    </row>
    <row r="3549" spans="1:1">
      <c r="A3549" s="13" t="s">
        <v>3694</v>
      </c>
    </row>
    <row r="3550" spans="1:1">
      <c r="A3550" s="13" t="s">
        <v>3695</v>
      </c>
    </row>
    <row r="3551" spans="1:1">
      <c r="A3551" s="13" t="s">
        <v>3696</v>
      </c>
    </row>
    <row r="3552" spans="1:1">
      <c r="A3552" s="13" t="s">
        <v>3697</v>
      </c>
    </row>
    <row r="3553" spans="1:1">
      <c r="A3553" s="13" t="s">
        <v>3698</v>
      </c>
    </row>
    <row r="3554" spans="1:1">
      <c r="A3554" s="13" t="s">
        <v>3699</v>
      </c>
    </row>
    <row r="3555" spans="1:1">
      <c r="A3555" s="13" t="s">
        <v>3700</v>
      </c>
    </row>
    <row r="3556" spans="1:1">
      <c r="A3556" s="13" t="s">
        <v>3701</v>
      </c>
    </row>
    <row r="3557" spans="1:1">
      <c r="A3557" s="13" t="s">
        <v>3702</v>
      </c>
    </row>
    <row r="3558" spans="1:1">
      <c r="A3558" s="13" t="s">
        <v>526</v>
      </c>
    </row>
    <row r="3559" spans="1:1">
      <c r="A3559" s="13" t="s">
        <v>3703</v>
      </c>
    </row>
    <row r="3560" spans="1:1">
      <c r="A3560" s="13" t="s">
        <v>3704</v>
      </c>
    </row>
    <row r="3561" spans="1:1">
      <c r="A3561" s="13" t="s">
        <v>3705</v>
      </c>
    </row>
    <row r="3562" spans="1:1">
      <c r="A3562" s="13" t="s">
        <v>3706</v>
      </c>
    </row>
    <row r="3563" spans="1:1">
      <c r="A3563" s="13" t="s">
        <v>3707</v>
      </c>
    </row>
    <row r="3564" spans="1:1">
      <c r="A3564" s="13" t="s">
        <v>3708</v>
      </c>
    </row>
    <row r="3565" spans="1:1">
      <c r="A3565" s="13" t="s">
        <v>3709</v>
      </c>
    </row>
    <row r="3566" spans="1:1">
      <c r="A3566" s="13" t="s">
        <v>3710</v>
      </c>
    </row>
    <row r="3567" spans="1:1">
      <c r="A3567" s="13" t="s">
        <v>3711</v>
      </c>
    </row>
    <row r="3568" spans="1:1">
      <c r="A3568" s="13" t="s">
        <v>3712</v>
      </c>
    </row>
    <row r="3569" spans="1:1">
      <c r="A3569" s="13" t="s">
        <v>3713</v>
      </c>
    </row>
    <row r="3570" spans="1:1">
      <c r="A3570" s="13" t="s">
        <v>3714</v>
      </c>
    </row>
    <row r="3571" spans="1:1">
      <c r="A3571" s="13" t="s">
        <v>3715</v>
      </c>
    </row>
    <row r="3572" spans="1:1">
      <c r="A3572" s="13" t="s">
        <v>3716</v>
      </c>
    </row>
    <row r="3573" spans="1:1">
      <c r="A3573" s="13" t="s">
        <v>3717</v>
      </c>
    </row>
    <row r="3574" spans="1:1">
      <c r="A3574" s="13" t="s">
        <v>3718</v>
      </c>
    </row>
    <row r="3575" spans="1:1">
      <c r="A3575" s="13" t="s">
        <v>3719</v>
      </c>
    </row>
    <row r="3576" spans="1:1">
      <c r="A3576" s="13" t="s">
        <v>3720</v>
      </c>
    </row>
    <row r="3577" spans="1:1">
      <c r="A3577" s="13" t="s">
        <v>3721</v>
      </c>
    </row>
    <row r="3578" spans="1:1">
      <c r="A3578" s="13" t="s">
        <v>3722</v>
      </c>
    </row>
    <row r="3579" spans="1:1">
      <c r="A3579" s="13" t="s">
        <v>3723</v>
      </c>
    </row>
    <row r="3580" spans="1:1">
      <c r="A3580" s="13" t="s">
        <v>3724</v>
      </c>
    </row>
    <row r="3581" spans="1:1">
      <c r="A3581" s="13" t="s">
        <v>3725</v>
      </c>
    </row>
    <row r="3582" spans="1:1">
      <c r="A3582" s="13" t="s">
        <v>3726</v>
      </c>
    </row>
    <row r="3583" spans="1:1">
      <c r="A3583" s="13" t="s">
        <v>3727</v>
      </c>
    </row>
    <row r="3584" spans="1:1">
      <c r="A3584" s="13" t="s">
        <v>3728</v>
      </c>
    </row>
    <row r="3585" spans="1:1">
      <c r="A3585" s="13" t="s">
        <v>3729</v>
      </c>
    </row>
    <row r="3586" spans="1:1">
      <c r="A3586" s="13" t="s">
        <v>3730</v>
      </c>
    </row>
    <row r="3587" spans="1:1">
      <c r="A3587" s="13" t="s">
        <v>3731</v>
      </c>
    </row>
    <row r="3588" spans="1:1">
      <c r="A3588" s="13" t="s">
        <v>3732</v>
      </c>
    </row>
    <row r="3589" spans="1:1">
      <c r="A3589" s="13" t="s">
        <v>3733</v>
      </c>
    </row>
    <row r="3590" spans="1:1">
      <c r="A3590" s="13" t="s">
        <v>3734</v>
      </c>
    </row>
    <row r="3591" spans="1:1">
      <c r="A3591" s="13" t="s">
        <v>3735</v>
      </c>
    </row>
    <row r="3592" spans="1:1">
      <c r="A3592" s="13" t="s">
        <v>3736</v>
      </c>
    </row>
    <row r="3593" spans="1:1">
      <c r="A3593" s="13" t="s">
        <v>3737</v>
      </c>
    </row>
    <row r="3594" spans="1:1">
      <c r="A3594" s="13" t="s">
        <v>3738</v>
      </c>
    </row>
    <row r="3595" spans="1:1">
      <c r="A3595" s="13" t="s">
        <v>3739</v>
      </c>
    </row>
    <row r="3596" spans="1:1">
      <c r="A3596" s="13" t="s">
        <v>3740</v>
      </c>
    </row>
    <row r="3597" spans="1:1">
      <c r="A3597" s="13" t="s">
        <v>3741</v>
      </c>
    </row>
    <row r="3598" spans="1:1">
      <c r="A3598" s="13" t="s">
        <v>3742</v>
      </c>
    </row>
    <row r="3599" spans="1:1">
      <c r="A3599" s="13" t="s">
        <v>3743</v>
      </c>
    </row>
    <row r="3600" spans="1:1">
      <c r="A3600" s="13" t="s">
        <v>3744</v>
      </c>
    </row>
    <row r="3601" spans="1:1">
      <c r="A3601" s="13" t="s">
        <v>3745</v>
      </c>
    </row>
    <row r="3602" spans="1:1">
      <c r="A3602" s="13" t="s">
        <v>3746</v>
      </c>
    </row>
    <row r="3603" spans="1:1">
      <c r="A3603" s="13" t="s">
        <v>3747</v>
      </c>
    </row>
    <row r="3604" spans="1:1">
      <c r="A3604" s="13" t="s">
        <v>3748</v>
      </c>
    </row>
    <row r="3605" spans="1:1">
      <c r="A3605" s="13" t="s">
        <v>3749</v>
      </c>
    </row>
    <row r="3606" spans="1:1">
      <c r="A3606" s="13" t="s">
        <v>3750</v>
      </c>
    </row>
    <row r="3607" spans="1:1">
      <c r="A3607" s="13" t="s">
        <v>3751</v>
      </c>
    </row>
    <row r="3608" spans="1:1">
      <c r="A3608" s="13" t="s">
        <v>3752</v>
      </c>
    </row>
    <row r="3609" spans="1:1">
      <c r="A3609" s="13" t="s">
        <v>3753</v>
      </c>
    </row>
    <row r="3610" spans="1:1">
      <c r="A3610" s="13" t="s">
        <v>3754</v>
      </c>
    </row>
    <row r="3611" spans="1:1">
      <c r="A3611" s="13" t="s">
        <v>3755</v>
      </c>
    </row>
    <row r="3612" spans="1:1">
      <c r="A3612" s="13" t="s">
        <v>3756</v>
      </c>
    </row>
    <row r="3613" spans="1:1">
      <c r="A3613" s="13" t="s">
        <v>3757</v>
      </c>
    </row>
    <row r="3614" spans="1:1">
      <c r="A3614" s="13" t="s">
        <v>3758</v>
      </c>
    </row>
    <row r="3615" spans="1:1">
      <c r="A3615" s="13" t="s">
        <v>3759</v>
      </c>
    </row>
    <row r="3616" spans="1:1">
      <c r="A3616" s="13" t="s">
        <v>3760</v>
      </c>
    </row>
    <row r="3617" spans="1:1">
      <c r="A3617" s="13" t="s">
        <v>3761</v>
      </c>
    </row>
    <row r="3618" spans="1:1">
      <c r="A3618" s="13" t="s">
        <v>3762</v>
      </c>
    </row>
    <row r="3619" spans="1:1">
      <c r="A3619" s="13" t="s">
        <v>3763</v>
      </c>
    </row>
    <row r="3620" spans="1:1">
      <c r="A3620" s="13" t="s">
        <v>3764</v>
      </c>
    </row>
    <row r="3621" spans="1:1">
      <c r="A3621" s="13" t="s">
        <v>3765</v>
      </c>
    </row>
    <row r="3622" spans="1:1">
      <c r="A3622" s="13" t="s">
        <v>3766</v>
      </c>
    </row>
    <row r="3623" spans="1:1">
      <c r="A3623" s="13" t="s">
        <v>3767</v>
      </c>
    </row>
    <row r="3624" spans="1:1">
      <c r="A3624" s="13" t="s">
        <v>3768</v>
      </c>
    </row>
    <row r="3625" spans="1:1">
      <c r="A3625" s="13" t="s">
        <v>3769</v>
      </c>
    </row>
    <row r="3626" spans="1:1">
      <c r="A3626" s="13" t="s">
        <v>3770</v>
      </c>
    </row>
    <row r="3627" spans="1:1">
      <c r="A3627" s="13" t="s">
        <v>3771</v>
      </c>
    </row>
    <row r="3628" spans="1:1">
      <c r="A3628" s="13" t="s">
        <v>3772</v>
      </c>
    </row>
    <row r="3629" spans="1:1">
      <c r="A3629" s="13" t="s">
        <v>3773</v>
      </c>
    </row>
    <row r="3630" spans="1:1">
      <c r="A3630" s="13" t="s">
        <v>3774</v>
      </c>
    </row>
    <row r="3631" spans="1:1">
      <c r="A3631" s="13" t="s">
        <v>3775</v>
      </c>
    </row>
    <row r="3632" spans="1:1">
      <c r="A3632" s="13" t="s">
        <v>3776</v>
      </c>
    </row>
    <row r="3633" spans="1:1">
      <c r="A3633" s="13" t="s">
        <v>3777</v>
      </c>
    </row>
    <row r="3634" spans="1:1">
      <c r="A3634" s="13" t="s">
        <v>3778</v>
      </c>
    </row>
    <row r="3635" spans="1:1">
      <c r="A3635" s="13" t="s">
        <v>3779</v>
      </c>
    </row>
    <row r="3636" spans="1:1">
      <c r="A3636" s="13" t="s">
        <v>3780</v>
      </c>
    </row>
    <row r="3637" spans="1:1">
      <c r="A3637" s="13" t="s">
        <v>3781</v>
      </c>
    </row>
    <row r="3638" spans="1:1">
      <c r="A3638" s="13" t="s">
        <v>3782</v>
      </c>
    </row>
    <row r="3639" spans="1:1">
      <c r="A3639" s="13" t="s">
        <v>3783</v>
      </c>
    </row>
    <row r="3640" spans="1:1">
      <c r="A3640" s="13" t="s">
        <v>3784</v>
      </c>
    </row>
    <row r="3641" spans="1:1">
      <c r="A3641" s="13" t="s">
        <v>3785</v>
      </c>
    </row>
    <row r="3642" spans="1:1">
      <c r="A3642" s="13" t="s">
        <v>3786</v>
      </c>
    </row>
    <row r="3643" spans="1:1">
      <c r="A3643" s="13" t="s">
        <v>3787</v>
      </c>
    </row>
    <row r="3644" spans="1:1">
      <c r="A3644" s="13" t="s">
        <v>3788</v>
      </c>
    </row>
    <row r="3645" spans="1:1">
      <c r="A3645" s="13" t="s">
        <v>3789</v>
      </c>
    </row>
    <row r="3646" spans="1:1">
      <c r="A3646" s="13" t="s">
        <v>3790</v>
      </c>
    </row>
    <row r="3647" spans="1:1">
      <c r="A3647" s="13" t="s">
        <v>3791</v>
      </c>
    </row>
    <row r="3648" spans="1:1">
      <c r="A3648" s="13" t="s">
        <v>3792</v>
      </c>
    </row>
    <row r="3649" spans="1:1">
      <c r="A3649" s="13" t="s">
        <v>3793</v>
      </c>
    </row>
    <row r="3650" spans="1:1">
      <c r="A3650" s="13" t="s">
        <v>3794</v>
      </c>
    </row>
    <row r="3651" spans="1:1">
      <c r="A3651" s="13" t="s">
        <v>3795</v>
      </c>
    </row>
    <row r="3652" spans="1:1">
      <c r="A3652" s="13" t="s">
        <v>3796</v>
      </c>
    </row>
    <row r="3653" spans="1:1">
      <c r="A3653" s="13" t="s">
        <v>3797</v>
      </c>
    </row>
    <row r="3654" spans="1:1">
      <c r="A3654" s="13" t="s">
        <v>3798</v>
      </c>
    </row>
    <row r="3655" spans="1:1">
      <c r="A3655" s="13" t="s">
        <v>3799</v>
      </c>
    </row>
    <row r="3656" spans="1:1">
      <c r="A3656" s="13" t="s">
        <v>3800</v>
      </c>
    </row>
    <row r="3657" spans="1:1">
      <c r="A3657" s="13" t="s">
        <v>3801</v>
      </c>
    </row>
    <row r="3658" spans="1:1">
      <c r="A3658" s="13" t="s">
        <v>3802</v>
      </c>
    </row>
    <row r="3659" spans="1:1">
      <c r="A3659" s="13" t="s">
        <v>3803</v>
      </c>
    </row>
    <row r="3660" spans="1:1">
      <c r="A3660" s="13" t="s">
        <v>3804</v>
      </c>
    </row>
    <row r="3661" spans="1:1">
      <c r="A3661" s="13" t="s">
        <v>3805</v>
      </c>
    </row>
    <row r="3662" spans="1:1">
      <c r="A3662" s="13" t="s">
        <v>3806</v>
      </c>
    </row>
    <row r="3663" spans="1:1">
      <c r="A3663" s="13" t="s">
        <v>3807</v>
      </c>
    </row>
    <row r="3664" spans="1:1">
      <c r="A3664" s="13" t="s">
        <v>3808</v>
      </c>
    </row>
    <row r="3665" spans="1:1">
      <c r="A3665" s="13" t="s">
        <v>3809</v>
      </c>
    </row>
    <row r="3666" spans="1:1">
      <c r="A3666" s="13" t="s">
        <v>3810</v>
      </c>
    </row>
    <row r="3667" spans="1:1">
      <c r="A3667" s="13" t="s">
        <v>3811</v>
      </c>
    </row>
    <row r="3668" spans="1:1">
      <c r="A3668" s="13" t="s">
        <v>3812</v>
      </c>
    </row>
    <row r="3669" spans="1:1">
      <c r="A3669" s="13" t="s">
        <v>3813</v>
      </c>
    </row>
    <row r="3670" spans="1:1">
      <c r="A3670" s="13" t="s">
        <v>3814</v>
      </c>
    </row>
    <row r="3671" spans="1:1">
      <c r="A3671" s="13" t="s">
        <v>3815</v>
      </c>
    </row>
    <row r="3672" spans="1:1">
      <c r="A3672" s="13" t="s">
        <v>3816</v>
      </c>
    </row>
    <row r="3673" spans="1:1">
      <c r="A3673" s="13" t="s">
        <v>3817</v>
      </c>
    </row>
    <row r="3674" spans="1:1">
      <c r="A3674" s="13" t="s">
        <v>3818</v>
      </c>
    </row>
    <row r="3675" spans="1:1">
      <c r="A3675" s="13" t="s">
        <v>3819</v>
      </c>
    </row>
    <row r="3676" spans="1:1">
      <c r="A3676" s="13" t="s">
        <v>3820</v>
      </c>
    </row>
    <row r="3677" spans="1:1">
      <c r="A3677" s="13" t="s">
        <v>3821</v>
      </c>
    </row>
    <row r="3678" spans="1:1">
      <c r="A3678" s="13" t="s">
        <v>3822</v>
      </c>
    </row>
    <row r="3679" spans="1:1">
      <c r="A3679" s="13" t="s">
        <v>3823</v>
      </c>
    </row>
    <row r="3680" spans="1:1">
      <c r="A3680" s="13" t="s">
        <v>3824</v>
      </c>
    </row>
    <row r="3681" spans="1:1">
      <c r="A3681" s="13" t="s">
        <v>3825</v>
      </c>
    </row>
    <row r="3682" spans="1:1">
      <c r="A3682" s="13" t="s">
        <v>3826</v>
      </c>
    </row>
    <row r="3683" spans="1:1">
      <c r="A3683" s="13" t="s">
        <v>3827</v>
      </c>
    </row>
    <row r="3684" spans="1:1">
      <c r="A3684" s="13" t="s">
        <v>3828</v>
      </c>
    </row>
    <row r="3685" spans="1:1">
      <c r="A3685" s="13" t="s">
        <v>3829</v>
      </c>
    </row>
    <row r="3686" spans="1:1">
      <c r="A3686" s="13" t="s">
        <v>3830</v>
      </c>
    </row>
    <row r="3687" spans="1:1">
      <c r="A3687" s="13" t="s">
        <v>3831</v>
      </c>
    </row>
    <row r="3688" spans="1:1">
      <c r="A3688" s="13" t="s">
        <v>3832</v>
      </c>
    </row>
    <row r="3689" spans="1:1">
      <c r="A3689" s="13" t="s">
        <v>3833</v>
      </c>
    </row>
    <row r="3690" spans="1:1">
      <c r="A3690" s="13" t="s">
        <v>3834</v>
      </c>
    </row>
    <row r="3691" spans="1:1">
      <c r="A3691" s="13" t="s">
        <v>3835</v>
      </c>
    </row>
    <row r="3692" spans="1:1">
      <c r="A3692" s="13" t="s">
        <v>526</v>
      </c>
    </row>
    <row r="3693" spans="1:1">
      <c r="A3693" s="13" t="s">
        <v>3836</v>
      </c>
    </row>
    <row r="3694" spans="1:1">
      <c r="A3694" s="13" t="s">
        <v>3837</v>
      </c>
    </row>
    <row r="3695" spans="1:1">
      <c r="A3695" s="13" t="s">
        <v>3838</v>
      </c>
    </row>
    <row r="3696" spans="1:1">
      <c r="A3696" s="13" t="s">
        <v>3839</v>
      </c>
    </row>
    <row r="3697" spans="1:1">
      <c r="A3697" s="13" t="s">
        <v>3840</v>
      </c>
    </row>
    <row r="3698" spans="1:1">
      <c r="A3698" s="13" t="s">
        <v>3841</v>
      </c>
    </row>
    <row r="3699" spans="1:1">
      <c r="A3699" s="13" t="s">
        <v>3842</v>
      </c>
    </row>
    <row r="3700" spans="1:1">
      <c r="A3700" s="13" t="s">
        <v>3843</v>
      </c>
    </row>
    <row r="3701" spans="1:1">
      <c r="A3701" s="13" t="s">
        <v>526</v>
      </c>
    </row>
    <row r="3702" spans="1:1">
      <c r="A3702" s="13" t="s">
        <v>3844</v>
      </c>
    </row>
    <row r="3703" spans="1:1">
      <c r="A3703" s="13" t="s">
        <v>3845</v>
      </c>
    </row>
    <row r="3704" spans="1:1">
      <c r="A3704" s="13" t="s">
        <v>3846</v>
      </c>
    </row>
    <row r="3705" spans="1:1">
      <c r="A3705" s="13" t="s">
        <v>3847</v>
      </c>
    </row>
    <row r="3706" spans="1:1">
      <c r="A3706" s="13" t="s">
        <v>526</v>
      </c>
    </row>
    <row r="3707" spans="1:1">
      <c r="A3707" s="13" t="s">
        <v>3848</v>
      </c>
    </row>
    <row r="3708" spans="1:1">
      <c r="A3708" s="13" t="s">
        <v>3849</v>
      </c>
    </row>
    <row r="3709" spans="1:1">
      <c r="A3709" s="13" t="s">
        <v>3850</v>
      </c>
    </row>
    <row r="3710" spans="1:1">
      <c r="A3710" s="13" t="s">
        <v>3851</v>
      </c>
    </row>
    <row r="3711" spans="1:1">
      <c r="A3711" s="13" t="s">
        <v>3852</v>
      </c>
    </row>
    <row r="3712" spans="1:1">
      <c r="A3712" s="13" t="s">
        <v>3853</v>
      </c>
    </row>
    <row r="3713" spans="1:1">
      <c r="A3713" s="13" t="s">
        <v>3854</v>
      </c>
    </row>
    <row r="3714" spans="1:1">
      <c r="A3714" s="13" t="s">
        <v>3855</v>
      </c>
    </row>
    <row r="3715" spans="1:1">
      <c r="A3715" s="13" t="s">
        <v>3856</v>
      </c>
    </row>
    <row r="3716" spans="1:1">
      <c r="A3716" s="13" t="s">
        <v>3857</v>
      </c>
    </row>
    <row r="3717" spans="1:1">
      <c r="A3717" s="13" t="s">
        <v>3858</v>
      </c>
    </row>
    <row r="3718" spans="1:1">
      <c r="A3718" s="13" t="s">
        <v>3859</v>
      </c>
    </row>
    <row r="3719" spans="1:1">
      <c r="A3719" s="13" t="s">
        <v>3860</v>
      </c>
    </row>
    <row r="3720" spans="1:1">
      <c r="A3720" s="13" t="s">
        <v>526</v>
      </c>
    </row>
    <row r="3721" spans="1:1">
      <c r="A3721" s="13" t="s">
        <v>3861</v>
      </c>
    </row>
    <row r="3722" spans="1:1">
      <c r="A3722" s="13" t="s">
        <v>3862</v>
      </c>
    </row>
    <row r="3723" spans="1:1">
      <c r="A3723" s="13" t="s">
        <v>3863</v>
      </c>
    </row>
    <row r="3724" spans="1:1">
      <c r="A3724" s="13" t="s">
        <v>3864</v>
      </c>
    </row>
    <row r="3725" spans="1:1">
      <c r="A3725" s="13" t="s">
        <v>3865</v>
      </c>
    </row>
    <row r="3726" spans="1:1">
      <c r="A3726" s="13" t="s">
        <v>3866</v>
      </c>
    </row>
    <row r="3727" spans="1:1">
      <c r="A3727" s="13" t="s">
        <v>3867</v>
      </c>
    </row>
    <row r="3728" spans="1:1">
      <c r="A3728" s="13" t="s">
        <v>3868</v>
      </c>
    </row>
    <row r="3729" spans="1:1">
      <c r="A3729" s="13" t="s">
        <v>3869</v>
      </c>
    </row>
    <row r="3730" spans="1:1">
      <c r="A3730" s="13" t="s">
        <v>3870</v>
      </c>
    </row>
    <row r="3731" spans="1:1">
      <c r="A3731" s="13" t="s">
        <v>3871</v>
      </c>
    </row>
    <row r="3732" spans="1:1">
      <c r="A3732" s="13" t="s">
        <v>3872</v>
      </c>
    </row>
    <row r="3733" spans="1:1">
      <c r="A3733" s="13" t="s">
        <v>3873</v>
      </c>
    </row>
    <row r="3734" spans="1:1">
      <c r="A3734" s="13" t="s">
        <v>3874</v>
      </c>
    </row>
    <row r="3735" spans="1:1">
      <c r="A3735" s="13" t="s">
        <v>3875</v>
      </c>
    </row>
    <row r="3736" spans="1:1">
      <c r="A3736" s="13" t="s">
        <v>3876</v>
      </c>
    </row>
    <row r="3737" spans="1:1">
      <c r="A3737" s="13" t="s">
        <v>3877</v>
      </c>
    </row>
    <row r="3738" spans="1:1">
      <c r="A3738" s="13" t="s">
        <v>3878</v>
      </c>
    </row>
    <row r="3739" spans="1:1">
      <c r="A3739" s="13" t="s">
        <v>3879</v>
      </c>
    </row>
    <row r="3740" spans="1:1">
      <c r="A3740" s="13" t="s">
        <v>3880</v>
      </c>
    </row>
    <row r="3741" spans="1:1">
      <c r="A3741" s="13" t="s">
        <v>3881</v>
      </c>
    </row>
    <row r="3742" spans="1:1">
      <c r="A3742" s="13" t="s">
        <v>3882</v>
      </c>
    </row>
    <row r="3743" spans="1:1">
      <c r="A3743" s="13" t="s">
        <v>3883</v>
      </c>
    </row>
    <row r="3744" spans="1:1">
      <c r="A3744" s="13" t="s">
        <v>3884</v>
      </c>
    </row>
    <row r="3745" spans="1:1">
      <c r="A3745" s="13" t="s">
        <v>3885</v>
      </c>
    </row>
    <row r="3746" spans="1:1">
      <c r="A3746" s="13" t="s">
        <v>3886</v>
      </c>
    </row>
    <row r="3747" spans="1:1">
      <c r="A3747" s="13" t="s">
        <v>3887</v>
      </c>
    </row>
    <row r="3748" spans="1:1">
      <c r="A3748" s="13" t="s">
        <v>3888</v>
      </c>
    </row>
    <row r="3749" spans="1:1">
      <c r="A3749" s="13" t="s">
        <v>3889</v>
      </c>
    </row>
    <row r="3750" spans="1:1">
      <c r="A3750" s="13" t="s">
        <v>3890</v>
      </c>
    </row>
    <row r="3751" spans="1:1">
      <c r="A3751" s="13" t="s">
        <v>3891</v>
      </c>
    </row>
    <row r="3752" spans="1:1">
      <c r="A3752" s="13" t="s">
        <v>3892</v>
      </c>
    </row>
    <row r="3753" spans="1:1">
      <c r="A3753" s="13" t="s">
        <v>3893</v>
      </c>
    </row>
    <row r="3754" spans="1:1">
      <c r="A3754" s="13" t="s">
        <v>3894</v>
      </c>
    </row>
    <row r="3755" spans="1:1">
      <c r="A3755" s="13" t="s">
        <v>3895</v>
      </c>
    </row>
    <row r="3756" spans="1:1">
      <c r="A3756" s="13" t="s">
        <v>3896</v>
      </c>
    </row>
    <row r="3757" spans="1:1">
      <c r="A3757" s="13" t="s">
        <v>3897</v>
      </c>
    </row>
    <row r="3758" spans="1:1">
      <c r="A3758" s="13" t="s">
        <v>3898</v>
      </c>
    </row>
    <row r="3759" spans="1:1">
      <c r="A3759" s="13" t="s">
        <v>3899</v>
      </c>
    </row>
    <row r="3760" spans="1:1">
      <c r="A3760" s="13" t="s">
        <v>3900</v>
      </c>
    </row>
    <row r="3761" spans="1:1">
      <c r="A3761" s="13" t="s">
        <v>3901</v>
      </c>
    </row>
    <row r="3762" spans="1:1">
      <c r="A3762" s="13" t="s">
        <v>3902</v>
      </c>
    </row>
    <row r="3763" spans="1:1">
      <c r="A3763" s="13" t="s">
        <v>3903</v>
      </c>
    </row>
    <row r="3764" spans="1:1">
      <c r="A3764" s="13" t="s">
        <v>3904</v>
      </c>
    </row>
    <row r="3765" spans="1:1">
      <c r="A3765" s="13" t="s">
        <v>3905</v>
      </c>
    </row>
    <row r="3766" spans="1:1">
      <c r="A3766" s="13" t="s">
        <v>3906</v>
      </c>
    </row>
    <row r="3767" spans="1:1">
      <c r="A3767" s="13" t="s">
        <v>3907</v>
      </c>
    </row>
    <row r="3768" spans="1:1">
      <c r="A3768" s="13" t="s">
        <v>3908</v>
      </c>
    </row>
    <row r="3769" spans="1:1">
      <c r="A3769" s="13" t="s">
        <v>3909</v>
      </c>
    </row>
    <row r="3770" spans="1:1">
      <c r="A3770" s="13" t="s">
        <v>3910</v>
      </c>
    </row>
    <row r="3771" spans="1:1">
      <c r="A3771" s="13" t="s">
        <v>3911</v>
      </c>
    </row>
    <row r="3772" spans="1:1">
      <c r="A3772" s="13" t="s">
        <v>3912</v>
      </c>
    </row>
    <row r="3773" spans="1:1">
      <c r="A3773" s="13" t="s">
        <v>3913</v>
      </c>
    </row>
    <row r="3774" spans="1:1">
      <c r="A3774" s="13" t="s">
        <v>3914</v>
      </c>
    </row>
    <row r="3775" spans="1:1">
      <c r="A3775" s="13" t="s">
        <v>3915</v>
      </c>
    </row>
    <row r="3776" spans="1:1">
      <c r="A3776" s="13" t="s">
        <v>3916</v>
      </c>
    </row>
    <row r="3777" spans="1:1">
      <c r="A3777" s="13" t="s">
        <v>3917</v>
      </c>
    </row>
    <row r="3778" spans="1:1">
      <c r="A3778" s="13" t="s">
        <v>3918</v>
      </c>
    </row>
    <row r="3779" spans="1:1">
      <c r="A3779" s="13" t="s">
        <v>3919</v>
      </c>
    </row>
    <row r="3780" spans="1:1">
      <c r="A3780" s="13" t="s">
        <v>3920</v>
      </c>
    </row>
    <row r="3781" spans="1:1">
      <c r="A3781" s="13" t="s">
        <v>3921</v>
      </c>
    </row>
    <row r="3782" spans="1:1">
      <c r="A3782" s="13" t="s">
        <v>3922</v>
      </c>
    </row>
    <row r="3783" spans="1:1">
      <c r="A3783" s="13" t="s">
        <v>3923</v>
      </c>
    </row>
    <row r="3784" spans="1:1">
      <c r="A3784" s="13" t="s">
        <v>3924</v>
      </c>
    </row>
    <row r="3785" spans="1:1">
      <c r="A3785" s="13" t="s">
        <v>3925</v>
      </c>
    </row>
    <row r="3786" spans="1:1">
      <c r="A3786" s="13" t="s">
        <v>3926</v>
      </c>
    </row>
    <row r="3787" spans="1:1">
      <c r="A3787" s="13" t="s">
        <v>3927</v>
      </c>
    </row>
    <row r="3788" spans="1:1">
      <c r="A3788" s="13" t="s">
        <v>3928</v>
      </c>
    </row>
    <row r="3789" spans="1:1">
      <c r="A3789" s="13" t="s">
        <v>3929</v>
      </c>
    </row>
    <row r="3790" spans="1:1">
      <c r="A3790" s="13" t="s">
        <v>3930</v>
      </c>
    </row>
    <row r="3791" spans="1:1">
      <c r="A3791" s="13" t="s">
        <v>3931</v>
      </c>
    </row>
    <row r="3792" spans="1:1">
      <c r="A3792" s="13" t="s">
        <v>3932</v>
      </c>
    </row>
    <row r="3793" spans="1:1">
      <c r="A3793" s="13" t="s">
        <v>3933</v>
      </c>
    </row>
    <row r="3794" spans="1:1">
      <c r="A3794" s="13" t="s">
        <v>3934</v>
      </c>
    </row>
    <row r="3795" spans="1:1">
      <c r="A3795" s="13" t="s">
        <v>3935</v>
      </c>
    </row>
    <row r="3796" spans="1:1">
      <c r="A3796" s="13" t="s">
        <v>3936</v>
      </c>
    </row>
    <row r="3797" spans="1:1">
      <c r="A3797" s="13" t="s">
        <v>3937</v>
      </c>
    </row>
    <row r="3798" spans="1:1">
      <c r="A3798" s="13" t="s">
        <v>3938</v>
      </c>
    </row>
    <row r="3799" spans="1:1">
      <c r="A3799" s="13" t="s">
        <v>3939</v>
      </c>
    </row>
    <row r="3800" spans="1:1">
      <c r="A3800" s="13" t="s">
        <v>3940</v>
      </c>
    </row>
    <row r="3801" spans="1:1">
      <c r="A3801" s="13" t="s">
        <v>3941</v>
      </c>
    </row>
    <row r="3802" spans="1:1">
      <c r="A3802" s="13" t="s">
        <v>3942</v>
      </c>
    </row>
    <row r="3803" spans="1:1">
      <c r="A3803" s="13" t="s">
        <v>3943</v>
      </c>
    </row>
    <row r="3804" spans="1:1">
      <c r="A3804" s="13" t="s">
        <v>3944</v>
      </c>
    </row>
    <row r="3805" spans="1:1">
      <c r="A3805" s="13" t="s">
        <v>3945</v>
      </c>
    </row>
    <row r="3806" spans="1:1">
      <c r="A3806" s="13" t="s">
        <v>3946</v>
      </c>
    </row>
    <row r="3807" spans="1:1">
      <c r="A3807" s="13" t="s">
        <v>3947</v>
      </c>
    </row>
    <row r="3808" spans="1:1">
      <c r="A3808" s="13" t="s">
        <v>3948</v>
      </c>
    </row>
    <row r="3809" spans="1:1">
      <c r="A3809" s="13" t="s">
        <v>3949</v>
      </c>
    </row>
    <row r="3810" spans="1:1">
      <c r="A3810" s="13" t="s">
        <v>3950</v>
      </c>
    </row>
    <row r="3811" spans="1:1">
      <c r="A3811" s="13" t="s">
        <v>3951</v>
      </c>
    </row>
    <row r="3812" spans="1:1">
      <c r="A3812" s="13" t="s">
        <v>3952</v>
      </c>
    </row>
    <row r="3813" spans="1:1">
      <c r="A3813" s="13" t="s">
        <v>3953</v>
      </c>
    </row>
    <row r="3814" spans="1:1">
      <c r="A3814" s="13" t="s">
        <v>3954</v>
      </c>
    </row>
    <row r="3815" spans="1:1">
      <c r="A3815" s="13" t="s">
        <v>3955</v>
      </c>
    </row>
    <row r="3816" spans="1:1">
      <c r="A3816" s="13" t="s">
        <v>3956</v>
      </c>
    </row>
    <row r="3817" spans="1:1">
      <c r="A3817" s="13" t="s">
        <v>3957</v>
      </c>
    </row>
    <row r="3818" spans="1:1">
      <c r="A3818" s="13" t="s">
        <v>3958</v>
      </c>
    </row>
    <row r="3819" spans="1:1">
      <c r="A3819" s="13" t="s">
        <v>3959</v>
      </c>
    </row>
    <row r="3820" spans="1:1">
      <c r="A3820" s="13" t="s">
        <v>3960</v>
      </c>
    </row>
    <row r="3821" spans="1:1">
      <c r="A3821" s="13" t="s">
        <v>3961</v>
      </c>
    </row>
    <row r="3822" spans="1:1">
      <c r="A3822" s="13" t="s">
        <v>3962</v>
      </c>
    </row>
    <row r="3823" spans="1:1">
      <c r="A3823" s="13" t="s">
        <v>3963</v>
      </c>
    </row>
    <row r="3824" spans="1:1">
      <c r="A3824" s="13" t="s">
        <v>3964</v>
      </c>
    </row>
    <row r="3825" spans="1:1">
      <c r="A3825" s="13" t="s">
        <v>3965</v>
      </c>
    </row>
    <row r="3826" spans="1:1">
      <c r="A3826" s="13" t="s">
        <v>3966</v>
      </c>
    </row>
    <row r="3827" spans="1:1">
      <c r="A3827" s="13" t="s">
        <v>3967</v>
      </c>
    </row>
    <row r="3828" spans="1:1">
      <c r="A3828" s="13" t="s">
        <v>3968</v>
      </c>
    </row>
    <row r="3829" spans="1:1">
      <c r="A3829" s="13" t="s">
        <v>3969</v>
      </c>
    </row>
    <row r="3830" spans="1:1">
      <c r="A3830" s="13" t="s">
        <v>3970</v>
      </c>
    </row>
    <row r="3831" spans="1:1">
      <c r="A3831" s="13" t="s">
        <v>3971</v>
      </c>
    </row>
    <row r="3832" spans="1:1">
      <c r="A3832" s="13" t="s">
        <v>3972</v>
      </c>
    </row>
    <row r="3833" spans="1:1">
      <c r="A3833" s="13" t="s">
        <v>3973</v>
      </c>
    </row>
    <row r="3834" spans="1:1">
      <c r="A3834" s="13" t="s">
        <v>3974</v>
      </c>
    </row>
    <row r="3835" spans="1:1">
      <c r="A3835" s="13" t="s">
        <v>3975</v>
      </c>
    </row>
    <row r="3836" spans="1:1">
      <c r="A3836" s="13" t="s">
        <v>3976</v>
      </c>
    </row>
    <row r="3837" spans="1:1">
      <c r="A3837" s="13" t="s">
        <v>3977</v>
      </c>
    </row>
    <row r="3838" spans="1:1">
      <c r="A3838" s="13" t="s">
        <v>3978</v>
      </c>
    </row>
    <row r="3839" spans="1:1">
      <c r="A3839" s="13" t="s">
        <v>3979</v>
      </c>
    </row>
    <row r="3840" spans="1:1">
      <c r="A3840" s="13" t="s">
        <v>3980</v>
      </c>
    </row>
    <row r="3841" spans="1:1">
      <c r="A3841" s="13" t="s">
        <v>3981</v>
      </c>
    </row>
    <row r="3842" spans="1:1">
      <c r="A3842" s="13" t="s">
        <v>3982</v>
      </c>
    </row>
    <row r="3843" spans="1:1">
      <c r="A3843" s="13" t="s">
        <v>3983</v>
      </c>
    </row>
    <row r="3844" spans="1:1">
      <c r="A3844" s="13" t="s">
        <v>3984</v>
      </c>
    </row>
    <row r="3845" spans="1:1">
      <c r="A3845" s="13" t="s">
        <v>3985</v>
      </c>
    </row>
    <row r="3846" spans="1:1">
      <c r="A3846" s="13" t="s">
        <v>3986</v>
      </c>
    </row>
    <row r="3847" spans="1:1">
      <c r="A3847" s="13" t="s">
        <v>3987</v>
      </c>
    </row>
    <row r="3848" spans="1:1">
      <c r="A3848" s="13" t="s">
        <v>3988</v>
      </c>
    </row>
    <row r="3849" spans="1:1">
      <c r="A3849" s="13" t="s">
        <v>3989</v>
      </c>
    </row>
    <row r="3850" spans="1:1">
      <c r="A3850" s="13" t="s">
        <v>3990</v>
      </c>
    </row>
    <row r="3851" spans="1:1">
      <c r="A3851" s="13" t="s">
        <v>3991</v>
      </c>
    </row>
    <row r="3852" spans="1:1">
      <c r="A3852" s="13" t="s">
        <v>3992</v>
      </c>
    </row>
    <row r="3853" spans="1:1">
      <c r="A3853" s="13" t="s">
        <v>3993</v>
      </c>
    </row>
    <row r="3854" spans="1:1">
      <c r="A3854" s="13" t="s">
        <v>3994</v>
      </c>
    </row>
    <row r="3855" spans="1:1">
      <c r="A3855" s="13" t="s">
        <v>3995</v>
      </c>
    </row>
    <row r="3856" spans="1:1">
      <c r="A3856" s="13" t="s">
        <v>3996</v>
      </c>
    </row>
    <row r="3857" spans="1:1">
      <c r="A3857" s="13" t="s">
        <v>3997</v>
      </c>
    </row>
    <row r="3858" spans="1:1">
      <c r="A3858" s="13" t="s">
        <v>3998</v>
      </c>
    </row>
    <row r="3859" spans="1:1">
      <c r="A3859" s="13" t="s">
        <v>3999</v>
      </c>
    </row>
    <row r="3860" spans="1:1">
      <c r="A3860" s="13" t="s">
        <v>4000</v>
      </c>
    </row>
    <row r="3861" spans="1:1">
      <c r="A3861" s="13" t="s">
        <v>4001</v>
      </c>
    </row>
    <row r="3862" spans="1:1">
      <c r="A3862" s="13" t="s">
        <v>4002</v>
      </c>
    </row>
    <row r="3863" spans="1:1">
      <c r="A3863" s="13" t="s">
        <v>4003</v>
      </c>
    </row>
    <row r="3864" spans="1:1">
      <c r="A3864" s="13" t="s">
        <v>4004</v>
      </c>
    </row>
    <row r="3865" spans="1:1">
      <c r="A3865" s="13" t="s">
        <v>4005</v>
      </c>
    </row>
    <row r="3866" spans="1:1">
      <c r="A3866" s="13" t="s">
        <v>4006</v>
      </c>
    </row>
    <row r="3867" spans="1:1">
      <c r="A3867" s="13" t="s">
        <v>4007</v>
      </c>
    </row>
    <row r="3868" spans="1:1">
      <c r="A3868" s="13" t="s">
        <v>4008</v>
      </c>
    </row>
    <row r="3869" spans="1:1">
      <c r="A3869" s="13" t="s">
        <v>4009</v>
      </c>
    </row>
    <row r="3870" spans="1:1">
      <c r="A3870" s="13" t="s">
        <v>4010</v>
      </c>
    </row>
    <row r="3871" spans="1:1">
      <c r="A3871" s="13" t="s">
        <v>4011</v>
      </c>
    </row>
    <row r="3872" spans="1:1">
      <c r="A3872" s="13" t="s">
        <v>4012</v>
      </c>
    </row>
    <row r="3873" spans="1:1">
      <c r="A3873" s="13" t="s">
        <v>4013</v>
      </c>
    </row>
    <row r="3874" spans="1:1">
      <c r="A3874" s="13" t="s">
        <v>4014</v>
      </c>
    </row>
    <row r="3875" spans="1:1">
      <c r="A3875" s="13" t="s">
        <v>4015</v>
      </c>
    </row>
    <row r="3876" spans="1:1">
      <c r="A3876" s="13" t="s">
        <v>4016</v>
      </c>
    </row>
    <row r="3877" spans="1:1">
      <c r="A3877" s="13" t="s">
        <v>4017</v>
      </c>
    </row>
    <row r="3878" spans="1:1">
      <c r="A3878" s="13" t="s">
        <v>4018</v>
      </c>
    </row>
    <row r="3879" spans="1:1">
      <c r="A3879" s="13" t="s">
        <v>4019</v>
      </c>
    </row>
    <row r="3880" spans="1:1">
      <c r="A3880" s="13" t="s">
        <v>4020</v>
      </c>
    </row>
    <row r="3881" spans="1:1">
      <c r="A3881" s="13" t="s">
        <v>4021</v>
      </c>
    </row>
    <row r="3882" spans="1:1">
      <c r="A3882" s="13" t="s">
        <v>4022</v>
      </c>
    </row>
    <row r="3883" spans="1:1">
      <c r="A3883" s="13" t="s">
        <v>4023</v>
      </c>
    </row>
    <row r="3884" spans="1:1">
      <c r="A3884" s="13" t="s">
        <v>4024</v>
      </c>
    </row>
    <row r="3885" spans="1:1">
      <c r="A3885" s="13" t="s">
        <v>4025</v>
      </c>
    </row>
    <row r="3886" spans="1:1">
      <c r="A3886" s="13" t="s">
        <v>4026</v>
      </c>
    </row>
    <row r="3887" spans="1:1">
      <c r="A3887" s="13" t="s">
        <v>4027</v>
      </c>
    </row>
    <row r="3888" spans="1:1">
      <c r="A3888" s="13" t="s">
        <v>4028</v>
      </c>
    </row>
    <row r="3889" spans="1:1">
      <c r="A3889" s="13" t="s">
        <v>4029</v>
      </c>
    </row>
    <row r="3890" spans="1:1">
      <c r="A3890" s="13" t="s">
        <v>4030</v>
      </c>
    </row>
    <row r="3891" spans="1:1">
      <c r="A3891" s="13" t="s">
        <v>4031</v>
      </c>
    </row>
    <row r="3892" spans="1:1">
      <c r="A3892" s="13" t="s">
        <v>4032</v>
      </c>
    </row>
    <row r="3893" spans="1:1">
      <c r="A3893" s="13" t="s">
        <v>4033</v>
      </c>
    </row>
    <row r="3894" spans="1:1">
      <c r="A3894" s="13" t="s">
        <v>4034</v>
      </c>
    </row>
    <row r="3895" spans="1:1">
      <c r="A3895" s="13" t="s">
        <v>4035</v>
      </c>
    </row>
    <row r="3896" spans="1:1">
      <c r="A3896" s="13" t="s">
        <v>4036</v>
      </c>
    </row>
    <row r="3897" spans="1:1">
      <c r="A3897" s="13" t="s">
        <v>4037</v>
      </c>
    </row>
    <row r="3898" spans="1:1">
      <c r="A3898" s="13" t="s">
        <v>4038</v>
      </c>
    </row>
    <row r="3899" spans="1:1">
      <c r="A3899" s="13" t="s">
        <v>4039</v>
      </c>
    </row>
    <row r="3900" spans="1:1">
      <c r="A3900" s="13" t="s">
        <v>4040</v>
      </c>
    </row>
    <row r="3901" spans="1:1">
      <c r="A3901" s="13" t="s">
        <v>4041</v>
      </c>
    </row>
    <row r="3902" spans="1:1">
      <c r="A3902" s="13" t="s">
        <v>4042</v>
      </c>
    </row>
    <row r="3903" spans="1:1">
      <c r="A3903" s="13" t="s">
        <v>4043</v>
      </c>
    </row>
    <row r="3904" spans="1:1">
      <c r="A3904" s="13" t="s">
        <v>4044</v>
      </c>
    </row>
    <row r="3905" spans="1:1">
      <c r="A3905" s="13" t="s">
        <v>4045</v>
      </c>
    </row>
    <row r="3906" spans="1:1">
      <c r="A3906" s="13" t="s">
        <v>4046</v>
      </c>
    </row>
    <row r="3907" spans="1:1">
      <c r="A3907" s="13" t="s">
        <v>4047</v>
      </c>
    </row>
    <row r="3908" spans="1:1">
      <c r="A3908" s="13" t="s">
        <v>4048</v>
      </c>
    </row>
    <row r="3909" spans="1:1">
      <c r="A3909" s="13" t="s">
        <v>4049</v>
      </c>
    </row>
    <row r="3910" spans="1:1">
      <c r="A3910" s="13" t="s">
        <v>4050</v>
      </c>
    </row>
    <row r="3911" spans="1:1">
      <c r="A3911" s="13" t="s">
        <v>4051</v>
      </c>
    </row>
    <row r="3912" spans="1:1">
      <c r="A3912" s="13" t="s">
        <v>4052</v>
      </c>
    </row>
    <row r="3913" spans="1:1">
      <c r="A3913" s="13" t="s">
        <v>4053</v>
      </c>
    </row>
    <row r="3914" spans="1:1">
      <c r="A3914" s="13" t="s">
        <v>4054</v>
      </c>
    </row>
    <row r="3915" spans="1:1">
      <c r="A3915" s="13" t="s">
        <v>4055</v>
      </c>
    </row>
    <row r="3916" spans="1:1">
      <c r="A3916" s="13" t="s">
        <v>4056</v>
      </c>
    </row>
    <row r="3917" spans="1:1">
      <c r="A3917" s="13" t="s">
        <v>4057</v>
      </c>
    </row>
    <row r="3918" spans="1:1">
      <c r="A3918" s="13" t="s">
        <v>4058</v>
      </c>
    </row>
    <row r="3919" spans="1:1">
      <c r="A3919" s="13" t="s">
        <v>4059</v>
      </c>
    </row>
    <row r="3920" spans="1:1">
      <c r="A3920" s="13" t="s">
        <v>4060</v>
      </c>
    </row>
    <row r="3921" spans="1:1">
      <c r="A3921" s="13" t="s">
        <v>4061</v>
      </c>
    </row>
    <row r="3922" spans="1:1">
      <c r="A3922" s="13" t="s">
        <v>4062</v>
      </c>
    </row>
    <row r="3923" spans="1:1">
      <c r="A3923" s="13" t="s">
        <v>4063</v>
      </c>
    </row>
    <row r="3924" spans="1:1">
      <c r="A3924" s="13" t="s">
        <v>4064</v>
      </c>
    </row>
    <row r="3925" spans="1:1">
      <c r="A3925" s="13" t="s">
        <v>4065</v>
      </c>
    </row>
    <row r="3926" spans="1:1">
      <c r="A3926" s="13" t="s">
        <v>4066</v>
      </c>
    </row>
    <row r="3927" spans="1:1">
      <c r="A3927" s="13" t="s">
        <v>4067</v>
      </c>
    </row>
    <row r="3928" spans="1:1">
      <c r="A3928" s="13" t="s">
        <v>4068</v>
      </c>
    </row>
    <row r="3929" spans="1:1">
      <c r="A3929" s="13" t="s">
        <v>4069</v>
      </c>
    </row>
    <row r="3930" spans="1:1">
      <c r="A3930" s="13" t="s">
        <v>4070</v>
      </c>
    </row>
    <row r="3931" spans="1:1">
      <c r="A3931" s="13" t="s">
        <v>307</v>
      </c>
    </row>
    <row r="3932" spans="1:1">
      <c r="A3932" s="13" t="s">
        <v>4071</v>
      </c>
    </row>
    <row r="3933" spans="1:1">
      <c r="A3933" s="13" t="s">
        <v>526</v>
      </c>
    </row>
    <row r="3934" spans="1:1">
      <c r="A3934" s="13" t="s">
        <v>4072</v>
      </c>
    </row>
    <row r="3935" spans="1:1">
      <c r="A3935" s="13" t="s">
        <v>526</v>
      </c>
    </row>
    <row r="3936" spans="1:1">
      <c r="A3936" s="13" t="s">
        <v>526</v>
      </c>
    </row>
    <row r="3937" spans="1:1">
      <c r="A3937" s="13" t="s">
        <v>4073</v>
      </c>
    </row>
    <row r="3938" spans="1:1">
      <c r="A3938" s="13" t="s">
        <v>526</v>
      </c>
    </row>
    <row r="3939" spans="1:1">
      <c r="A3939" s="13" t="s">
        <v>4074</v>
      </c>
    </row>
    <row r="3940" spans="1:1">
      <c r="A3940" s="13" t="s">
        <v>4075</v>
      </c>
    </row>
    <row r="3941" spans="1:1">
      <c r="A3941" s="13" t="s">
        <v>4076</v>
      </c>
    </row>
    <row r="3942" spans="1:1">
      <c r="A3942" s="13" t="s">
        <v>4077</v>
      </c>
    </row>
    <row r="3943" spans="1:1">
      <c r="A3943" s="13" t="s">
        <v>4078</v>
      </c>
    </row>
    <row r="3944" spans="1:1">
      <c r="A3944" s="13" t="s">
        <v>4079</v>
      </c>
    </row>
    <row r="3945" spans="1:1">
      <c r="A3945" s="13" t="s">
        <v>4080</v>
      </c>
    </row>
    <row r="3946" spans="1:1">
      <c r="A3946" s="13" t="s">
        <v>4081</v>
      </c>
    </row>
    <row r="3947" spans="1:1">
      <c r="A3947" s="13" t="s">
        <v>4082</v>
      </c>
    </row>
    <row r="3948" spans="1:1">
      <c r="A3948" s="13" t="s">
        <v>4083</v>
      </c>
    </row>
    <row r="3949" spans="1:1">
      <c r="A3949" s="13" t="s">
        <v>4084</v>
      </c>
    </row>
    <row r="3950" spans="1:1">
      <c r="A3950" s="13" t="s">
        <v>4085</v>
      </c>
    </row>
    <row r="3951" spans="1:1">
      <c r="A3951" s="13" t="s">
        <v>4086</v>
      </c>
    </row>
    <row r="3952" spans="1:1">
      <c r="A3952" s="13" t="s">
        <v>4087</v>
      </c>
    </row>
    <row r="3953" spans="1:1">
      <c r="A3953" s="13" t="s">
        <v>4088</v>
      </c>
    </row>
    <row r="3954" spans="1:1">
      <c r="A3954" s="13" t="s">
        <v>4089</v>
      </c>
    </row>
    <row r="3955" spans="1:1">
      <c r="A3955" s="13" t="s">
        <v>4090</v>
      </c>
    </row>
    <row r="3956" spans="1:1">
      <c r="A3956" s="13" t="s">
        <v>4091</v>
      </c>
    </row>
    <row r="3957" spans="1:1">
      <c r="A3957" s="13" t="s">
        <v>4092</v>
      </c>
    </row>
    <row r="3958" spans="1:1">
      <c r="A3958" s="13" t="s">
        <v>4093</v>
      </c>
    </row>
    <row r="3959" spans="1:1">
      <c r="A3959" s="13" t="s">
        <v>526</v>
      </c>
    </row>
    <row r="3960" spans="1:1">
      <c r="A3960" s="13" t="s">
        <v>4094</v>
      </c>
    </row>
    <row r="3961" spans="1:1">
      <c r="A3961" s="13" t="s">
        <v>4095</v>
      </c>
    </row>
    <row r="3962" spans="1:1">
      <c r="A3962" s="13" t="s">
        <v>4096</v>
      </c>
    </row>
    <row r="3963" spans="1:1">
      <c r="A3963" s="13" t="s">
        <v>4097</v>
      </c>
    </row>
    <row r="3964" spans="1:1">
      <c r="A3964" s="13" t="s">
        <v>4098</v>
      </c>
    </row>
    <row r="3965" spans="1:1">
      <c r="A3965" s="13" t="s">
        <v>4099</v>
      </c>
    </row>
    <row r="3966" spans="1:1">
      <c r="A3966" s="13" t="s">
        <v>4100</v>
      </c>
    </row>
    <row r="3967" spans="1:1">
      <c r="A3967" s="13" t="s">
        <v>4101</v>
      </c>
    </row>
    <row r="3968" spans="1:1">
      <c r="A3968" s="13" t="s">
        <v>4102</v>
      </c>
    </row>
    <row r="3969" spans="1:1">
      <c r="A3969" s="13" t="s">
        <v>4103</v>
      </c>
    </row>
    <row r="3970" spans="1:1">
      <c r="A3970" s="13" t="s">
        <v>4104</v>
      </c>
    </row>
    <row r="3971" spans="1:1">
      <c r="A3971" s="13" t="s">
        <v>4105</v>
      </c>
    </row>
    <row r="3972" spans="1:1">
      <c r="A3972" s="13" t="s">
        <v>4106</v>
      </c>
    </row>
    <row r="3973" spans="1:1">
      <c r="A3973" s="13" t="s">
        <v>4107</v>
      </c>
    </row>
    <row r="3974" spans="1:1">
      <c r="A3974" s="13" t="s">
        <v>4108</v>
      </c>
    </row>
    <row r="3975" spans="1:1">
      <c r="A3975" s="13" t="s">
        <v>4109</v>
      </c>
    </row>
    <row r="3976" spans="1:1">
      <c r="A3976" s="13" t="s">
        <v>4110</v>
      </c>
    </row>
    <row r="3977" spans="1:1">
      <c r="A3977" s="13" t="s">
        <v>4111</v>
      </c>
    </row>
    <row r="3978" spans="1:1">
      <c r="A3978" s="13" t="s">
        <v>526</v>
      </c>
    </row>
    <row r="3979" spans="1:1">
      <c r="A3979" s="13" t="s">
        <v>4112</v>
      </c>
    </row>
    <row r="3980" spans="1:1">
      <c r="A3980" s="13" t="s">
        <v>4113</v>
      </c>
    </row>
    <row r="3981" spans="1:1">
      <c r="A3981" s="13" t="s">
        <v>4114</v>
      </c>
    </row>
    <row r="3982" spans="1:1">
      <c r="A3982" s="13" t="s">
        <v>4115</v>
      </c>
    </row>
    <row r="3983" spans="1:1">
      <c r="A3983" s="13" t="s">
        <v>4116</v>
      </c>
    </row>
    <row r="3984" spans="1:1">
      <c r="A3984" s="13" t="s">
        <v>4117</v>
      </c>
    </row>
    <row r="3985" spans="1:1">
      <c r="A3985" s="13" t="s">
        <v>4118</v>
      </c>
    </row>
    <row r="3986" spans="1:1">
      <c r="A3986" s="13" t="s">
        <v>4119</v>
      </c>
    </row>
    <row r="3987" spans="1:1">
      <c r="A3987" s="13" t="s">
        <v>4120</v>
      </c>
    </row>
    <row r="3988" spans="1:1">
      <c r="A3988" s="13" t="s">
        <v>4121</v>
      </c>
    </row>
    <row r="3989" spans="1:1">
      <c r="A3989" s="13" t="s">
        <v>4122</v>
      </c>
    </row>
    <row r="3990" spans="1:1">
      <c r="A3990" s="13" t="s">
        <v>4123</v>
      </c>
    </row>
    <row r="3991" spans="1:1">
      <c r="A3991" s="13" t="s">
        <v>4124</v>
      </c>
    </row>
    <row r="3992" spans="1:1">
      <c r="A3992" s="13" t="s">
        <v>4125</v>
      </c>
    </row>
    <row r="3993" spans="1:1">
      <c r="A3993" s="13" t="s">
        <v>526</v>
      </c>
    </row>
    <row r="3994" spans="1:1">
      <c r="A3994" s="13" t="s">
        <v>4126</v>
      </c>
    </row>
    <row r="3995" spans="1:1">
      <c r="A3995" s="13" t="s">
        <v>4127</v>
      </c>
    </row>
    <row r="3996" spans="1:1">
      <c r="A3996" s="13" t="s">
        <v>4128</v>
      </c>
    </row>
    <row r="3997" spans="1:1">
      <c r="A3997" s="13" t="s">
        <v>4129</v>
      </c>
    </row>
    <row r="3998" spans="1:1">
      <c r="A3998" s="13" t="s">
        <v>4130</v>
      </c>
    </row>
    <row r="3999" spans="1:1">
      <c r="A3999" s="13" t="s">
        <v>526</v>
      </c>
    </row>
    <row r="4000" spans="1:1">
      <c r="A4000" s="13" t="s">
        <v>4131</v>
      </c>
    </row>
    <row r="4001" spans="1:1">
      <c r="A4001" s="13" t="s">
        <v>526</v>
      </c>
    </row>
    <row r="4002" spans="1:1">
      <c r="A4002" s="13" t="s">
        <v>4132</v>
      </c>
    </row>
    <row r="4003" spans="1:1">
      <c r="A4003" s="13" t="s">
        <v>4133</v>
      </c>
    </row>
    <row r="4004" spans="1:1">
      <c r="A4004" s="13" t="s">
        <v>4134</v>
      </c>
    </row>
    <row r="4005" spans="1:1">
      <c r="A4005" s="13" t="s">
        <v>4135</v>
      </c>
    </row>
    <row r="4006" spans="1:1">
      <c r="A4006" s="13" t="s">
        <v>4136</v>
      </c>
    </row>
    <row r="4007" spans="1:1">
      <c r="A4007" s="13" t="s">
        <v>4137</v>
      </c>
    </row>
    <row r="4008" spans="1:1">
      <c r="A4008" s="13" t="s">
        <v>4138</v>
      </c>
    </row>
    <row r="4009" spans="1:1">
      <c r="A4009" s="13" t="s">
        <v>4139</v>
      </c>
    </row>
    <row r="4010" spans="1:1">
      <c r="A4010" s="13" t="s">
        <v>4140</v>
      </c>
    </row>
    <row r="4011" spans="1:1">
      <c r="A4011" s="13" t="s">
        <v>4141</v>
      </c>
    </row>
    <row r="4012" spans="1:1">
      <c r="A4012" s="13" t="s">
        <v>4142</v>
      </c>
    </row>
    <row r="4013" spans="1:1">
      <c r="A4013" s="13" t="s">
        <v>4143</v>
      </c>
    </row>
    <row r="4014" spans="1:1">
      <c r="A4014" s="13" t="s">
        <v>4144</v>
      </c>
    </row>
    <row r="4015" spans="1:1">
      <c r="A4015" s="13" t="s">
        <v>4145</v>
      </c>
    </row>
    <row r="4016" spans="1:1">
      <c r="A4016" s="13" t="s">
        <v>4146</v>
      </c>
    </row>
    <row r="4017" spans="1:1">
      <c r="A4017" s="13" t="s">
        <v>4147</v>
      </c>
    </row>
    <row r="4018" spans="1:1">
      <c r="A4018" s="13" t="s">
        <v>4148</v>
      </c>
    </row>
    <row r="4019" spans="1:1">
      <c r="A4019" s="13" t="s">
        <v>526</v>
      </c>
    </row>
    <row r="4020" spans="1:1">
      <c r="A4020" s="13" t="s">
        <v>4149</v>
      </c>
    </row>
    <row r="4021" spans="1:1">
      <c r="A4021" s="13" t="s">
        <v>4150</v>
      </c>
    </row>
    <row r="4022" spans="1:1">
      <c r="A4022" s="13" t="s">
        <v>4151</v>
      </c>
    </row>
    <row r="4023" spans="1:1">
      <c r="A4023" s="13" t="s">
        <v>4152</v>
      </c>
    </row>
    <row r="4024" spans="1:1">
      <c r="A4024" s="13" t="s">
        <v>526</v>
      </c>
    </row>
    <row r="4025" spans="1:1">
      <c r="A4025" s="13" t="s">
        <v>526</v>
      </c>
    </row>
    <row r="4026" spans="1:1">
      <c r="A4026" s="13" t="s">
        <v>4153</v>
      </c>
    </row>
    <row r="4027" spans="1:1">
      <c r="A4027" s="13" t="s">
        <v>4154</v>
      </c>
    </row>
    <row r="4028" spans="1:1">
      <c r="A4028" s="13" t="s">
        <v>4155</v>
      </c>
    </row>
    <row r="4029" spans="1:1">
      <c r="A4029" s="13" t="s">
        <v>4156</v>
      </c>
    </row>
    <row r="4030" spans="1:1">
      <c r="A4030" s="13" t="s">
        <v>4157</v>
      </c>
    </row>
    <row r="4031" spans="1:1">
      <c r="A4031" s="13" t="s">
        <v>4158</v>
      </c>
    </row>
    <row r="4032" spans="1:1">
      <c r="A4032" s="13" t="s">
        <v>4159</v>
      </c>
    </row>
    <row r="4033" spans="1:1">
      <c r="A4033" s="13" t="s">
        <v>4160</v>
      </c>
    </row>
    <row r="4034" spans="1:1">
      <c r="A4034" s="13" t="s">
        <v>4161</v>
      </c>
    </row>
    <row r="4035" spans="1:1">
      <c r="A4035" s="13" t="s">
        <v>4162</v>
      </c>
    </row>
    <row r="4036" spans="1:1">
      <c r="A4036" s="13" t="s">
        <v>4163</v>
      </c>
    </row>
    <row r="4037" spans="1:1">
      <c r="A4037" s="13" t="s">
        <v>4164</v>
      </c>
    </row>
    <row r="4038" spans="1:1">
      <c r="A4038" s="13" t="s">
        <v>4165</v>
      </c>
    </row>
    <row r="4039" spans="1:1">
      <c r="A4039" s="13" t="s">
        <v>4166</v>
      </c>
    </row>
    <row r="4040" spans="1:1">
      <c r="A4040" s="13" t="s">
        <v>4167</v>
      </c>
    </row>
    <row r="4041" spans="1:1">
      <c r="A4041" s="13" t="s">
        <v>4168</v>
      </c>
    </row>
    <row r="4042" spans="1:1">
      <c r="A4042" s="13" t="s">
        <v>4169</v>
      </c>
    </row>
    <row r="4043" spans="1:1">
      <c r="A4043" s="13" t="s">
        <v>4170</v>
      </c>
    </row>
    <row r="4044" spans="1:1">
      <c r="A4044" s="13" t="s">
        <v>4171</v>
      </c>
    </row>
    <row r="4045" spans="1:1">
      <c r="A4045" s="13" t="s">
        <v>4172</v>
      </c>
    </row>
    <row r="4046" spans="1:1">
      <c r="A4046" s="13" t="s">
        <v>4173</v>
      </c>
    </row>
    <row r="4047" spans="1:1">
      <c r="A4047" s="13" t="s">
        <v>4174</v>
      </c>
    </row>
    <row r="4048" spans="1:1">
      <c r="A4048" s="13" t="s">
        <v>4175</v>
      </c>
    </row>
    <row r="4049" spans="1:1">
      <c r="A4049" s="13" t="s">
        <v>4176</v>
      </c>
    </row>
    <row r="4050" spans="1:1">
      <c r="A4050" s="13" t="s">
        <v>4177</v>
      </c>
    </row>
    <row r="4051" spans="1:1">
      <c r="A4051" s="13" t="s">
        <v>4178</v>
      </c>
    </row>
    <row r="4052" spans="1:1">
      <c r="A4052" s="13" t="s">
        <v>4179</v>
      </c>
    </row>
    <row r="4053" spans="1:1">
      <c r="A4053" s="13" t="s">
        <v>4180</v>
      </c>
    </row>
    <row r="4054" spans="1:1">
      <c r="A4054" s="13" t="s">
        <v>4181</v>
      </c>
    </row>
    <row r="4055" spans="1:1">
      <c r="A4055" s="13" t="s">
        <v>4182</v>
      </c>
    </row>
    <row r="4056" spans="1:1">
      <c r="A4056" s="13" t="s">
        <v>4183</v>
      </c>
    </row>
    <row r="4057" spans="1:1">
      <c r="A4057" s="13" t="s">
        <v>4184</v>
      </c>
    </row>
    <row r="4058" spans="1:1">
      <c r="A4058" s="13" t="s">
        <v>526</v>
      </c>
    </row>
    <row r="4059" spans="1:1">
      <c r="A4059" s="13" t="s">
        <v>4185</v>
      </c>
    </row>
    <row r="4060" spans="1:1">
      <c r="A4060" s="13" t="s">
        <v>4186</v>
      </c>
    </row>
    <row r="4061" spans="1:1">
      <c r="A4061" s="13" t="s">
        <v>4187</v>
      </c>
    </row>
    <row r="4062" spans="1:1">
      <c r="A4062" s="13" t="s">
        <v>4188</v>
      </c>
    </row>
    <row r="4063" spans="1:1">
      <c r="A4063" s="13" t="s">
        <v>4189</v>
      </c>
    </row>
    <row r="4064" spans="1:1">
      <c r="A4064" s="13" t="s">
        <v>4190</v>
      </c>
    </row>
    <row r="4065" spans="1:1">
      <c r="A4065" s="13" t="s">
        <v>4191</v>
      </c>
    </row>
    <row r="4066" spans="1:1">
      <c r="A4066" s="13" t="s">
        <v>4192</v>
      </c>
    </row>
    <row r="4067" spans="1:1">
      <c r="A4067" s="13" t="s">
        <v>4193</v>
      </c>
    </row>
    <row r="4068" spans="1:1">
      <c r="A4068" s="13" t="s">
        <v>4194</v>
      </c>
    </row>
    <row r="4069" spans="1:1">
      <c r="A4069" s="13" t="s">
        <v>4195</v>
      </c>
    </row>
    <row r="4070" spans="1:1">
      <c r="A4070" s="13" t="s">
        <v>4196</v>
      </c>
    </row>
    <row r="4071" spans="1:1">
      <c r="A4071" s="13" t="s">
        <v>4197</v>
      </c>
    </row>
    <row r="4072" spans="1:1">
      <c r="A4072" s="13" t="s">
        <v>4198</v>
      </c>
    </row>
    <row r="4073" spans="1:1">
      <c r="A4073" s="13" t="s">
        <v>4199</v>
      </c>
    </row>
    <row r="4074" spans="1:1">
      <c r="A4074" s="13" t="s">
        <v>4200</v>
      </c>
    </row>
    <row r="4075" spans="1:1">
      <c r="A4075" s="13" t="s">
        <v>4201</v>
      </c>
    </row>
    <row r="4076" spans="1:1">
      <c r="A4076" s="13" t="s">
        <v>4202</v>
      </c>
    </row>
    <row r="4077" spans="1:1">
      <c r="A4077" s="13" t="s">
        <v>4203</v>
      </c>
    </row>
    <row r="4078" spans="1:1">
      <c r="A4078" s="13" t="s">
        <v>526</v>
      </c>
    </row>
    <row r="4079" spans="1:1">
      <c r="A4079" s="13" t="s">
        <v>4204</v>
      </c>
    </row>
    <row r="4080" spans="1:1">
      <c r="A4080" s="13" t="s">
        <v>4205</v>
      </c>
    </row>
    <row r="4081" spans="1:1">
      <c r="A4081" s="13" t="s">
        <v>4206</v>
      </c>
    </row>
    <row r="4082" spans="1:1">
      <c r="A4082" s="13" t="s">
        <v>4207</v>
      </c>
    </row>
    <row r="4083" spans="1:1">
      <c r="A4083" s="13" t="s">
        <v>4208</v>
      </c>
    </row>
    <row r="4084" spans="1:1">
      <c r="A4084" s="13" t="s">
        <v>4209</v>
      </c>
    </row>
    <row r="4085" spans="1:1">
      <c r="A4085" s="13" t="s">
        <v>4210</v>
      </c>
    </row>
    <row r="4086" spans="1:1">
      <c r="A4086" s="13" t="s">
        <v>4211</v>
      </c>
    </row>
    <row r="4087" spans="1:1">
      <c r="A4087" s="13" t="s">
        <v>4212</v>
      </c>
    </row>
    <row r="4088" spans="1:1">
      <c r="A4088" s="13" t="s">
        <v>4213</v>
      </c>
    </row>
    <row r="4089" spans="1:1">
      <c r="A4089" s="13" t="s">
        <v>4214</v>
      </c>
    </row>
    <row r="4090" spans="1:1">
      <c r="A4090" s="13" t="s">
        <v>4215</v>
      </c>
    </row>
    <row r="4091" spans="1:1">
      <c r="A4091" s="13" t="s">
        <v>4216</v>
      </c>
    </row>
    <row r="4092" spans="1:1">
      <c r="A4092" s="13" t="s">
        <v>4217</v>
      </c>
    </row>
    <row r="4093" spans="1:1">
      <c r="A4093" s="13" t="s">
        <v>4218</v>
      </c>
    </row>
    <row r="4094" spans="1:1">
      <c r="A4094" s="13" t="s">
        <v>4219</v>
      </c>
    </row>
    <row r="4095" spans="1:1">
      <c r="A4095" s="13" t="s">
        <v>4220</v>
      </c>
    </row>
    <row r="4096" spans="1:1">
      <c r="A4096" s="13" t="s">
        <v>4221</v>
      </c>
    </row>
    <row r="4097" spans="1:1">
      <c r="A4097" s="13" t="s">
        <v>4222</v>
      </c>
    </row>
    <row r="4098" spans="1:1">
      <c r="A4098" s="13" t="s">
        <v>4223</v>
      </c>
    </row>
    <row r="4099" spans="1:1">
      <c r="A4099" s="13" t="s">
        <v>4224</v>
      </c>
    </row>
    <row r="4100" spans="1:1">
      <c r="A4100" s="13" t="s">
        <v>4225</v>
      </c>
    </row>
    <row r="4101" spans="1:1">
      <c r="A4101" s="13" t="s">
        <v>4226</v>
      </c>
    </row>
    <row r="4102" spans="1:1">
      <c r="A4102" s="13" t="s">
        <v>4227</v>
      </c>
    </row>
    <row r="4103" spans="1:1">
      <c r="A4103" s="13" t="s">
        <v>4228</v>
      </c>
    </row>
    <row r="4104" spans="1:1">
      <c r="A4104" s="13" t="s">
        <v>4229</v>
      </c>
    </row>
    <row r="4105" spans="1:1">
      <c r="A4105" s="13" t="s">
        <v>4230</v>
      </c>
    </row>
    <row r="4106" spans="1:1">
      <c r="A4106" s="13" t="s">
        <v>4231</v>
      </c>
    </row>
    <row r="4107" spans="1:1">
      <c r="A4107" s="13" t="s">
        <v>4232</v>
      </c>
    </row>
    <row r="4108" spans="1:1">
      <c r="A4108" s="13" t="s">
        <v>4233</v>
      </c>
    </row>
    <row r="4109" spans="1:1">
      <c r="A4109" s="13" t="s">
        <v>526</v>
      </c>
    </row>
    <row r="4110" spans="1:1">
      <c r="A4110" s="13" t="s">
        <v>4234</v>
      </c>
    </row>
    <row r="4111" spans="1:1">
      <c r="A4111" s="13" t="s">
        <v>4235</v>
      </c>
    </row>
    <row r="4112" spans="1:1">
      <c r="A4112" s="13" t="s">
        <v>4236</v>
      </c>
    </row>
    <row r="4113" spans="1:1">
      <c r="A4113" s="13" t="s">
        <v>4237</v>
      </c>
    </row>
    <row r="4114" spans="1:1">
      <c r="A4114" s="13" t="s">
        <v>4238</v>
      </c>
    </row>
    <row r="4115" spans="1:1">
      <c r="A4115" s="13" t="s">
        <v>4239</v>
      </c>
    </row>
    <row r="4116" spans="1:1">
      <c r="A4116" s="13" t="s">
        <v>4240</v>
      </c>
    </row>
    <row r="4117" spans="1:1">
      <c r="A4117" s="13" t="s">
        <v>4241</v>
      </c>
    </row>
    <row r="4118" spans="1:1">
      <c r="A4118" s="13" t="s">
        <v>4242</v>
      </c>
    </row>
    <row r="4119" spans="1:1">
      <c r="A4119" s="13" t="s">
        <v>4243</v>
      </c>
    </row>
    <row r="4120" spans="1:1">
      <c r="A4120" s="13" t="s">
        <v>4244</v>
      </c>
    </row>
    <row r="4121" spans="1:1">
      <c r="A4121" s="13" t="s">
        <v>4245</v>
      </c>
    </row>
    <row r="4122" spans="1:1">
      <c r="A4122" s="13" t="s">
        <v>4246</v>
      </c>
    </row>
    <row r="4123" spans="1:1">
      <c r="A4123" s="13" t="s">
        <v>4247</v>
      </c>
    </row>
    <row r="4124" spans="1:1">
      <c r="A4124" s="13" t="s">
        <v>4248</v>
      </c>
    </row>
    <row r="4125" spans="1:1">
      <c r="A4125" s="13" t="s">
        <v>4249</v>
      </c>
    </row>
    <row r="4126" spans="1:1">
      <c r="A4126" s="13" t="s">
        <v>4250</v>
      </c>
    </row>
    <row r="4127" spans="1:1">
      <c r="A4127" s="13" t="s">
        <v>4251</v>
      </c>
    </row>
    <row r="4128" spans="1:1">
      <c r="A4128" s="13" t="s">
        <v>4252</v>
      </c>
    </row>
    <row r="4129" spans="1:1">
      <c r="A4129" s="13" t="s">
        <v>4253</v>
      </c>
    </row>
    <row r="4130" spans="1:1">
      <c r="A4130" s="13" t="s">
        <v>4254</v>
      </c>
    </row>
    <row r="4131" spans="1:1">
      <c r="A4131" s="13" t="s">
        <v>4255</v>
      </c>
    </row>
    <row r="4132" spans="1:1">
      <c r="A4132" s="13" t="s">
        <v>4256</v>
      </c>
    </row>
    <row r="4133" spans="1:1">
      <c r="A4133" s="13" t="s">
        <v>4257</v>
      </c>
    </row>
    <row r="4134" spans="1:1">
      <c r="A4134" s="13" t="s">
        <v>4258</v>
      </c>
    </row>
    <row r="4135" spans="1:1">
      <c r="A4135" s="13" t="s">
        <v>4259</v>
      </c>
    </row>
    <row r="4136" spans="1:1">
      <c r="A4136" s="13" t="s">
        <v>4260</v>
      </c>
    </row>
    <row r="4137" spans="1:1">
      <c r="A4137" s="13" t="s">
        <v>4261</v>
      </c>
    </row>
    <row r="4138" spans="1:1">
      <c r="A4138" s="13" t="s">
        <v>4262</v>
      </c>
    </row>
    <row r="4139" spans="1:1">
      <c r="A4139" s="13" t="s">
        <v>4263</v>
      </c>
    </row>
    <row r="4140" spans="1:1">
      <c r="A4140" s="13" t="s">
        <v>4264</v>
      </c>
    </row>
    <row r="4141" spans="1:1">
      <c r="A4141" s="13" t="s">
        <v>4265</v>
      </c>
    </row>
    <row r="4142" spans="1:1">
      <c r="A4142" s="13" t="s">
        <v>4266</v>
      </c>
    </row>
    <row r="4143" spans="1:1">
      <c r="A4143" s="13" t="s">
        <v>4267</v>
      </c>
    </row>
    <row r="4144" spans="1:1">
      <c r="A4144" s="13" t="s">
        <v>4268</v>
      </c>
    </row>
    <row r="4145" spans="1:1">
      <c r="A4145" s="13" t="s">
        <v>4269</v>
      </c>
    </row>
    <row r="4146" spans="1:1">
      <c r="A4146" s="13" t="s">
        <v>4270</v>
      </c>
    </row>
    <row r="4147" spans="1:1">
      <c r="A4147" s="13" t="s">
        <v>4271</v>
      </c>
    </row>
    <row r="4148" spans="1:1">
      <c r="A4148" s="13" t="s">
        <v>4272</v>
      </c>
    </row>
    <row r="4149" spans="1:1">
      <c r="A4149" s="13" t="s">
        <v>4273</v>
      </c>
    </row>
    <row r="4150" spans="1:1">
      <c r="A4150" s="13" t="s">
        <v>4274</v>
      </c>
    </row>
    <row r="4151" spans="1:1">
      <c r="A4151" s="13" t="s">
        <v>4275</v>
      </c>
    </row>
    <row r="4152" spans="1:1">
      <c r="A4152" s="13" t="s">
        <v>4276</v>
      </c>
    </row>
    <row r="4153" spans="1:1">
      <c r="A4153" s="13" t="s">
        <v>4277</v>
      </c>
    </row>
    <row r="4154" spans="1:1">
      <c r="A4154" s="13" t="s">
        <v>4278</v>
      </c>
    </row>
    <row r="4155" spans="1:1">
      <c r="A4155" s="13" t="s">
        <v>4279</v>
      </c>
    </row>
    <row r="4156" spans="1:1">
      <c r="A4156" s="13" t="s">
        <v>4280</v>
      </c>
    </row>
    <row r="4157" spans="1:1">
      <c r="A4157" s="13" t="s">
        <v>4281</v>
      </c>
    </row>
    <row r="4158" spans="1:1">
      <c r="A4158" s="13" t="s">
        <v>4282</v>
      </c>
    </row>
    <row r="4159" spans="1:1">
      <c r="A4159" s="13" t="s">
        <v>4283</v>
      </c>
    </row>
    <row r="4160" spans="1:1">
      <c r="A4160" s="13" t="s">
        <v>4284</v>
      </c>
    </row>
    <row r="4161" spans="1:1">
      <c r="A4161" s="13" t="s">
        <v>4285</v>
      </c>
    </row>
    <row r="4162" spans="1:1">
      <c r="A4162" s="13" t="s">
        <v>4286</v>
      </c>
    </row>
    <row r="4163" spans="1:1">
      <c r="A4163" s="13" t="s">
        <v>4287</v>
      </c>
    </row>
    <row r="4164" spans="1:1">
      <c r="A4164" s="13" t="s">
        <v>4288</v>
      </c>
    </row>
    <row r="4165" spans="1:1">
      <c r="A4165" s="13" t="s">
        <v>4289</v>
      </c>
    </row>
    <row r="4166" spans="1:1">
      <c r="A4166" s="13" t="s">
        <v>4290</v>
      </c>
    </row>
    <row r="4167" spans="1:1">
      <c r="A4167" s="13" t="s">
        <v>4291</v>
      </c>
    </row>
    <row r="4168" spans="1:1">
      <c r="A4168" s="13" t="s">
        <v>4292</v>
      </c>
    </row>
    <row r="4169" spans="1:1">
      <c r="A4169" s="13" t="s">
        <v>4293</v>
      </c>
    </row>
    <row r="4170" spans="1:1">
      <c r="A4170" s="13" t="s">
        <v>4294</v>
      </c>
    </row>
    <row r="4171" spans="1:1">
      <c r="A4171" s="13" t="s">
        <v>4295</v>
      </c>
    </row>
    <row r="4172" spans="1:1">
      <c r="A4172" s="13" t="s">
        <v>4296</v>
      </c>
    </row>
    <row r="4173" spans="1:1">
      <c r="A4173" s="13" t="s">
        <v>4297</v>
      </c>
    </row>
    <row r="4174" spans="1:1">
      <c r="A4174" s="13" t="s">
        <v>4298</v>
      </c>
    </row>
    <row r="4175" spans="1:1">
      <c r="A4175" s="13" t="s">
        <v>4299</v>
      </c>
    </row>
    <row r="4176" spans="1:1">
      <c r="A4176" s="13" t="s">
        <v>4300</v>
      </c>
    </row>
    <row r="4177" spans="1:1">
      <c r="A4177" s="13" t="s">
        <v>4301</v>
      </c>
    </row>
    <row r="4178" spans="1:1">
      <c r="A4178" s="13" t="s">
        <v>285</v>
      </c>
    </row>
    <row r="4179" spans="1:1">
      <c r="A4179" s="13" t="s">
        <v>4302</v>
      </c>
    </row>
    <row r="4180" spans="1:1">
      <c r="A4180" s="13" t="s">
        <v>4303</v>
      </c>
    </row>
    <row r="4181" spans="1:1">
      <c r="A4181" s="13" t="s">
        <v>4304</v>
      </c>
    </row>
    <row r="4182" spans="1:1">
      <c r="A4182" s="13" t="s">
        <v>4305</v>
      </c>
    </row>
    <row r="4183" spans="1:1">
      <c r="A4183" s="13" t="s">
        <v>4306</v>
      </c>
    </row>
    <row r="4184" spans="1:1">
      <c r="A4184" s="13" t="s">
        <v>4307</v>
      </c>
    </row>
    <row r="4185" spans="1:1">
      <c r="A4185" s="13" t="s">
        <v>4308</v>
      </c>
    </row>
    <row r="4186" spans="1:1">
      <c r="A4186" s="13" t="s">
        <v>4309</v>
      </c>
    </row>
    <row r="4187" spans="1:1">
      <c r="A4187" s="13" t="s">
        <v>4310</v>
      </c>
    </row>
    <row r="4188" spans="1:1">
      <c r="A4188" s="13" t="s">
        <v>4311</v>
      </c>
    </row>
    <row r="4189" spans="1:1">
      <c r="A4189" s="13" t="s">
        <v>4312</v>
      </c>
    </row>
    <row r="4190" spans="1:1">
      <c r="A4190" s="13" t="s">
        <v>266</v>
      </c>
    </row>
    <row r="4191" spans="1:1">
      <c r="A4191" s="13" t="s">
        <v>4313</v>
      </c>
    </row>
    <row r="4192" spans="1:1">
      <c r="A4192" s="13" t="s">
        <v>4314</v>
      </c>
    </row>
    <row r="4193" spans="1:1">
      <c r="A4193" s="13" t="s">
        <v>4315</v>
      </c>
    </row>
    <row r="4194" spans="1:1">
      <c r="A4194" s="13" t="s">
        <v>4316</v>
      </c>
    </row>
    <row r="4195" spans="1:1">
      <c r="A4195" s="13" t="s">
        <v>4317</v>
      </c>
    </row>
    <row r="4196" spans="1:1">
      <c r="A4196" s="13" t="s">
        <v>4318</v>
      </c>
    </row>
    <row r="4197" spans="1:1">
      <c r="A4197" s="13" t="s">
        <v>4319</v>
      </c>
    </row>
    <row r="4198" spans="1:1">
      <c r="A4198" s="13" t="s">
        <v>4320</v>
      </c>
    </row>
    <row r="4199" spans="1:1">
      <c r="A4199" s="13" t="s">
        <v>4321</v>
      </c>
    </row>
    <row r="4200" spans="1:1">
      <c r="A4200" s="13" t="s">
        <v>4322</v>
      </c>
    </row>
    <row r="4201" spans="1:1">
      <c r="A4201" s="13" t="s">
        <v>4323</v>
      </c>
    </row>
    <row r="4202" spans="1:1">
      <c r="A4202" s="13" t="s">
        <v>4324</v>
      </c>
    </row>
    <row r="4203" spans="1:1">
      <c r="A4203" s="13" t="s">
        <v>4325</v>
      </c>
    </row>
    <row r="4204" spans="1:1">
      <c r="A4204" s="13" t="s">
        <v>4326</v>
      </c>
    </row>
    <row r="4205" spans="1:1">
      <c r="A4205" s="13" t="s">
        <v>4327</v>
      </c>
    </row>
    <row r="4206" spans="1:1">
      <c r="A4206" s="13" t="s">
        <v>4328</v>
      </c>
    </row>
    <row r="4207" spans="1:1">
      <c r="A4207" s="13" t="s">
        <v>4329</v>
      </c>
    </row>
    <row r="4208" spans="1:1">
      <c r="A4208" s="13" t="s">
        <v>4330</v>
      </c>
    </row>
    <row r="4209" spans="1:1">
      <c r="A4209" s="13" t="s">
        <v>4331</v>
      </c>
    </row>
    <row r="4210" spans="1:1">
      <c r="A4210" s="13" t="s">
        <v>4332</v>
      </c>
    </row>
    <row r="4211" spans="1:1">
      <c r="A4211" s="13" t="s">
        <v>4333</v>
      </c>
    </row>
    <row r="4212" spans="1:1">
      <c r="A4212" s="13" t="s">
        <v>4334</v>
      </c>
    </row>
    <row r="4213" spans="1:1">
      <c r="A4213" s="13" t="s">
        <v>4335</v>
      </c>
    </row>
    <row r="4214" spans="1:1">
      <c r="A4214" s="13" t="s">
        <v>4336</v>
      </c>
    </row>
    <row r="4215" spans="1:1">
      <c r="A4215" s="13" t="s">
        <v>4337</v>
      </c>
    </row>
    <row r="4216" spans="1:1">
      <c r="A4216" s="13" t="s">
        <v>4338</v>
      </c>
    </row>
    <row r="4217" spans="1:1">
      <c r="A4217" s="13" t="s">
        <v>4339</v>
      </c>
    </row>
    <row r="4218" spans="1:1">
      <c r="A4218" s="13" t="s">
        <v>4340</v>
      </c>
    </row>
    <row r="4219" spans="1:1">
      <c r="A4219" s="13" t="s">
        <v>4341</v>
      </c>
    </row>
    <row r="4220" spans="1:1">
      <c r="A4220" s="13" t="s">
        <v>4342</v>
      </c>
    </row>
    <row r="4221" spans="1:1">
      <c r="A4221" s="13" t="s">
        <v>526</v>
      </c>
    </row>
    <row r="4222" spans="1:1">
      <c r="A4222" s="13" t="s">
        <v>4343</v>
      </c>
    </row>
    <row r="4223" spans="1:1">
      <c r="A4223" s="13" t="s">
        <v>4344</v>
      </c>
    </row>
    <row r="4224" spans="1:1">
      <c r="A4224" s="13" t="s">
        <v>4345</v>
      </c>
    </row>
    <row r="4225" spans="1:1">
      <c r="A4225" s="13" t="s">
        <v>4346</v>
      </c>
    </row>
    <row r="4226" spans="1:1">
      <c r="A4226" s="13" t="s">
        <v>4347</v>
      </c>
    </row>
    <row r="4227" spans="1:1">
      <c r="A4227" s="13" t="s">
        <v>4348</v>
      </c>
    </row>
    <row r="4228" spans="1:1">
      <c r="A4228" s="13" t="s">
        <v>4349</v>
      </c>
    </row>
    <row r="4229" spans="1:1">
      <c r="A4229" s="13" t="s">
        <v>4350</v>
      </c>
    </row>
    <row r="4230" spans="1:1">
      <c r="A4230" s="13" t="s">
        <v>4351</v>
      </c>
    </row>
    <row r="4231" spans="1:1">
      <c r="A4231" s="13" t="s">
        <v>4352</v>
      </c>
    </row>
    <row r="4232" spans="1:1">
      <c r="A4232" s="13" t="s">
        <v>4353</v>
      </c>
    </row>
    <row r="4233" spans="1:1">
      <c r="A4233" s="13" t="s">
        <v>4354</v>
      </c>
    </row>
    <row r="4234" spans="1:1">
      <c r="A4234" s="13" t="s">
        <v>4355</v>
      </c>
    </row>
    <row r="4235" spans="1:1">
      <c r="A4235" s="13" t="s">
        <v>4356</v>
      </c>
    </row>
    <row r="4236" spans="1:1">
      <c r="A4236" s="13" t="s">
        <v>4357</v>
      </c>
    </row>
    <row r="4237" spans="1:1">
      <c r="A4237" s="13" t="s">
        <v>4358</v>
      </c>
    </row>
    <row r="4238" spans="1:1">
      <c r="A4238" s="13" t="s">
        <v>4359</v>
      </c>
    </row>
    <row r="4239" spans="1:1">
      <c r="A4239" s="13" t="s">
        <v>4360</v>
      </c>
    </row>
    <row r="4240" spans="1:1">
      <c r="A4240" s="13" t="s">
        <v>4361</v>
      </c>
    </row>
    <row r="4241" spans="1:1">
      <c r="A4241" s="13" t="s">
        <v>4362</v>
      </c>
    </row>
    <row r="4242" spans="1:1">
      <c r="A4242" s="13" t="s">
        <v>4363</v>
      </c>
    </row>
    <row r="4243" spans="1:1">
      <c r="A4243" s="13" t="s">
        <v>4364</v>
      </c>
    </row>
    <row r="4244" spans="1:1">
      <c r="A4244" s="13" t="s">
        <v>4365</v>
      </c>
    </row>
    <row r="4245" spans="1:1">
      <c r="A4245" s="13" t="s">
        <v>4366</v>
      </c>
    </row>
    <row r="4246" spans="1:1">
      <c r="A4246" s="13" t="s">
        <v>4367</v>
      </c>
    </row>
    <row r="4247" spans="1:1">
      <c r="A4247" s="13" t="s">
        <v>4368</v>
      </c>
    </row>
    <row r="4248" spans="1:1">
      <c r="A4248" s="13" t="s">
        <v>4369</v>
      </c>
    </row>
    <row r="4249" spans="1:1">
      <c r="A4249" s="13" t="s">
        <v>4370</v>
      </c>
    </row>
    <row r="4250" spans="1:1">
      <c r="A4250" s="13" t="s">
        <v>4371</v>
      </c>
    </row>
    <row r="4251" spans="1:1">
      <c r="A4251" s="13" t="s">
        <v>4372</v>
      </c>
    </row>
    <row r="4252" spans="1:1">
      <c r="A4252" s="13" t="s">
        <v>4373</v>
      </c>
    </row>
    <row r="4253" spans="1:1">
      <c r="A4253" s="13" t="s">
        <v>4374</v>
      </c>
    </row>
    <row r="4254" spans="1:1">
      <c r="A4254" s="13" t="s">
        <v>4375</v>
      </c>
    </row>
    <row r="4255" spans="1:1">
      <c r="A4255" s="13" t="s">
        <v>4376</v>
      </c>
    </row>
    <row r="4256" spans="1:1">
      <c r="A4256" s="13" t="s">
        <v>4377</v>
      </c>
    </row>
    <row r="4257" spans="1:1">
      <c r="A4257" s="13" t="s">
        <v>4378</v>
      </c>
    </row>
    <row r="4258" spans="1:1">
      <c r="A4258" s="13" t="s">
        <v>4379</v>
      </c>
    </row>
    <row r="4259" spans="1:1">
      <c r="A4259" s="13" t="s">
        <v>4380</v>
      </c>
    </row>
    <row r="4260" spans="1:1">
      <c r="A4260" s="13" t="s">
        <v>4381</v>
      </c>
    </row>
    <row r="4261" spans="1:1">
      <c r="A4261" s="13" t="s">
        <v>4382</v>
      </c>
    </row>
    <row r="4262" spans="1:1">
      <c r="A4262" s="13" t="s">
        <v>4383</v>
      </c>
    </row>
    <row r="4263" spans="1:1">
      <c r="A4263" s="13" t="s">
        <v>4384</v>
      </c>
    </row>
    <row r="4264" spans="1:1">
      <c r="A4264" s="13" t="s">
        <v>4385</v>
      </c>
    </row>
    <row r="4265" spans="1:1">
      <c r="A4265" s="13" t="s">
        <v>4386</v>
      </c>
    </row>
    <row r="4266" spans="1:1">
      <c r="A4266" s="13" t="s">
        <v>4387</v>
      </c>
    </row>
    <row r="4267" spans="1:1">
      <c r="A4267" s="13" t="s">
        <v>4388</v>
      </c>
    </row>
    <row r="4268" spans="1:1">
      <c r="A4268" s="13" t="s">
        <v>4389</v>
      </c>
    </row>
    <row r="4269" spans="1:1">
      <c r="A4269" s="13" t="s">
        <v>4390</v>
      </c>
    </row>
    <row r="4270" spans="1:1">
      <c r="A4270" s="13" t="s">
        <v>4391</v>
      </c>
    </row>
    <row r="4271" spans="1:1">
      <c r="A4271" s="13" t="s">
        <v>4392</v>
      </c>
    </row>
    <row r="4272" spans="1:1">
      <c r="A4272" s="13" t="s">
        <v>4393</v>
      </c>
    </row>
    <row r="4273" spans="1:1">
      <c r="A4273" s="13" t="s">
        <v>4394</v>
      </c>
    </row>
    <row r="4274" spans="1:1">
      <c r="A4274" s="13" t="s">
        <v>4395</v>
      </c>
    </row>
    <row r="4275" spans="1:1">
      <c r="A4275" s="13" t="s">
        <v>4396</v>
      </c>
    </row>
    <row r="4276" spans="1:1">
      <c r="A4276" s="13" t="s">
        <v>4397</v>
      </c>
    </row>
    <row r="4277" spans="1:1">
      <c r="A4277" s="13" t="s">
        <v>4398</v>
      </c>
    </row>
    <row r="4278" spans="1:1">
      <c r="A4278" s="13" t="s">
        <v>4399</v>
      </c>
    </row>
    <row r="4279" spans="1:1">
      <c r="A4279" s="13" t="s">
        <v>4400</v>
      </c>
    </row>
    <row r="4280" spans="1:1">
      <c r="A4280" s="13" t="s">
        <v>4401</v>
      </c>
    </row>
    <row r="4281" spans="1:1">
      <c r="A4281" s="13" t="s">
        <v>4402</v>
      </c>
    </row>
    <row r="4282" spans="1:1">
      <c r="A4282" s="13" t="s">
        <v>4403</v>
      </c>
    </row>
    <row r="4283" spans="1:1">
      <c r="A4283" s="13" t="s">
        <v>4404</v>
      </c>
    </row>
    <row r="4284" spans="1:1">
      <c r="A4284" s="13" t="s">
        <v>4405</v>
      </c>
    </row>
    <row r="4285" spans="1:1">
      <c r="A4285" s="13" t="s">
        <v>4406</v>
      </c>
    </row>
    <row r="4286" spans="1:1">
      <c r="A4286" s="13" t="s">
        <v>4407</v>
      </c>
    </row>
    <row r="4287" spans="1:1">
      <c r="A4287" s="13" t="s">
        <v>4408</v>
      </c>
    </row>
    <row r="4288" spans="1:1">
      <c r="A4288" s="13" t="s">
        <v>4409</v>
      </c>
    </row>
    <row r="4289" spans="1:1">
      <c r="A4289" s="13" t="s">
        <v>4410</v>
      </c>
    </row>
    <row r="4290" spans="1:1">
      <c r="A4290" s="13" t="s">
        <v>4411</v>
      </c>
    </row>
    <row r="4291" spans="1:1">
      <c r="A4291" s="13" t="s">
        <v>4412</v>
      </c>
    </row>
    <row r="4292" spans="1:1">
      <c r="A4292" s="13" t="s">
        <v>4413</v>
      </c>
    </row>
    <row r="4293" spans="1:1">
      <c r="A4293" s="13" t="s">
        <v>4414</v>
      </c>
    </row>
    <row r="4294" spans="1:1">
      <c r="A4294" s="13" t="s">
        <v>4415</v>
      </c>
    </row>
    <row r="4295" spans="1:1">
      <c r="A4295" s="13" t="s">
        <v>4416</v>
      </c>
    </row>
    <row r="4296" spans="1:1">
      <c r="A4296" s="13" t="s">
        <v>4417</v>
      </c>
    </row>
    <row r="4297" spans="1:1">
      <c r="A4297" s="13" t="s">
        <v>4418</v>
      </c>
    </row>
    <row r="4298" spans="1:1">
      <c r="A4298" s="13" t="s">
        <v>4419</v>
      </c>
    </row>
    <row r="4299" spans="1:1">
      <c r="A4299" s="13" t="s">
        <v>4420</v>
      </c>
    </row>
    <row r="4300" spans="1:1">
      <c r="A4300" s="13" t="s">
        <v>4421</v>
      </c>
    </row>
    <row r="4301" spans="1:1">
      <c r="A4301" s="13" t="s">
        <v>4422</v>
      </c>
    </row>
    <row r="4302" spans="1:1">
      <c r="A4302" s="13" t="s">
        <v>4423</v>
      </c>
    </row>
    <row r="4303" spans="1:1">
      <c r="A4303" s="13" t="s">
        <v>4424</v>
      </c>
    </row>
    <row r="4304" spans="1:1">
      <c r="A4304" s="13" t="s">
        <v>4425</v>
      </c>
    </row>
    <row r="4305" spans="1:1">
      <c r="A4305" s="13" t="s">
        <v>4426</v>
      </c>
    </row>
    <row r="4306" spans="1:1">
      <c r="A4306" s="13" t="s">
        <v>4427</v>
      </c>
    </row>
    <row r="4307" spans="1:1">
      <c r="A4307" s="13" t="s">
        <v>4428</v>
      </c>
    </row>
    <row r="4308" spans="1:1">
      <c r="A4308" s="13" t="s">
        <v>4429</v>
      </c>
    </row>
    <row r="4309" spans="1:1">
      <c r="A4309" s="13" t="s">
        <v>4430</v>
      </c>
    </row>
    <row r="4310" spans="1:1">
      <c r="A4310" s="13" t="s">
        <v>4431</v>
      </c>
    </row>
    <row r="4311" spans="1:1">
      <c r="A4311" s="13" t="s">
        <v>4432</v>
      </c>
    </row>
    <row r="4312" spans="1:1">
      <c r="A4312" s="13" t="s">
        <v>4433</v>
      </c>
    </row>
    <row r="4313" spans="1:1">
      <c r="A4313" s="13" t="s">
        <v>4434</v>
      </c>
    </row>
    <row r="4314" spans="1:1">
      <c r="A4314" s="13" t="s">
        <v>4435</v>
      </c>
    </row>
    <row r="4315" spans="1:1">
      <c r="A4315" s="13" t="s">
        <v>4436</v>
      </c>
    </row>
    <row r="4316" spans="1:1">
      <c r="A4316" s="13" t="s">
        <v>4437</v>
      </c>
    </row>
    <row r="4317" spans="1:1">
      <c r="A4317" s="13" t="s">
        <v>4438</v>
      </c>
    </row>
    <row r="4318" spans="1:1">
      <c r="A4318" s="13" t="s">
        <v>4439</v>
      </c>
    </row>
    <row r="4319" spans="1:1">
      <c r="A4319" s="13" t="s">
        <v>4440</v>
      </c>
    </row>
    <row r="4320" spans="1:1">
      <c r="A4320" s="13" t="s">
        <v>4441</v>
      </c>
    </row>
    <row r="4321" spans="1:1">
      <c r="A4321" s="13" t="s">
        <v>4442</v>
      </c>
    </row>
    <row r="4322" spans="1:1">
      <c r="A4322" s="13" t="s">
        <v>4443</v>
      </c>
    </row>
    <row r="4323" spans="1:1">
      <c r="A4323" s="13" t="s">
        <v>4444</v>
      </c>
    </row>
    <row r="4324" spans="1:1">
      <c r="A4324" s="13" t="s">
        <v>4445</v>
      </c>
    </row>
    <row r="4325" spans="1:1">
      <c r="A4325" s="13" t="s">
        <v>4446</v>
      </c>
    </row>
    <row r="4326" spans="1:1">
      <c r="A4326" s="13" t="s">
        <v>4447</v>
      </c>
    </row>
    <row r="4327" spans="1:1">
      <c r="A4327" s="13" t="s">
        <v>4448</v>
      </c>
    </row>
    <row r="4328" spans="1:1">
      <c r="A4328" s="13" t="s">
        <v>4449</v>
      </c>
    </row>
    <row r="4329" spans="1:1">
      <c r="A4329" s="13" t="s">
        <v>4450</v>
      </c>
    </row>
    <row r="4330" spans="1:1">
      <c r="A4330" s="13" t="s">
        <v>4451</v>
      </c>
    </row>
    <row r="4331" spans="1:1">
      <c r="A4331" s="13" t="s">
        <v>4452</v>
      </c>
    </row>
    <row r="4332" spans="1:1">
      <c r="A4332" s="13" t="s">
        <v>4453</v>
      </c>
    </row>
    <row r="4333" spans="1:1">
      <c r="A4333" s="13" t="s">
        <v>4454</v>
      </c>
    </row>
    <row r="4334" spans="1:1">
      <c r="A4334" s="13" t="s">
        <v>4455</v>
      </c>
    </row>
    <row r="4335" spans="1:1">
      <c r="A4335" s="13" t="s">
        <v>4456</v>
      </c>
    </row>
    <row r="4336" spans="1:1">
      <c r="A4336" s="13" t="s">
        <v>4457</v>
      </c>
    </row>
    <row r="4337" spans="1:1">
      <c r="A4337" s="13" t="s">
        <v>4458</v>
      </c>
    </row>
    <row r="4338" spans="1:1">
      <c r="A4338" s="13" t="s">
        <v>4459</v>
      </c>
    </row>
    <row r="4339" spans="1:1">
      <c r="A4339" s="13" t="s">
        <v>4460</v>
      </c>
    </row>
    <row r="4340" spans="1:1">
      <c r="A4340" s="13" t="s">
        <v>4461</v>
      </c>
    </row>
    <row r="4341" spans="1:1">
      <c r="A4341" s="13" t="s">
        <v>4462</v>
      </c>
    </row>
    <row r="4342" spans="1:1">
      <c r="A4342" s="13" t="s">
        <v>4463</v>
      </c>
    </row>
    <row r="4343" spans="1:1">
      <c r="A4343" s="13" t="s">
        <v>4464</v>
      </c>
    </row>
    <row r="4344" spans="1:1">
      <c r="A4344" s="13" t="s">
        <v>4465</v>
      </c>
    </row>
    <row r="4345" spans="1:1">
      <c r="A4345" s="13" t="s">
        <v>4466</v>
      </c>
    </row>
    <row r="4346" spans="1:1">
      <c r="A4346" s="13" t="s">
        <v>4467</v>
      </c>
    </row>
    <row r="4347" spans="1:1">
      <c r="A4347" s="13" t="s">
        <v>4468</v>
      </c>
    </row>
    <row r="4348" spans="1:1">
      <c r="A4348" s="13" t="s">
        <v>4469</v>
      </c>
    </row>
    <row r="4349" spans="1:1">
      <c r="A4349" s="13" t="s">
        <v>4470</v>
      </c>
    </row>
    <row r="4350" spans="1:1">
      <c r="A4350" s="13" t="s">
        <v>4471</v>
      </c>
    </row>
    <row r="4351" spans="1:1">
      <c r="A4351" s="13" t="s">
        <v>4472</v>
      </c>
    </row>
    <row r="4352" spans="1:1">
      <c r="A4352" s="13" t="s">
        <v>4473</v>
      </c>
    </row>
    <row r="4353" spans="1:1">
      <c r="A4353" s="13" t="s">
        <v>4474</v>
      </c>
    </row>
    <row r="4354" spans="1:1">
      <c r="A4354" s="13" t="s">
        <v>4475</v>
      </c>
    </row>
    <row r="4355" spans="1:1">
      <c r="A4355" s="13" t="s">
        <v>4476</v>
      </c>
    </row>
    <row r="4356" spans="1:1">
      <c r="A4356" s="13" t="s">
        <v>4477</v>
      </c>
    </row>
    <row r="4357" spans="1:1">
      <c r="A4357" s="13" t="s">
        <v>4478</v>
      </c>
    </row>
    <row r="4358" spans="1:1">
      <c r="A4358" s="13" t="s">
        <v>4479</v>
      </c>
    </row>
    <row r="4359" spans="1:1">
      <c r="A4359" s="13" t="s">
        <v>4480</v>
      </c>
    </row>
    <row r="4360" spans="1:1">
      <c r="A4360" s="13" t="s">
        <v>4481</v>
      </c>
    </row>
    <row r="4361" spans="1:1">
      <c r="A4361" s="13" t="s">
        <v>4482</v>
      </c>
    </row>
    <row r="4362" spans="1:1">
      <c r="A4362" s="13" t="s">
        <v>4483</v>
      </c>
    </row>
    <row r="4363" spans="1:1">
      <c r="A4363" s="13" t="s">
        <v>4484</v>
      </c>
    </row>
    <row r="4364" spans="1:1">
      <c r="A4364" s="13" t="s">
        <v>4485</v>
      </c>
    </row>
    <row r="4365" spans="1:1">
      <c r="A4365" s="13" t="s">
        <v>4486</v>
      </c>
    </row>
    <row r="4366" spans="1:1">
      <c r="A4366" s="13" t="s">
        <v>4487</v>
      </c>
    </row>
    <row r="4367" spans="1:1">
      <c r="A4367" s="13" t="s">
        <v>4488</v>
      </c>
    </row>
    <row r="4368" spans="1:1">
      <c r="A4368" s="13" t="s">
        <v>4489</v>
      </c>
    </row>
    <row r="4369" spans="1:1">
      <c r="A4369" s="13" t="s">
        <v>4490</v>
      </c>
    </row>
    <row r="4370" spans="1:1">
      <c r="A4370" s="13" t="s">
        <v>4491</v>
      </c>
    </row>
    <row r="4371" spans="1:1">
      <c r="A4371" s="13" t="s">
        <v>4492</v>
      </c>
    </row>
    <row r="4372" spans="1:1">
      <c r="A4372" s="13" t="s">
        <v>4493</v>
      </c>
    </row>
    <row r="4373" spans="1:1">
      <c r="A4373" s="13" t="s">
        <v>4494</v>
      </c>
    </row>
    <row r="4374" spans="1:1">
      <c r="A4374" s="13" t="s">
        <v>4495</v>
      </c>
    </row>
    <row r="4375" spans="1:1">
      <c r="A4375" s="13" t="s">
        <v>4496</v>
      </c>
    </row>
    <row r="4376" spans="1:1">
      <c r="A4376" s="13" t="s">
        <v>4497</v>
      </c>
    </row>
    <row r="4377" spans="1:1">
      <c r="A4377" s="13" t="s">
        <v>4498</v>
      </c>
    </row>
    <row r="4378" spans="1:1">
      <c r="A4378" s="13" t="s">
        <v>4499</v>
      </c>
    </row>
    <row r="4379" spans="1:1">
      <c r="A4379" s="13" t="s">
        <v>4500</v>
      </c>
    </row>
    <row r="4380" spans="1:1">
      <c r="A4380" s="13" t="s">
        <v>4501</v>
      </c>
    </row>
    <row r="4381" spans="1:1">
      <c r="A4381" s="13" t="s">
        <v>4502</v>
      </c>
    </row>
    <row r="4382" spans="1:1">
      <c r="A4382" s="13" t="s">
        <v>4503</v>
      </c>
    </row>
    <row r="4383" spans="1:1">
      <c r="A4383" s="13" t="s">
        <v>4504</v>
      </c>
    </row>
    <row r="4384" spans="1:1">
      <c r="A4384" s="13" t="s">
        <v>4505</v>
      </c>
    </row>
    <row r="4385" spans="1:1">
      <c r="A4385" s="13" t="s">
        <v>4506</v>
      </c>
    </row>
    <row r="4386" spans="1:1">
      <c r="A4386" s="13" t="s">
        <v>4507</v>
      </c>
    </row>
    <row r="4387" spans="1:1">
      <c r="A4387" s="13" t="s">
        <v>4508</v>
      </c>
    </row>
    <row r="4388" spans="1:1">
      <c r="A4388" s="13" t="s">
        <v>4509</v>
      </c>
    </row>
    <row r="4389" spans="1:1">
      <c r="A4389" s="13" t="s">
        <v>4510</v>
      </c>
    </row>
    <row r="4390" spans="1:1">
      <c r="A4390" s="13" t="s">
        <v>4511</v>
      </c>
    </row>
    <row r="4391" spans="1:1">
      <c r="A4391" s="13" t="s">
        <v>4512</v>
      </c>
    </row>
    <row r="4392" spans="1:1">
      <c r="A4392" s="13" t="s">
        <v>4513</v>
      </c>
    </row>
    <row r="4393" spans="1:1">
      <c r="A4393" s="13" t="s">
        <v>4514</v>
      </c>
    </row>
    <row r="4394" spans="1:1">
      <c r="A4394" s="13" t="s">
        <v>4515</v>
      </c>
    </row>
    <row r="4395" spans="1:1">
      <c r="A4395" s="13" t="s">
        <v>4516</v>
      </c>
    </row>
    <row r="4396" spans="1:1">
      <c r="A4396" s="13" t="s">
        <v>4517</v>
      </c>
    </row>
    <row r="4397" spans="1:1">
      <c r="A4397" s="13" t="s">
        <v>4518</v>
      </c>
    </row>
    <row r="4398" spans="1:1">
      <c r="A4398" s="13" t="s">
        <v>4519</v>
      </c>
    </row>
    <row r="4399" spans="1:1">
      <c r="A4399" s="13" t="s">
        <v>4520</v>
      </c>
    </row>
    <row r="4400" spans="1:1">
      <c r="A4400" s="13" t="s">
        <v>4521</v>
      </c>
    </row>
    <row r="4401" spans="1:1">
      <c r="A4401" s="13" t="s">
        <v>4522</v>
      </c>
    </row>
    <row r="4402" spans="1:1">
      <c r="A4402" s="13" t="s">
        <v>4523</v>
      </c>
    </row>
    <row r="4403" spans="1:1">
      <c r="A4403" s="13" t="s">
        <v>4524</v>
      </c>
    </row>
    <row r="4404" spans="1:1">
      <c r="A4404" s="13" t="s">
        <v>4525</v>
      </c>
    </row>
    <row r="4405" spans="1:1">
      <c r="A4405" s="13" t="s">
        <v>4526</v>
      </c>
    </row>
    <row r="4406" spans="1:1">
      <c r="A4406" s="13" t="s">
        <v>4527</v>
      </c>
    </row>
    <row r="4407" spans="1:1">
      <c r="A4407" s="13" t="s">
        <v>4528</v>
      </c>
    </row>
    <row r="4408" spans="1:1">
      <c r="A4408" s="13" t="s">
        <v>4529</v>
      </c>
    </row>
    <row r="4409" spans="1:1">
      <c r="A4409" s="13" t="s">
        <v>4530</v>
      </c>
    </row>
    <row r="4410" spans="1:1">
      <c r="A4410" s="13" t="s">
        <v>4531</v>
      </c>
    </row>
    <row r="4411" spans="1:1">
      <c r="A4411" s="13" t="s">
        <v>4532</v>
      </c>
    </row>
    <row r="4412" spans="1:1">
      <c r="A4412" s="13" t="s">
        <v>4533</v>
      </c>
    </row>
    <row r="4413" spans="1:1">
      <c r="A4413" s="13" t="s">
        <v>4534</v>
      </c>
    </row>
    <row r="4414" spans="1:1">
      <c r="A4414" s="13" t="s">
        <v>4535</v>
      </c>
    </row>
    <row r="4415" spans="1:1">
      <c r="A4415" s="13" t="s">
        <v>4536</v>
      </c>
    </row>
    <row r="4416" spans="1:1">
      <c r="A4416" s="13" t="s">
        <v>4537</v>
      </c>
    </row>
    <row r="4417" spans="1:1">
      <c r="A4417" s="13" t="s">
        <v>4538</v>
      </c>
    </row>
    <row r="4418" spans="1:1">
      <c r="A4418" s="13" t="s">
        <v>4539</v>
      </c>
    </row>
    <row r="4419" spans="1:1">
      <c r="A4419" s="13" t="s">
        <v>4540</v>
      </c>
    </row>
    <row r="4420" spans="1:1">
      <c r="A4420" s="13" t="s">
        <v>4541</v>
      </c>
    </row>
    <row r="4421" spans="1:1">
      <c r="A4421" s="13" t="s">
        <v>4542</v>
      </c>
    </row>
    <row r="4422" spans="1:1">
      <c r="A4422" s="13" t="s">
        <v>4543</v>
      </c>
    </row>
    <row r="4423" spans="1:1">
      <c r="A4423" s="13" t="s">
        <v>4544</v>
      </c>
    </row>
    <row r="4424" spans="1:1">
      <c r="A4424" s="13" t="s">
        <v>4545</v>
      </c>
    </row>
    <row r="4425" spans="1:1">
      <c r="A4425" s="13" t="s">
        <v>4546</v>
      </c>
    </row>
    <row r="4426" spans="1:1">
      <c r="A4426" s="13" t="s">
        <v>4547</v>
      </c>
    </row>
    <row r="4427" spans="1:1">
      <c r="A4427" s="13" t="s">
        <v>4548</v>
      </c>
    </row>
    <row r="4428" spans="1:1">
      <c r="A4428" s="13" t="s">
        <v>4549</v>
      </c>
    </row>
    <row r="4429" spans="1:1">
      <c r="A4429" s="13" t="s">
        <v>4550</v>
      </c>
    </row>
    <row r="4430" spans="1:1">
      <c r="A4430" s="13" t="s">
        <v>4551</v>
      </c>
    </row>
    <row r="4431" spans="1:1">
      <c r="A4431" s="13" t="s">
        <v>4552</v>
      </c>
    </row>
    <row r="4432" spans="1:1">
      <c r="A4432" s="13" t="s">
        <v>4553</v>
      </c>
    </row>
    <row r="4433" spans="1:1">
      <c r="A4433" s="13" t="s">
        <v>4554</v>
      </c>
    </row>
    <row r="4434" spans="1:1">
      <c r="A4434" s="13" t="s">
        <v>4555</v>
      </c>
    </row>
    <row r="4435" spans="1:1">
      <c r="A4435" s="13" t="s">
        <v>4556</v>
      </c>
    </row>
    <row r="4436" spans="1:1">
      <c r="A4436" s="13" t="s">
        <v>4557</v>
      </c>
    </row>
    <row r="4437" spans="1:1">
      <c r="A4437" s="13" t="s">
        <v>4558</v>
      </c>
    </row>
    <row r="4438" spans="1:1">
      <c r="A4438" s="13" t="s">
        <v>4559</v>
      </c>
    </row>
    <row r="4439" spans="1:1">
      <c r="A4439" s="13" t="s">
        <v>4560</v>
      </c>
    </row>
    <row r="4440" spans="1:1">
      <c r="A4440" s="13" t="s">
        <v>4561</v>
      </c>
    </row>
    <row r="4441" spans="1:1">
      <c r="A4441" s="13" t="s">
        <v>4562</v>
      </c>
    </row>
    <row r="4442" spans="1:1">
      <c r="A4442" s="13" t="s">
        <v>4563</v>
      </c>
    </row>
    <row r="4443" spans="1:1">
      <c r="A4443" s="13" t="s">
        <v>4564</v>
      </c>
    </row>
    <row r="4444" spans="1:1">
      <c r="A4444" s="13" t="s">
        <v>4565</v>
      </c>
    </row>
    <row r="4445" spans="1:1">
      <c r="A4445" s="13" t="s">
        <v>4566</v>
      </c>
    </row>
    <row r="4446" spans="1:1">
      <c r="A4446" s="13" t="s">
        <v>4567</v>
      </c>
    </row>
    <row r="4447" spans="1:1">
      <c r="A4447" s="13" t="s">
        <v>4568</v>
      </c>
    </row>
    <row r="4448" spans="1:1">
      <c r="A4448" s="13" t="s">
        <v>4569</v>
      </c>
    </row>
    <row r="4449" spans="1:1">
      <c r="A4449" s="13" t="s">
        <v>4570</v>
      </c>
    </row>
    <row r="4450" spans="1:1">
      <c r="A4450" s="13" t="s">
        <v>4571</v>
      </c>
    </row>
    <row r="4451" spans="1:1">
      <c r="A4451" s="13" t="s">
        <v>4572</v>
      </c>
    </row>
    <row r="4452" spans="1:1">
      <c r="A4452" s="13" t="s">
        <v>4573</v>
      </c>
    </row>
    <row r="4453" spans="1:1">
      <c r="A4453" s="13" t="s">
        <v>4574</v>
      </c>
    </row>
    <row r="4454" spans="1:1">
      <c r="A4454" s="13" t="s">
        <v>4575</v>
      </c>
    </row>
    <row r="4455" spans="1:1">
      <c r="A4455" s="13" t="s">
        <v>4576</v>
      </c>
    </row>
    <row r="4456" spans="1:1">
      <c r="A4456" s="13" t="s">
        <v>4577</v>
      </c>
    </row>
    <row r="4457" spans="1:1">
      <c r="A4457" s="13" t="s">
        <v>4578</v>
      </c>
    </row>
    <row r="4458" spans="1:1">
      <c r="A4458" s="13" t="s">
        <v>4579</v>
      </c>
    </row>
    <row r="4459" spans="1:1">
      <c r="A4459" s="13" t="s">
        <v>4580</v>
      </c>
    </row>
    <row r="4460" spans="1:1">
      <c r="A4460" s="13" t="s">
        <v>4581</v>
      </c>
    </row>
    <row r="4461" spans="1:1">
      <c r="A4461" s="13" t="s">
        <v>4582</v>
      </c>
    </row>
    <row r="4462" spans="1:1">
      <c r="A4462" s="13" t="s">
        <v>4583</v>
      </c>
    </row>
    <row r="4463" spans="1:1">
      <c r="A4463" s="13" t="s">
        <v>4584</v>
      </c>
    </row>
    <row r="4464" spans="1:1">
      <c r="A4464" s="13" t="s">
        <v>4585</v>
      </c>
    </row>
    <row r="4465" spans="1:1">
      <c r="A4465" s="13" t="s">
        <v>4586</v>
      </c>
    </row>
    <row r="4466" spans="1:1">
      <c r="A4466" s="13" t="s">
        <v>4587</v>
      </c>
    </row>
    <row r="4467" spans="1:1">
      <c r="A4467" s="13" t="s">
        <v>4588</v>
      </c>
    </row>
    <row r="4468" spans="1:1">
      <c r="A4468" s="13" t="s">
        <v>4589</v>
      </c>
    </row>
    <row r="4469" spans="1:1">
      <c r="A4469" s="13" t="s">
        <v>4590</v>
      </c>
    </row>
    <row r="4470" spans="1:1">
      <c r="A4470" s="13" t="s">
        <v>4591</v>
      </c>
    </row>
    <row r="4471" spans="1:1">
      <c r="A4471" s="13" t="s">
        <v>4592</v>
      </c>
    </row>
    <row r="4472" spans="1:1">
      <c r="A4472" s="13" t="s">
        <v>4593</v>
      </c>
    </row>
    <row r="4473" spans="1:1">
      <c r="A4473" s="13" t="s">
        <v>4594</v>
      </c>
    </row>
    <row r="4474" spans="1:1">
      <c r="A4474" s="13" t="s">
        <v>4595</v>
      </c>
    </row>
    <row r="4475" spans="1:1">
      <c r="A4475" s="13" t="s">
        <v>4596</v>
      </c>
    </row>
    <row r="4476" spans="1:1">
      <c r="A4476" s="13" t="s">
        <v>4597</v>
      </c>
    </row>
    <row r="4477" spans="1:1">
      <c r="A4477" s="13" t="s">
        <v>4598</v>
      </c>
    </row>
    <row r="4478" spans="1:1">
      <c r="A4478" s="13" t="s">
        <v>4599</v>
      </c>
    </row>
    <row r="4479" spans="1:1">
      <c r="A4479" s="13" t="s">
        <v>4600</v>
      </c>
    </row>
    <row r="4480" spans="1:1">
      <c r="A4480" s="13" t="s">
        <v>4601</v>
      </c>
    </row>
    <row r="4481" spans="1:1">
      <c r="A4481" s="13" t="s">
        <v>4602</v>
      </c>
    </row>
    <row r="4482" spans="1:1">
      <c r="A4482" s="13" t="s">
        <v>4603</v>
      </c>
    </row>
    <row r="4483" spans="1:1">
      <c r="A4483" s="13" t="s">
        <v>4604</v>
      </c>
    </row>
    <row r="4484" spans="1:1">
      <c r="A4484" s="13" t="s">
        <v>4605</v>
      </c>
    </row>
    <row r="4485" spans="1:1">
      <c r="A4485" s="13" t="s">
        <v>4606</v>
      </c>
    </row>
    <row r="4486" spans="1:1">
      <c r="A4486" s="13" t="s">
        <v>4607</v>
      </c>
    </row>
    <row r="4487" spans="1:1">
      <c r="A4487" s="13" t="s">
        <v>4608</v>
      </c>
    </row>
    <row r="4488" spans="1:1">
      <c r="A4488" s="13" t="s">
        <v>4609</v>
      </c>
    </row>
    <row r="4489" spans="1:1">
      <c r="A4489" s="13" t="s">
        <v>4610</v>
      </c>
    </row>
    <row r="4490" spans="1:1">
      <c r="A4490" s="13" t="s">
        <v>4611</v>
      </c>
    </row>
    <row r="4491" spans="1:1">
      <c r="A4491" s="13" t="s">
        <v>4612</v>
      </c>
    </row>
    <row r="4492" spans="1:1">
      <c r="A4492" s="13" t="s">
        <v>4613</v>
      </c>
    </row>
    <row r="4493" spans="1:1">
      <c r="A4493" s="13" t="s">
        <v>4614</v>
      </c>
    </row>
    <row r="4494" spans="1:1">
      <c r="A4494" s="13" t="s">
        <v>4615</v>
      </c>
    </row>
    <row r="4495" spans="1:1">
      <c r="A4495" s="13" t="s">
        <v>4616</v>
      </c>
    </row>
    <row r="4496" spans="1:1">
      <c r="A4496" s="13" t="s">
        <v>277</v>
      </c>
    </row>
    <row r="4497" spans="1:1">
      <c r="A4497" s="13" t="s">
        <v>4617</v>
      </c>
    </row>
    <row r="4498" spans="1:1">
      <c r="A4498" s="13" t="s">
        <v>4618</v>
      </c>
    </row>
    <row r="4499" spans="1:1">
      <c r="A4499" s="13" t="s">
        <v>4619</v>
      </c>
    </row>
    <row r="4500" spans="1:1">
      <c r="A4500" s="13" t="s">
        <v>4620</v>
      </c>
    </row>
    <row r="4501" spans="1:1">
      <c r="A4501" s="13" t="s">
        <v>4621</v>
      </c>
    </row>
    <row r="4502" spans="1:1">
      <c r="A4502" s="13" t="s">
        <v>4622</v>
      </c>
    </row>
    <row r="4503" spans="1:1">
      <c r="A4503" s="13" t="s">
        <v>4623</v>
      </c>
    </row>
    <row r="4504" spans="1:1">
      <c r="A4504" s="13" t="s">
        <v>4624</v>
      </c>
    </row>
    <row r="4505" spans="1:1">
      <c r="A4505" s="13" t="s">
        <v>4625</v>
      </c>
    </row>
    <row r="4506" spans="1:1">
      <c r="A4506" s="13" t="s">
        <v>4626</v>
      </c>
    </row>
    <row r="4507" spans="1:1">
      <c r="A4507" s="13" t="s">
        <v>4627</v>
      </c>
    </row>
    <row r="4508" spans="1:1">
      <c r="A4508" s="13" t="s">
        <v>4628</v>
      </c>
    </row>
    <row r="4509" spans="1:1">
      <c r="A4509" s="13" t="s">
        <v>4629</v>
      </c>
    </row>
    <row r="4510" spans="1:1">
      <c r="A4510" s="13" t="s">
        <v>4630</v>
      </c>
    </row>
    <row r="4511" spans="1:1">
      <c r="A4511" s="13" t="s">
        <v>4631</v>
      </c>
    </row>
    <row r="4512" spans="1:1">
      <c r="A4512" s="13" t="s">
        <v>4632</v>
      </c>
    </row>
    <row r="4513" spans="1:1">
      <c r="A4513" s="13" t="s">
        <v>4633</v>
      </c>
    </row>
    <row r="4514" spans="1:1">
      <c r="A4514" s="13" t="s">
        <v>4634</v>
      </c>
    </row>
    <row r="4515" spans="1:1">
      <c r="A4515" s="13" t="s">
        <v>4635</v>
      </c>
    </row>
    <row r="4516" spans="1:1">
      <c r="A4516" s="13" t="s">
        <v>4636</v>
      </c>
    </row>
    <row r="4517" spans="1:1">
      <c r="A4517" s="13" t="s">
        <v>4637</v>
      </c>
    </row>
    <row r="4518" spans="1:1">
      <c r="A4518" s="13" t="s">
        <v>4638</v>
      </c>
    </row>
    <row r="4519" spans="1:1">
      <c r="A4519" s="13" t="s">
        <v>4639</v>
      </c>
    </row>
    <row r="4520" spans="1:1">
      <c r="A4520" s="13" t="s">
        <v>4640</v>
      </c>
    </row>
    <row r="4521" spans="1:1">
      <c r="A4521" s="13" t="s">
        <v>4641</v>
      </c>
    </row>
    <row r="4522" spans="1:1">
      <c r="A4522" s="13" t="s">
        <v>4642</v>
      </c>
    </row>
    <row r="4523" spans="1:1">
      <c r="A4523" s="13" t="s">
        <v>4643</v>
      </c>
    </row>
    <row r="4524" spans="1:1">
      <c r="A4524" s="13" t="s">
        <v>4644</v>
      </c>
    </row>
    <row r="4525" spans="1:1">
      <c r="A4525" s="13" t="s">
        <v>4645</v>
      </c>
    </row>
    <row r="4526" spans="1:1">
      <c r="A4526" s="13" t="s">
        <v>4646</v>
      </c>
    </row>
    <row r="4527" spans="1:1">
      <c r="A4527" s="13" t="s">
        <v>4647</v>
      </c>
    </row>
    <row r="4528" spans="1:1">
      <c r="A4528" s="13" t="s">
        <v>4648</v>
      </c>
    </row>
    <row r="4529" spans="1:1">
      <c r="A4529" s="13" t="s">
        <v>4649</v>
      </c>
    </row>
    <row r="4530" spans="1:1">
      <c r="A4530" s="13" t="s">
        <v>4650</v>
      </c>
    </row>
    <row r="4531" spans="1:1">
      <c r="A4531" s="13" t="s">
        <v>4651</v>
      </c>
    </row>
    <row r="4532" spans="1:1">
      <c r="A4532" s="13" t="s">
        <v>4652</v>
      </c>
    </row>
    <row r="4533" spans="1:1">
      <c r="A4533" s="13" t="s">
        <v>4653</v>
      </c>
    </row>
    <row r="4534" spans="1:1">
      <c r="A4534" s="13" t="s">
        <v>4654</v>
      </c>
    </row>
    <row r="4535" spans="1:1">
      <c r="A4535" s="13" t="s">
        <v>4655</v>
      </c>
    </row>
    <row r="4536" spans="1:1">
      <c r="A4536" s="13" t="s">
        <v>4656</v>
      </c>
    </row>
    <row r="4537" spans="1:1">
      <c r="A4537" s="13" t="s">
        <v>4657</v>
      </c>
    </row>
    <row r="4538" spans="1:1">
      <c r="A4538" s="13" t="s">
        <v>4658</v>
      </c>
    </row>
    <row r="4539" spans="1:1">
      <c r="A4539" s="13" t="s">
        <v>4659</v>
      </c>
    </row>
    <row r="4540" spans="1:1">
      <c r="A4540" s="13" t="s">
        <v>4660</v>
      </c>
    </row>
    <row r="4541" spans="1:1">
      <c r="A4541" s="13" t="s">
        <v>4661</v>
      </c>
    </row>
    <row r="4542" spans="1:1">
      <c r="A4542" s="13" t="s">
        <v>4662</v>
      </c>
    </row>
    <row r="4543" spans="1:1">
      <c r="A4543" s="13" t="s">
        <v>4663</v>
      </c>
    </row>
    <row r="4544" spans="1:1">
      <c r="A4544" s="13" t="s">
        <v>4664</v>
      </c>
    </row>
    <row r="4545" spans="1:1">
      <c r="A4545" s="13" t="s">
        <v>4665</v>
      </c>
    </row>
    <row r="4546" spans="1:1">
      <c r="A4546" s="13" t="s">
        <v>4666</v>
      </c>
    </row>
    <row r="4547" spans="1:1">
      <c r="A4547" s="13" t="s">
        <v>4667</v>
      </c>
    </row>
    <row r="4548" spans="1:1">
      <c r="A4548" s="13" t="s">
        <v>4668</v>
      </c>
    </row>
    <row r="4549" spans="1:1">
      <c r="A4549" s="13" t="s">
        <v>4669</v>
      </c>
    </row>
    <row r="4550" spans="1:1">
      <c r="A4550" s="13" t="s">
        <v>4670</v>
      </c>
    </row>
    <row r="4551" spans="1:1">
      <c r="A4551" s="13" t="s">
        <v>4671</v>
      </c>
    </row>
    <row r="4552" spans="1:1">
      <c r="A4552" s="13" t="s">
        <v>4672</v>
      </c>
    </row>
    <row r="4553" spans="1:1">
      <c r="A4553" s="13" t="s">
        <v>4673</v>
      </c>
    </row>
    <row r="4554" spans="1:1">
      <c r="A4554" s="13" t="s">
        <v>4674</v>
      </c>
    </row>
    <row r="4555" spans="1:1">
      <c r="A4555" s="13" t="s">
        <v>4675</v>
      </c>
    </row>
    <row r="4556" spans="1:1">
      <c r="A4556" s="13" t="s">
        <v>4676</v>
      </c>
    </row>
    <row r="4557" spans="1:1">
      <c r="A4557" s="13" t="s">
        <v>4677</v>
      </c>
    </row>
    <row r="4558" spans="1:1">
      <c r="A4558" s="13" t="s">
        <v>4678</v>
      </c>
    </row>
    <row r="4559" spans="1:1">
      <c r="A4559" s="13" t="s">
        <v>4679</v>
      </c>
    </row>
    <row r="4560" spans="1:1">
      <c r="A4560" s="13" t="s">
        <v>4680</v>
      </c>
    </row>
    <row r="4561" spans="1:1">
      <c r="A4561" s="13" t="s">
        <v>4681</v>
      </c>
    </row>
    <row r="4562" spans="1:1">
      <c r="A4562" s="13" t="s">
        <v>4682</v>
      </c>
    </row>
    <row r="4563" spans="1:1">
      <c r="A4563" s="13" t="s">
        <v>4683</v>
      </c>
    </row>
    <row r="4564" spans="1:1">
      <c r="A4564" s="13" t="s">
        <v>4684</v>
      </c>
    </row>
    <row r="4565" spans="1:1">
      <c r="A4565" s="13" t="s">
        <v>4685</v>
      </c>
    </row>
    <row r="4566" spans="1:1">
      <c r="A4566" s="13" t="s">
        <v>4686</v>
      </c>
    </row>
    <row r="4567" spans="1:1">
      <c r="A4567" s="13" t="s">
        <v>4687</v>
      </c>
    </row>
    <row r="4568" spans="1:1">
      <c r="A4568" s="13" t="s">
        <v>4688</v>
      </c>
    </row>
    <row r="4569" spans="1:1">
      <c r="A4569" s="13" t="s">
        <v>4689</v>
      </c>
    </row>
    <row r="4570" spans="1:1">
      <c r="A4570" s="13" t="s">
        <v>4690</v>
      </c>
    </row>
    <row r="4571" spans="1:1">
      <c r="A4571" s="13" t="s">
        <v>4691</v>
      </c>
    </row>
    <row r="4572" spans="1:1">
      <c r="A4572" s="13" t="s">
        <v>4692</v>
      </c>
    </row>
    <row r="4573" spans="1:1">
      <c r="A4573" s="13" t="s">
        <v>4693</v>
      </c>
    </row>
    <row r="4574" spans="1:1">
      <c r="A4574" s="13" t="s">
        <v>4694</v>
      </c>
    </row>
    <row r="4575" spans="1:1">
      <c r="A4575" s="13" t="s">
        <v>4695</v>
      </c>
    </row>
    <row r="4576" spans="1:1">
      <c r="A4576" s="13" t="s">
        <v>4696</v>
      </c>
    </row>
    <row r="4577" spans="1:1">
      <c r="A4577" s="13" t="s">
        <v>4697</v>
      </c>
    </row>
    <row r="4578" spans="1:1">
      <c r="A4578" s="13" t="s">
        <v>4698</v>
      </c>
    </row>
    <row r="4579" spans="1:1">
      <c r="A4579" s="13" t="s">
        <v>4699</v>
      </c>
    </row>
    <row r="4580" spans="1:1">
      <c r="A4580" s="13" t="s">
        <v>4700</v>
      </c>
    </row>
    <row r="4581" spans="1:1">
      <c r="A4581" s="13" t="s">
        <v>4701</v>
      </c>
    </row>
    <row r="4582" spans="1:1">
      <c r="A4582" s="13" t="s">
        <v>4702</v>
      </c>
    </row>
    <row r="4583" spans="1:1">
      <c r="A4583" s="13" t="s">
        <v>4703</v>
      </c>
    </row>
    <row r="4584" spans="1:1">
      <c r="A4584" s="13" t="s">
        <v>4704</v>
      </c>
    </row>
    <row r="4585" spans="1:1">
      <c r="A4585" s="13" t="s">
        <v>4705</v>
      </c>
    </row>
    <row r="4586" spans="1:1">
      <c r="A4586" s="13" t="s">
        <v>4706</v>
      </c>
    </row>
    <row r="4587" spans="1:1">
      <c r="A4587" s="13" t="s">
        <v>4707</v>
      </c>
    </row>
    <row r="4588" spans="1:1">
      <c r="A4588" s="13" t="s">
        <v>4708</v>
      </c>
    </row>
    <row r="4589" spans="1:1">
      <c r="A4589" s="13" t="s">
        <v>4709</v>
      </c>
    </row>
    <row r="4590" spans="1:1">
      <c r="A4590" s="13" t="s">
        <v>4710</v>
      </c>
    </row>
    <row r="4591" spans="1:1">
      <c r="A4591" s="13" t="s">
        <v>37</v>
      </c>
    </row>
    <row r="4592" spans="1:1">
      <c r="A4592" s="13" t="s">
        <v>4711</v>
      </c>
    </row>
    <row r="4593" spans="1:1">
      <c r="A4593" s="13" t="s">
        <v>4712</v>
      </c>
    </row>
    <row r="4594" spans="1:1">
      <c r="A4594" s="13" t="s">
        <v>4713</v>
      </c>
    </row>
    <row r="4595" spans="1:1">
      <c r="A4595" s="13" t="s">
        <v>4714</v>
      </c>
    </row>
    <row r="4596" spans="1:1">
      <c r="A4596" s="13" t="s">
        <v>4715</v>
      </c>
    </row>
    <row r="4597" spans="1:1">
      <c r="A4597" s="13" t="s">
        <v>4716</v>
      </c>
    </row>
    <row r="4598" spans="1:1">
      <c r="A4598" s="13" t="s">
        <v>4717</v>
      </c>
    </row>
    <row r="4599" spans="1:1">
      <c r="A4599" s="13" t="s">
        <v>4718</v>
      </c>
    </row>
    <row r="4600" spans="1:1">
      <c r="A4600" s="13" t="s">
        <v>4719</v>
      </c>
    </row>
    <row r="4601" spans="1:1">
      <c r="A4601" s="13" t="s">
        <v>4720</v>
      </c>
    </row>
    <row r="4602" spans="1:1">
      <c r="A4602" s="13" t="s">
        <v>4721</v>
      </c>
    </row>
    <row r="4603" spans="1:1">
      <c r="A4603" s="13" t="s">
        <v>4722</v>
      </c>
    </row>
    <row r="4604" spans="1:1">
      <c r="A4604" s="13" t="s">
        <v>4723</v>
      </c>
    </row>
    <row r="4605" spans="1:1">
      <c r="A4605" s="13" t="s">
        <v>4724</v>
      </c>
    </row>
    <row r="4606" spans="1:1">
      <c r="A4606" s="13" t="s">
        <v>4725</v>
      </c>
    </row>
    <row r="4607" spans="1:1">
      <c r="A4607" s="13" t="s">
        <v>4726</v>
      </c>
    </row>
    <row r="4608" spans="1:1">
      <c r="A4608" s="13" t="s">
        <v>4727</v>
      </c>
    </row>
    <row r="4609" spans="1:1">
      <c r="A4609" s="13" t="s">
        <v>4728</v>
      </c>
    </row>
    <row r="4610" spans="1:1">
      <c r="A4610" s="13" t="s">
        <v>4729</v>
      </c>
    </row>
    <row r="4611" spans="1:1">
      <c r="A4611" s="13" t="s">
        <v>4730</v>
      </c>
    </row>
    <row r="4612" spans="1:1">
      <c r="A4612" s="13" t="s">
        <v>4731</v>
      </c>
    </row>
    <row r="4613" spans="1:1">
      <c r="A4613" s="13" t="s">
        <v>4732</v>
      </c>
    </row>
    <row r="4614" spans="1:1">
      <c r="A4614" s="13" t="s">
        <v>4733</v>
      </c>
    </row>
    <row r="4615" spans="1:1">
      <c r="A4615" s="13" t="s">
        <v>4734</v>
      </c>
    </row>
    <row r="4616" spans="1:1">
      <c r="A4616" s="13" t="s">
        <v>4735</v>
      </c>
    </row>
    <row r="4617" spans="1:1">
      <c r="A4617" s="13" t="s">
        <v>4736</v>
      </c>
    </row>
    <row r="4618" spans="1:1">
      <c r="A4618" s="13" t="s">
        <v>4737</v>
      </c>
    </row>
    <row r="4619" spans="1:1">
      <c r="A4619" s="13" t="s">
        <v>4738</v>
      </c>
    </row>
    <row r="4620" spans="1:1">
      <c r="A4620" s="13" t="s">
        <v>4739</v>
      </c>
    </row>
    <row r="4621" spans="1:1">
      <c r="A4621" s="13" t="s">
        <v>4740</v>
      </c>
    </row>
    <row r="4622" spans="1:1">
      <c r="A4622" s="13" t="s">
        <v>4741</v>
      </c>
    </row>
    <row r="4623" spans="1:1">
      <c r="A4623" s="13" t="s">
        <v>4742</v>
      </c>
    </row>
    <row r="4624" spans="1:1">
      <c r="A4624" s="13" t="s">
        <v>4743</v>
      </c>
    </row>
    <row r="4625" spans="1:1">
      <c r="A4625" s="13" t="s">
        <v>4744</v>
      </c>
    </row>
    <row r="4626" spans="1:1">
      <c r="A4626" s="13" t="s">
        <v>4745</v>
      </c>
    </row>
    <row r="4627" spans="1:1">
      <c r="A4627" s="13" t="s">
        <v>4746</v>
      </c>
    </row>
    <row r="4628" spans="1:1">
      <c r="A4628" s="13" t="s">
        <v>4747</v>
      </c>
    </row>
    <row r="4629" spans="1:1">
      <c r="A4629" s="13" t="s">
        <v>4748</v>
      </c>
    </row>
    <row r="4630" spans="1:1">
      <c r="A4630" s="13" t="s">
        <v>4749</v>
      </c>
    </row>
    <row r="4631" spans="1:1">
      <c r="A4631" s="13" t="s">
        <v>4750</v>
      </c>
    </row>
    <row r="4632" spans="1:1">
      <c r="A4632" s="13" t="s">
        <v>4751</v>
      </c>
    </row>
    <row r="4633" spans="1:1">
      <c r="A4633" s="13" t="s">
        <v>4752</v>
      </c>
    </row>
    <row r="4634" spans="1:1">
      <c r="A4634" s="13" t="s">
        <v>4753</v>
      </c>
    </row>
    <row r="4635" spans="1:1">
      <c r="A4635" s="13" t="s">
        <v>4754</v>
      </c>
    </row>
    <row r="4636" spans="1:1">
      <c r="A4636" s="13" t="s">
        <v>4755</v>
      </c>
    </row>
    <row r="4637" spans="1:1">
      <c r="A4637" s="13" t="s">
        <v>4756</v>
      </c>
    </row>
    <row r="4638" spans="1:1">
      <c r="A4638" s="13" t="s">
        <v>4757</v>
      </c>
    </row>
    <row r="4639" spans="1:1">
      <c r="A4639" s="13" t="s">
        <v>4758</v>
      </c>
    </row>
    <row r="4640" spans="1:1">
      <c r="A4640" s="13" t="s">
        <v>4759</v>
      </c>
    </row>
    <row r="4641" spans="1:1">
      <c r="A4641" s="13" t="s">
        <v>4760</v>
      </c>
    </row>
    <row r="4642" spans="1:1">
      <c r="A4642" s="13" t="s">
        <v>4761</v>
      </c>
    </row>
    <row r="4643" spans="1:1">
      <c r="A4643" s="13" t="s">
        <v>4762</v>
      </c>
    </row>
    <row r="4644" spans="1:1">
      <c r="A4644" s="13" t="s">
        <v>4763</v>
      </c>
    </row>
    <row r="4645" spans="1:1">
      <c r="A4645" s="13" t="s">
        <v>4764</v>
      </c>
    </row>
    <row r="4646" spans="1:1">
      <c r="A4646" s="13" t="s">
        <v>4765</v>
      </c>
    </row>
    <row r="4647" spans="1:1">
      <c r="A4647" s="13" t="s">
        <v>4766</v>
      </c>
    </row>
    <row r="4648" spans="1:1">
      <c r="A4648" s="13" t="s">
        <v>4767</v>
      </c>
    </row>
    <row r="4649" spans="1:1">
      <c r="A4649" s="13" t="s">
        <v>4768</v>
      </c>
    </row>
    <row r="4650" spans="1:1">
      <c r="A4650" s="13" t="s">
        <v>4769</v>
      </c>
    </row>
    <row r="4651" spans="1:1">
      <c r="A4651" s="13" t="s">
        <v>4770</v>
      </c>
    </row>
    <row r="4652" spans="1:1">
      <c r="A4652" s="13" t="s">
        <v>4771</v>
      </c>
    </row>
    <row r="4653" spans="1:1">
      <c r="A4653" s="13" t="s">
        <v>4772</v>
      </c>
    </row>
    <row r="4654" spans="1:1">
      <c r="A4654" s="13" t="s">
        <v>4773</v>
      </c>
    </row>
    <row r="4655" spans="1:1">
      <c r="A4655" s="13" t="s">
        <v>4774</v>
      </c>
    </row>
    <row r="4656" spans="1:1">
      <c r="A4656" s="13" t="s">
        <v>4775</v>
      </c>
    </row>
    <row r="4657" spans="1:1">
      <c r="A4657" s="13" t="s">
        <v>4776</v>
      </c>
    </row>
    <row r="4658" spans="1:1">
      <c r="A4658" s="13" t="s">
        <v>4777</v>
      </c>
    </row>
    <row r="4659" spans="1:1">
      <c r="A4659" s="13" t="s">
        <v>4778</v>
      </c>
    </row>
    <row r="4660" spans="1:1">
      <c r="A4660" s="13" t="s">
        <v>4779</v>
      </c>
    </row>
    <row r="4661" spans="1:1">
      <c r="A4661" s="13" t="s">
        <v>4780</v>
      </c>
    </row>
    <row r="4662" spans="1:1">
      <c r="A4662" s="13" t="s">
        <v>4781</v>
      </c>
    </row>
    <row r="4663" spans="1:1">
      <c r="A4663" s="13" t="s">
        <v>4782</v>
      </c>
    </row>
    <row r="4664" spans="1:1">
      <c r="A4664" s="13" t="s">
        <v>4783</v>
      </c>
    </row>
    <row r="4665" spans="1:1">
      <c r="A4665" s="13" t="s">
        <v>4784</v>
      </c>
    </row>
    <row r="4666" spans="1:1">
      <c r="A4666" s="13" t="s">
        <v>4785</v>
      </c>
    </row>
    <row r="4667" spans="1:1">
      <c r="A4667" s="13" t="s">
        <v>4786</v>
      </c>
    </row>
    <row r="4668" spans="1:1">
      <c r="A4668" s="13" t="s">
        <v>4787</v>
      </c>
    </row>
    <row r="4669" spans="1:1">
      <c r="A4669" s="13" t="s">
        <v>4788</v>
      </c>
    </row>
    <row r="4670" spans="1:1">
      <c r="A4670" s="13" t="s">
        <v>4789</v>
      </c>
    </row>
    <row r="4671" spans="1:1">
      <c r="A4671" s="13" t="s">
        <v>4790</v>
      </c>
    </row>
    <row r="4672" spans="1:1">
      <c r="A4672" s="13" t="s">
        <v>4791</v>
      </c>
    </row>
    <row r="4673" spans="1:1">
      <c r="A4673" s="13" t="s">
        <v>4792</v>
      </c>
    </row>
    <row r="4674" spans="1:1">
      <c r="A4674" s="13" t="s">
        <v>4793</v>
      </c>
    </row>
    <row r="4675" spans="1:1">
      <c r="A4675" s="13" t="s">
        <v>4794</v>
      </c>
    </row>
    <row r="4676" spans="1:1">
      <c r="A4676" s="13" t="s">
        <v>4795</v>
      </c>
    </row>
    <row r="4677" spans="1:1">
      <c r="A4677" s="13" t="s">
        <v>4796</v>
      </c>
    </row>
    <row r="4678" spans="1:1">
      <c r="A4678" s="13" t="s">
        <v>4797</v>
      </c>
    </row>
    <row r="4679" spans="1:1">
      <c r="A4679" s="13" t="s">
        <v>4798</v>
      </c>
    </row>
    <row r="4680" spans="1:1">
      <c r="A4680" s="13" t="s">
        <v>4799</v>
      </c>
    </row>
    <row r="4681" spans="1:1">
      <c r="A4681" s="13" t="s">
        <v>4800</v>
      </c>
    </row>
    <row r="4682" spans="1:1">
      <c r="A4682" s="13" t="s">
        <v>4801</v>
      </c>
    </row>
    <row r="4683" spans="1:1">
      <c r="A4683" s="13" t="s">
        <v>4802</v>
      </c>
    </row>
    <row r="4684" spans="1:1">
      <c r="A4684" s="13" t="s">
        <v>4803</v>
      </c>
    </row>
    <row r="4685" spans="1:1">
      <c r="A4685" s="13" t="s">
        <v>4804</v>
      </c>
    </row>
    <row r="4686" spans="1:1">
      <c r="A4686" s="13" t="s">
        <v>4805</v>
      </c>
    </row>
    <row r="4687" spans="1:1">
      <c r="A4687" s="13" t="s">
        <v>4806</v>
      </c>
    </row>
    <row r="4688" spans="1:1">
      <c r="A4688" s="13" t="s">
        <v>4807</v>
      </c>
    </row>
    <row r="4689" spans="1:1">
      <c r="A4689" s="13" t="s">
        <v>4808</v>
      </c>
    </row>
    <row r="4690" spans="1:1">
      <c r="A4690" s="13" t="s">
        <v>4809</v>
      </c>
    </row>
    <row r="4691" spans="1:1">
      <c r="A4691" s="13" t="s">
        <v>4810</v>
      </c>
    </row>
    <row r="4692" spans="1:1">
      <c r="A4692" s="13" t="s">
        <v>4811</v>
      </c>
    </row>
    <row r="4693" spans="1:1">
      <c r="A4693" s="13" t="s">
        <v>4812</v>
      </c>
    </row>
    <row r="4694" spans="1:1">
      <c r="A4694" s="13" t="s">
        <v>4813</v>
      </c>
    </row>
    <row r="4695" spans="1:1">
      <c r="A4695" s="13" t="s">
        <v>4814</v>
      </c>
    </row>
    <row r="4696" spans="1:1">
      <c r="A4696" s="13" t="s">
        <v>4815</v>
      </c>
    </row>
    <row r="4697" spans="1:1">
      <c r="A4697" s="13" t="s">
        <v>4816</v>
      </c>
    </row>
    <row r="4698" spans="1:1">
      <c r="A4698" s="13" t="s">
        <v>4817</v>
      </c>
    </row>
    <row r="4699" spans="1:1">
      <c r="A4699" s="13" t="s">
        <v>4818</v>
      </c>
    </row>
    <row r="4700" spans="1:1">
      <c r="A4700" s="13" t="s">
        <v>4819</v>
      </c>
    </row>
    <row r="4701" spans="1:1">
      <c r="A4701" s="13" t="s">
        <v>4820</v>
      </c>
    </row>
    <row r="4702" spans="1:1">
      <c r="A4702" s="13" t="s">
        <v>4821</v>
      </c>
    </row>
    <row r="4703" spans="1:1">
      <c r="A4703" s="13" t="s">
        <v>4822</v>
      </c>
    </row>
    <row r="4704" spans="1:1">
      <c r="A4704" s="13" t="s">
        <v>4823</v>
      </c>
    </row>
    <row r="4705" spans="1:1">
      <c r="A4705" s="13" t="s">
        <v>4824</v>
      </c>
    </row>
    <row r="4706" spans="1:1">
      <c r="A4706" s="13" t="s">
        <v>4825</v>
      </c>
    </row>
    <row r="4707" spans="1:1">
      <c r="A4707" s="13" t="s">
        <v>4826</v>
      </c>
    </row>
    <row r="4708" spans="1:1">
      <c r="A4708" s="13" t="s">
        <v>4827</v>
      </c>
    </row>
    <row r="4709" spans="1:1">
      <c r="A4709" s="13" t="s">
        <v>4828</v>
      </c>
    </row>
    <row r="4710" spans="1:1">
      <c r="A4710" s="13" t="s">
        <v>4829</v>
      </c>
    </row>
    <row r="4711" spans="1:1">
      <c r="A4711" s="13" t="s">
        <v>4830</v>
      </c>
    </row>
    <row r="4712" spans="1:1">
      <c r="A4712" s="13" t="s">
        <v>4831</v>
      </c>
    </row>
    <row r="4713" spans="1:1">
      <c r="A4713" s="13" t="s">
        <v>4832</v>
      </c>
    </row>
    <row r="4714" spans="1:1">
      <c r="A4714" s="13" t="s">
        <v>4833</v>
      </c>
    </row>
    <row r="4715" spans="1:1">
      <c r="A4715" s="13" t="s">
        <v>4834</v>
      </c>
    </row>
    <row r="4716" spans="1:1">
      <c r="A4716" s="13" t="s">
        <v>4835</v>
      </c>
    </row>
    <row r="4717" spans="1:1">
      <c r="A4717" s="13" t="s">
        <v>4836</v>
      </c>
    </row>
    <row r="4718" spans="1:1">
      <c r="A4718" s="13" t="s">
        <v>4837</v>
      </c>
    </row>
    <row r="4719" spans="1:1">
      <c r="A4719" s="13" t="s">
        <v>4838</v>
      </c>
    </row>
    <row r="4720" spans="1:1">
      <c r="A4720" s="13" t="s">
        <v>4839</v>
      </c>
    </row>
    <row r="4721" spans="1:1">
      <c r="A4721" s="13" t="s">
        <v>4840</v>
      </c>
    </row>
    <row r="4722" spans="1:1">
      <c r="A4722" s="13" t="s">
        <v>4841</v>
      </c>
    </row>
    <row r="4723" spans="1:1">
      <c r="A4723" s="13" t="s">
        <v>4842</v>
      </c>
    </row>
    <row r="4724" spans="1:1">
      <c r="A4724" s="13" t="s">
        <v>4843</v>
      </c>
    </row>
    <row r="4725" spans="1:1">
      <c r="A4725" s="13" t="s">
        <v>4844</v>
      </c>
    </row>
    <row r="4726" spans="1:1">
      <c r="A4726" s="13" t="s">
        <v>4845</v>
      </c>
    </row>
    <row r="4727" spans="1:1">
      <c r="A4727" s="13" t="s">
        <v>4846</v>
      </c>
    </row>
    <row r="4728" spans="1:1">
      <c r="A4728" s="13" t="s">
        <v>243</v>
      </c>
    </row>
    <row r="4729" spans="1:1">
      <c r="A4729" s="13" t="s">
        <v>4847</v>
      </c>
    </row>
    <row r="4730" spans="1:1">
      <c r="A4730" s="13" t="s">
        <v>4848</v>
      </c>
    </row>
    <row r="4731" spans="1:1">
      <c r="A4731" s="13" t="s">
        <v>4849</v>
      </c>
    </row>
    <row r="4732" spans="1:1">
      <c r="A4732" s="13" t="s">
        <v>4850</v>
      </c>
    </row>
    <row r="4733" spans="1:1">
      <c r="A4733" s="13" t="s">
        <v>4851</v>
      </c>
    </row>
    <row r="4734" spans="1:1">
      <c r="A4734" s="13" t="s">
        <v>4852</v>
      </c>
    </row>
    <row r="4735" spans="1:1">
      <c r="A4735" s="13" t="s">
        <v>4853</v>
      </c>
    </row>
    <row r="4736" spans="1:1">
      <c r="A4736" s="13" t="s">
        <v>4854</v>
      </c>
    </row>
    <row r="4737" spans="1:1">
      <c r="A4737" s="13" t="s">
        <v>4855</v>
      </c>
    </row>
    <row r="4738" spans="1:1">
      <c r="A4738" s="13" t="s">
        <v>4856</v>
      </c>
    </row>
    <row r="4739" spans="1:1">
      <c r="A4739" s="13" t="s">
        <v>4857</v>
      </c>
    </row>
    <row r="4740" spans="1:1">
      <c r="A4740" s="13" t="s">
        <v>4858</v>
      </c>
    </row>
    <row r="4741" spans="1:1">
      <c r="A4741" s="13" t="s">
        <v>4859</v>
      </c>
    </row>
    <row r="4742" spans="1:1">
      <c r="A4742" s="13" t="s">
        <v>4860</v>
      </c>
    </row>
    <row r="4743" spans="1:1">
      <c r="A4743" s="13" t="s">
        <v>4861</v>
      </c>
    </row>
    <row r="4744" spans="1:1">
      <c r="A4744" s="13" t="s">
        <v>4862</v>
      </c>
    </row>
    <row r="4745" spans="1:1">
      <c r="A4745" s="13" t="s">
        <v>4863</v>
      </c>
    </row>
    <row r="4746" spans="1:1">
      <c r="A4746" s="13" t="s">
        <v>4864</v>
      </c>
    </row>
    <row r="4747" spans="1:1">
      <c r="A4747" s="13" t="s">
        <v>4865</v>
      </c>
    </row>
    <row r="4748" spans="1:1">
      <c r="A4748" s="13" t="s">
        <v>4866</v>
      </c>
    </row>
    <row r="4749" spans="1:1">
      <c r="A4749" s="13" t="s">
        <v>4867</v>
      </c>
    </row>
    <row r="4750" spans="1:1">
      <c r="A4750" s="13" t="s">
        <v>4868</v>
      </c>
    </row>
    <row r="4751" spans="1:1">
      <c r="A4751" s="13" t="s">
        <v>4869</v>
      </c>
    </row>
    <row r="4752" spans="1:1">
      <c r="A4752" s="13" t="s">
        <v>4870</v>
      </c>
    </row>
    <row r="4753" spans="1:1">
      <c r="A4753" s="13" t="s">
        <v>4871</v>
      </c>
    </row>
    <row r="4754" spans="1:1">
      <c r="A4754" s="13" t="s">
        <v>4872</v>
      </c>
    </row>
    <row r="4755" spans="1:1">
      <c r="A4755" s="13" t="s">
        <v>4873</v>
      </c>
    </row>
    <row r="4756" spans="1:1">
      <c r="A4756" s="13" t="s">
        <v>4874</v>
      </c>
    </row>
    <row r="4757" spans="1:1">
      <c r="A4757" s="13" t="s">
        <v>4875</v>
      </c>
    </row>
    <row r="4758" spans="1:1">
      <c r="A4758" s="13" t="s">
        <v>4876</v>
      </c>
    </row>
    <row r="4759" spans="1:1">
      <c r="A4759" s="13" t="s">
        <v>4877</v>
      </c>
    </row>
    <row r="4760" spans="1:1">
      <c r="A4760" s="13" t="s">
        <v>4878</v>
      </c>
    </row>
    <row r="4761" spans="1:1">
      <c r="A4761" s="13" t="s">
        <v>4879</v>
      </c>
    </row>
    <row r="4762" spans="1:1">
      <c r="A4762" s="13" t="s">
        <v>4880</v>
      </c>
    </row>
    <row r="4763" spans="1:1">
      <c r="A4763" s="13" t="s">
        <v>4881</v>
      </c>
    </row>
    <row r="4764" spans="1:1">
      <c r="A4764" s="13" t="s">
        <v>4882</v>
      </c>
    </row>
    <row r="4765" spans="1:1">
      <c r="A4765" s="13" t="s">
        <v>4883</v>
      </c>
    </row>
    <row r="4766" spans="1:1">
      <c r="A4766" s="13" t="s">
        <v>4884</v>
      </c>
    </row>
    <row r="4767" spans="1:1">
      <c r="A4767" s="13" t="s">
        <v>4885</v>
      </c>
    </row>
    <row r="4768" spans="1:1">
      <c r="A4768" s="13" t="s">
        <v>4886</v>
      </c>
    </row>
    <row r="4769" spans="1:1">
      <c r="A4769" s="13" t="s">
        <v>4887</v>
      </c>
    </row>
    <row r="4770" spans="1:1">
      <c r="A4770" s="13" t="s">
        <v>4888</v>
      </c>
    </row>
    <row r="4771" spans="1:1">
      <c r="A4771" s="13" t="s">
        <v>4889</v>
      </c>
    </row>
    <row r="4772" spans="1:1">
      <c r="A4772" s="13" t="s">
        <v>4890</v>
      </c>
    </row>
    <row r="4773" spans="1:1">
      <c r="A4773" s="13" t="s">
        <v>4891</v>
      </c>
    </row>
    <row r="4774" spans="1:1">
      <c r="A4774" s="13" t="s">
        <v>4892</v>
      </c>
    </row>
    <row r="4775" spans="1:1">
      <c r="A4775" s="13" t="s">
        <v>4893</v>
      </c>
    </row>
    <row r="4776" spans="1:1">
      <c r="A4776" s="13" t="s">
        <v>4894</v>
      </c>
    </row>
    <row r="4777" spans="1:1">
      <c r="A4777" s="13" t="s">
        <v>4895</v>
      </c>
    </row>
    <row r="4778" spans="1:1">
      <c r="A4778" s="13" t="s">
        <v>4896</v>
      </c>
    </row>
    <row r="4779" spans="1:1">
      <c r="A4779" s="13" t="s">
        <v>4897</v>
      </c>
    </row>
    <row r="4780" spans="1:1">
      <c r="A4780" s="13" t="s">
        <v>4898</v>
      </c>
    </row>
    <row r="4781" spans="1:1">
      <c r="A4781" s="13" t="s">
        <v>4899</v>
      </c>
    </row>
    <row r="4782" spans="1:1">
      <c r="A4782" s="13" t="s">
        <v>4900</v>
      </c>
    </row>
    <row r="4783" spans="1:1">
      <c r="A4783" s="13" t="s">
        <v>4901</v>
      </c>
    </row>
    <row r="4784" spans="1:1">
      <c r="A4784" s="13" t="s">
        <v>4902</v>
      </c>
    </row>
    <row r="4785" spans="1:1">
      <c r="A4785" s="13" t="s">
        <v>4903</v>
      </c>
    </row>
    <row r="4786" spans="1:1">
      <c r="A4786" s="13" t="s">
        <v>4904</v>
      </c>
    </row>
    <row r="4787" spans="1:1">
      <c r="A4787" s="13" t="s">
        <v>4905</v>
      </c>
    </row>
    <row r="4788" spans="1:1">
      <c r="A4788" s="13" t="s">
        <v>4906</v>
      </c>
    </row>
    <row r="4789" spans="1:1">
      <c r="A4789" s="13" t="s">
        <v>4907</v>
      </c>
    </row>
    <row r="4790" spans="1:1">
      <c r="A4790" s="13" t="s">
        <v>4908</v>
      </c>
    </row>
    <row r="4791" spans="1:1">
      <c r="A4791" s="13" t="s">
        <v>4909</v>
      </c>
    </row>
    <row r="4792" spans="1:1">
      <c r="A4792" s="13" t="s">
        <v>4910</v>
      </c>
    </row>
    <row r="4793" spans="1:1">
      <c r="A4793" s="13" t="s">
        <v>304</v>
      </c>
    </row>
    <row r="4794" spans="1:1">
      <c r="A4794" s="13" t="s">
        <v>4911</v>
      </c>
    </row>
    <row r="4795" spans="1:1">
      <c r="A4795" s="13" t="s">
        <v>4912</v>
      </c>
    </row>
    <row r="4796" spans="1:1">
      <c r="A4796" s="13" t="s">
        <v>4913</v>
      </c>
    </row>
    <row r="4797" spans="1:1">
      <c r="A4797" s="13" t="s">
        <v>4914</v>
      </c>
    </row>
    <row r="4798" spans="1:1">
      <c r="A4798" s="13" t="s">
        <v>4915</v>
      </c>
    </row>
    <row r="4799" spans="1:1">
      <c r="A4799" s="13" t="s">
        <v>4916</v>
      </c>
    </row>
    <row r="4800" spans="1:1">
      <c r="A4800" s="13" t="s">
        <v>4917</v>
      </c>
    </row>
    <row r="4801" spans="1:1">
      <c r="A4801" s="13" t="s">
        <v>4918</v>
      </c>
    </row>
    <row r="4802" spans="1:1">
      <c r="A4802" s="13" t="s">
        <v>4919</v>
      </c>
    </row>
    <row r="4803" spans="1:1">
      <c r="A4803" s="13" t="s">
        <v>4920</v>
      </c>
    </row>
    <row r="4804" spans="1:1">
      <c r="A4804" s="13" t="s">
        <v>4921</v>
      </c>
    </row>
    <row r="4805" spans="1:1">
      <c r="A4805" s="13" t="s">
        <v>4922</v>
      </c>
    </row>
    <row r="4806" spans="1:1">
      <c r="A4806" s="13" t="s">
        <v>4923</v>
      </c>
    </row>
    <row r="4807" spans="1:1">
      <c r="A4807" s="13" t="s">
        <v>4924</v>
      </c>
    </row>
    <row r="4808" spans="1:1">
      <c r="A4808" s="13" t="s">
        <v>4925</v>
      </c>
    </row>
    <row r="4809" spans="1:1">
      <c r="A4809" s="13" t="s">
        <v>4926</v>
      </c>
    </row>
    <row r="4810" spans="1:1">
      <c r="A4810" s="13" t="s">
        <v>4927</v>
      </c>
    </row>
    <row r="4811" spans="1:1">
      <c r="A4811" s="13" t="s">
        <v>4928</v>
      </c>
    </row>
    <row r="4812" spans="1:1">
      <c r="A4812" s="13" t="s">
        <v>4929</v>
      </c>
    </row>
    <row r="4813" spans="1:1">
      <c r="A4813" s="13" t="s">
        <v>4930</v>
      </c>
    </row>
    <row r="4814" spans="1:1">
      <c r="A4814" s="13" t="s">
        <v>4931</v>
      </c>
    </row>
    <row r="4815" spans="1:1">
      <c r="A4815" s="13" t="s">
        <v>4932</v>
      </c>
    </row>
    <row r="4816" spans="1:1">
      <c r="A4816" s="13" t="s">
        <v>4933</v>
      </c>
    </row>
    <row r="4817" spans="1:1">
      <c r="A4817" s="13" t="s">
        <v>4934</v>
      </c>
    </row>
    <row r="4818" spans="1:1">
      <c r="A4818" s="13" t="s">
        <v>4935</v>
      </c>
    </row>
    <row r="4819" spans="1:1">
      <c r="A4819" s="13" t="s">
        <v>4936</v>
      </c>
    </row>
    <row r="4820" spans="1:1">
      <c r="A4820" s="13" t="s">
        <v>4937</v>
      </c>
    </row>
    <row r="4821" spans="1:1">
      <c r="A4821" s="13" t="s">
        <v>4938</v>
      </c>
    </row>
    <row r="4822" spans="1:1">
      <c r="A4822" s="13" t="s">
        <v>4939</v>
      </c>
    </row>
    <row r="4823" spans="1:1">
      <c r="A4823" s="13" t="s">
        <v>4940</v>
      </c>
    </row>
    <row r="4824" spans="1:1">
      <c r="A4824" s="13" t="s">
        <v>4941</v>
      </c>
    </row>
    <row r="4825" spans="1:1">
      <c r="A4825" s="13" t="s">
        <v>4942</v>
      </c>
    </row>
    <row r="4826" spans="1:1">
      <c r="A4826" s="13" t="s">
        <v>4943</v>
      </c>
    </row>
    <row r="4827" spans="1:1">
      <c r="A4827" s="13" t="s">
        <v>4944</v>
      </c>
    </row>
    <row r="4828" spans="1:1">
      <c r="A4828" s="13" t="s">
        <v>4945</v>
      </c>
    </row>
    <row r="4829" spans="1:1">
      <c r="A4829" s="13" t="s">
        <v>4946</v>
      </c>
    </row>
    <row r="4830" spans="1:1">
      <c r="A4830" s="13" t="s">
        <v>4947</v>
      </c>
    </row>
    <row r="4831" spans="1:1">
      <c r="A4831" s="13" t="s">
        <v>4948</v>
      </c>
    </row>
    <row r="4832" spans="1:1">
      <c r="A4832" s="13" t="s">
        <v>4949</v>
      </c>
    </row>
    <row r="4833" spans="1:1">
      <c r="A4833" s="13" t="s">
        <v>4950</v>
      </c>
    </row>
    <row r="4834" spans="1:1">
      <c r="A4834" s="13" t="s">
        <v>4951</v>
      </c>
    </row>
    <row r="4835" spans="1:1">
      <c r="A4835" s="13" t="s">
        <v>4952</v>
      </c>
    </row>
    <row r="4836" spans="1:1">
      <c r="A4836" s="13" t="s">
        <v>4953</v>
      </c>
    </row>
    <row r="4837" spans="1:1">
      <c r="A4837" s="13" t="s">
        <v>4954</v>
      </c>
    </row>
    <row r="4838" spans="1:1">
      <c r="A4838" s="13" t="s">
        <v>4955</v>
      </c>
    </row>
    <row r="4839" spans="1:1">
      <c r="A4839" s="13" t="s">
        <v>4956</v>
      </c>
    </row>
    <row r="4840" spans="1:1">
      <c r="A4840" s="13" t="s">
        <v>4957</v>
      </c>
    </row>
    <row r="4841" spans="1:1">
      <c r="A4841" s="13" t="s">
        <v>4958</v>
      </c>
    </row>
    <row r="4842" spans="1:1">
      <c r="A4842" s="13" t="s">
        <v>4959</v>
      </c>
    </row>
    <row r="4843" spans="1:1">
      <c r="A4843" s="13" t="s">
        <v>4960</v>
      </c>
    </row>
    <row r="4844" spans="1:1">
      <c r="A4844" s="13" t="s">
        <v>4961</v>
      </c>
    </row>
    <row r="4845" spans="1:1">
      <c r="A4845" s="13" t="s">
        <v>4962</v>
      </c>
    </row>
    <row r="4846" spans="1:1">
      <c r="A4846" s="13" t="s">
        <v>4963</v>
      </c>
    </row>
    <row r="4847" spans="1:1">
      <c r="A4847" s="13" t="s">
        <v>4964</v>
      </c>
    </row>
    <row r="4848" spans="1:1">
      <c r="A4848" s="13" t="s">
        <v>4965</v>
      </c>
    </row>
    <row r="4849" spans="1:1">
      <c r="A4849" s="13" t="s">
        <v>4966</v>
      </c>
    </row>
    <row r="4850" spans="1:1">
      <c r="A4850" s="13" t="s">
        <v>4967</v>
      </c>
    </row>
    <row r="4851" spans="1:1">
      <c r="A4851" s="13" t="s">
        <v>4968</v>
      </c>
    </row>
    <row r="4852" spans="1:1">
      <c r="A4852" s="13" t="s">
        <v>4969</v>
      </c>
    </row>
    <row r="4853" spans="1:1">
      <c r="A4853" s="13" t="s">
        <v>4970</v>
      </c>
    </row>
    <row r="4854" spans="1:1">
      <c r="A4854" s="13" t="s">
        <v>4971</v>
      </c>
    </row>
    <row r="4855" spans="1:1">
      <c r="A4855" s="13" t="s">
        <v>4972</v>
      </c>
    </row>
    <row r="4856" spans="1:1">
      <c r="A4856" s="13" t="s">
        <v>4973</v>
      </c>
    </row>
    <row r="4857" spans="1:1">
      <c r="A4857" s="13" t="s">
        <v>4974</v>
      </c>
    </row>
    <row r="4858" spans="1:1">
      <c r="A4858" s="13" t="s">
        <v>4975</v>
      </c>
    </row>
    <row r="4859" spans="1:1">
      <c r="A4859" s="13" t="s">
        <v>4976</v>
      </c>
    </row>
    <row r="4860" spans="1:1">
      <c r="A4860" s="13" t="s">
        <v>4977</v>
      </c>
    </row>
    <row r="4861" spans="1:1">
      <c r="A4861" s="13" t="s">
        <v>4978</v>
      </c>
    </row>
    <row r="4862" spans="1:1">
      <c r="A4862" s="13" t="s">
        <v>4979</v>
      </c>
    </row>
    <row r="4863" spans="1:1">
      <c r="A4863" s="13" t="s">
        <v>4980</v>
      </c>
    </row>
    <row r="4864" spans="1:1">
      <c r="A4864" s="13" t="s">
        <v>4981</v>
      </c>
    </row>
    <row r="4865" spans="1:1">
      <c r="A4865" s="13" t="s">
        <v>4982</v>
      </c>
    </row>
    <row r="4866" spans="1:1">
      <c r="A4866" s="13" t="s">
        <v>4983</v>
      </c>
    </row>
    <row r="4867" spans="1:1">
      <c r="A4867" s="13" t="s">
        <v>4984</v>
      </c>
    </row>
    <row r="4868" spans="1:1">
      <c r="A4868" s="13" t="s">
        <v>4985</v>
      </c>
    </row>
    <row r="4869" spans="1:1">
      <c r="A4869" s="13" t="s">
        <v>4986</v>
      </c>
    </row>
    <row r="4870" spans="1:1">
      <c r="A4870" s="13" t="s">
        <v>4987</v>
      </c>
    </row>
    <row r="4871" spans="1:1">
      <c r="A4871" s="13" t="s">
        <v>4988</v>
      </c>
    </row>
    <row r="4872" spans="1:1">
      <c r="A4872" s="13" t="s">
        <v>4989</v>
      </c>
    </row>
    <row r="4873" spans="1:1">
      <c r="A4873" s="13" t="s">
        <v>4990</v>
      </c>
    </row>
    <row r="4874" spans="1:1">
      <c r="A4874" s="13" t="s">
        <v>4991</v>
      </c>
    </row>
    <row r="4875" spans="1:1">
      <c r="A4875" s="13" t="s">
        <v>4992</v>
      </c>
    </row>
    <row r="4876" spans="1:1">
      <c r="A4876" s="13" t="s">
        <v>4993</v>
      </c>
    </row>
    <row r="4877" spans="1:1">
      <c r="A4877" s="13" t="s">
        <v>4994</v>
      </c>
    </row>
    <row r="4878" spans="1:1">
      <c r="A4878" s="13" t="s">
        <v>4995</v>
      </c>
    </row>
    <row r="4879" spans="1:1">
      <c r="A4879" s="13" t="s">
        <v>4996</v>
      </c>
    </row>
    <row r="4880" spans="1:1">
      <c r="A4880" s="13" t="s">
        <v>4997</v>
      </c>
    </row>
    <row r="4881" spans="1:1">
      <c r="A4881" s="13" t="s">
        <v>4998</v>
      </c>
    </row>
    <row r="4882" spans="1:1">
      <c r="A4882" s="13" t="s">
        <v>4999</v>
      </c>
    </row>
    <row r="4883" spans="1:1">
      <c r="A4883" s="13" t="s">
        <v>5000</v>
      </c>
    </row>
    <row r="4884" spans="1:1">
      <c r="A4884" s="13" t="s">
        <v>5001</v>
      </c>
    </row>
    <row r="4885" spans="1:1">
      <c r="A4885" s="13" t="s">
        <v>5002</v>
      </c>
    </row>
    <row r="4886" spans="1:1">
      <c r="A4886" s="13" t="s">
        <v>5003</v>
      </c>
    </row>
    <row r="4887" spans="1:1">
      <c r="A4887" s="13" t="s">
        <v>5004</v>
      </c>
    </row>
    <row r="4888" spans="1:1">
      <c r="A4888" s="13" t="s">
        <v>5005</v>
      </c>
    </row>
    <row r="4889" spans="1:1">
      <c r="A4889" s="13" t="s">
        <v>5006</v>
      </c>
    </row>
    <row r="4890" spans="1:1">
      <c r="A4890" s="13" t="s">
        <v>5007</v>
      </c>
    </row>
    <row r="4891" spans="1:1">
      <c r="A4891" s="13" t="s">
        <v>5008</v>
      </c>
    </row>
    <row r="4892" spans="1:1">
      <c r="A4892" s="13" t="s">
        <v>5009</v>
      </c>
    </row>
    <row r="4893" spans="1:1">
      <c r="A4893" s="13" t="s">
        <v>5010</v>
      </c>
    </row>
    <row r="4894" spans="1:1">
      <c r="A4894" s="13" t="s">
        <v>5011</v>
      </c>
    </row>
    <row r="4895" spans="1:1">
      <c r="A4895" s="13" t="s">
        <v>5012</v>
      </c>
    </row>
    <row r="4896" spans="1:1">
      <c r="A4896" s="13" t="s">
        <v>5013</v>
      </c>
    </row>
    <row r="4897" spans="1:1">
      <c r="A4897" s="13" t="s">
        <v>5014</v>
      </c>
    </row>
    <row r="4898" spans="1:1">
      <c r="A4898" s="13" t="s">
        <v>5015</v>
      </c>
    </row>
    <row r="4899" spans="1:1">
      <c r="A4899" s="13" t="s">
        <v>5016</v>
      </c>
    </row>
    <row r="4900" spans="1:1">
      <c r="A4900" s="13" t="s">
        <v>5017</v>
      </c>
    </row>
    <row r="4901" spans="1:1">
      <c r="A4901" s="13" t="s">
        <v>5018</v>
      </c>
    </row>
    <row r="4902" spans="1:1">
      <c r="A4902" s="13" t="s">
        <v>5019</v>
      </c>
    </row>
    <row r="4903" spans="1:1">
      <c r="A4903" s="13" t="s">
        <v>5020</v>
      </c>
    </row>
    <row r="4904" spans="1:1">
      <c r="A4904" s="13" t="s">
        <v>5021</v>
      </c>
    </row>
    <row r="4905" spans="1:1">
      <c r="A4905" s="13" t="s">
        <v>5022</v>
      </c>
    </row>
    <row r="4906" spans="1:1">
      <c r="A4906" s="13" t="s">
        <v>5023</v>
      </c>
    </row>
    <row r="4907" spans="1:1">
      <c r="A4907" s="13" t="s">
        <v>5024</v>
      </c>
    </row>
    <row r="4908" spans="1:1">
      <c r="A4908" s="13" t="s">
        <v>5025</v>
      </c>
    </row>
    <row r="4909" spans="1:1">
      <c r="A4909" s="13" t="s">
        <v>5026</v>
      </c>
    </row>
    <row r="4910" spans="1:1">
      <c r="A4910" s="13" t="s">
        <v>303</v>
      </c>
    </row>
    <row r="4911" spans="1:1">
      <c r="A4911" s="13" t="s">
        <v>5027</v>
      </c>
    </row>
    <row r="4912" spans="1:1">
      <c r="A4912" s="13" t="s">
        <v>5028</v>
      </c>
    </row>
    <row r="4913" spans="1:1">
      <c r="A4913" s="13" t="s">
        <v>5029</v>
      </c>
    </row>
    <row r="4914" spans="1:1">
      <c r="A4914" s="13" t="s">
        <v>5030</v>
      </c>
    </row>
    <row r="4915" spans="1:1">
      <c r="A4915" s="13" t="s">
        <v>5031</v>
      </c>
    </row>
    <row r="4916" spans="1:1">
      <c r="A4916" s="13" t="s">
        <v>5032</v>
      </c>
    </row>
    <row r="4917" spans="1:1">
      <c r="A4917" s="13" t="s">
        <v>5033</v>
      </c>
    </row>
    <row r="4918" spans="1:1">
      <c r="A4918" s="13" t="s">
        <v>5034</v>
      </c>
    </row>
    <row r="4919" spans="1:1">
      <c r="A4919" s="13" t="s">
        <v>5035</v>
      </c>
    </row>
    <row r="4920" spans="1:1">
      <c r="A4920" s="13" t="s">
        <v>5036</v>
      </c>
    </row>
    <row r="4921" spans="1:1">
      <c r="A4921" s="13" t="s">
        <v>5037</v>
      </c>
    </row>
    <row r="4922" spans="1:1">
      <c r="A4922" s="13" t="s">
        <v>5038</v>
      </c>
    </row>
    <row r="4923" spans="1:1">
      <c r="A4923" s="13" t="s">
        <v>5039</v>
      </c>
    </row>
    <row r="4924" spans="1:1">
      <c r="A4924" s="13" t="s">
        <v>5040</v>
      </c>
    </row>
    <row r="4925" spans="1:1">
      <c r="A4925" s="13" t="s">
        <v>5041</v>
      </c>
    </row>
    <row r="4926" spans="1:1">
      <c r="A4926" s="13" t="s">
        <v>5042</v>
      </c>
    </row>
    <row r="4927" spans="1:1">
      <c r="A4927" s="13" t="s">
        <v>219</v>
      </c>
    </row>
    <row r="4928" spans="1:1">
      <c r="A4928" s="13" t="s">
        <v>5043</v>
      </c>
    </row>
    <row r="4929" spans="1:1">
      <c r="A4929" s="13" t="s">
        <v>5044</v>
      </c>
    </row>
    <row r="4930" spans="1:1">
      <c r="A4930" s="13" t="s">
        <v>5045</v>
      </c>
    </row>
    <row r="4931" spans="1:1">
      <c r="A4931" s="13" t="s">
        <v>5046</v>
      </c>
    </row>
    <row r="4932" spans="1:1">
      <c r="A4932" s="13" t="s">
        <v>5047</v>
      </c>
    </row>
    <row r="4933" spans="1:1">
      <c r="A4933" s="13" t="s">
        <v>5048</v>
      </c>
    </row>
    <row r="4934" spans="1:1">
      <c r="A4934" s="13" t="s">
        <v>5049</v>
      </c>
    </row>
    <row r="4935" spans="1:1">
      <c r="A4935" s="13" t="s">
        <v>5050</v>
      </c>
    </row>
    <row r="4936" spans="1:1">
      <c r="A4936" s="13" t="s">
        <v>5051</v>
      </c>
    </row>
    <row r="4937" spans="1:1">
      <c r="A4937" s="13" t="s">
        <v>5052</v>
      </c>
    </row>
    <row r="4938" spans="1:1">
      <c r="A4938" s="13" t="s">
        <v>5053</v>
      </c>
    </row>
    <row r="4939" spans="1:1">
      <c r="A4939" s="13" t="s">
        <v>5054</v>
      </c>
    </row>
    <row r="4940" spans="1:1">
      <c r="A4940" s="13" t="s">
        <v>5055</v>
      </c>
    </row>
    <row r="4941" spans="1:1">
      <c r="A4941" s="13" t="s">
        <v>5056</v>
      </c>
    </row>
    <row r="4942" spans="1:1">
      <c r="A4942" s="13" t="s">
        <v>5057</v>
      </c>
    </row>
    <row r="4943" spans="1:1">
      <c r="A4943" s="13" t="s">
        <v>5058</v>
      </c>
    </row>
    <row r="4944" spans="1:1">
      <c r="A4944" s="13" t="s">
        <v>5059</v>
      </c>
    </row>
    <row r="4945" spans="1:1">
      <c r="A4945" s="13" t="s">
        <v>5060</v>
      </c>
    </row>
    <row r="4946" spans="1:1">
      <c r="A4946" s="13" t="s">
        <v>5061</v>
      </c>
    </row>
    <row r="4947" spans="1:1">
      <c r="A4947" s="13" t="s">
        <v>5062</v>
      </c>
    </row>
    <row r="4948" spans="1:1">
      <c r="A4948" s="13" t="s">
        <v>5063</v>
      </c>
    </row>
    <row r="4949" spans="1:1">
      <c r="A4949" s="13" t="s">
        <v>5064</v>
      </c>
    </row>
    <row r="4950" spans="1:1">
      <c r="A4950" s="13" t="s">
        <v>5065</v>
      </c>
    </row>
    <row r="4951" spans="1:1">
      <c r="A4951" s="13" t="s">
        <v>5066</v>
      </c>
    </row>
    <row r="4952" spans="1:1">
      <c r="A4952" s="13" t="s">
        <v>5067</v>
      </c>
    </row>
    <row r="4953" spans="1:1">
      <c r="A4953" s="13" t="s">
        <v>5068</v>
      </c>
    </row>
    <row r="4954" spans="1:1">
      <c r="A4954" s="13" t="s">
        <v>5069</v>
      </c>
    </row>
    <row r="4955" spans="1:1">
      <c r="A4955" s="13" t="s">
        <v>5070</v>
      </c>
    </row>
    <row r="4956" spans="1:1">
      <c r="A4956" s="13" t="s">
        <v>5071</v>
      </c>
    </row>
    <row r="4957" spans="1:1">
      <c r="A4957" s="13" t="s">
        <v>5072</v>
      </c>
    </row>
    <row r="4958" spans="1:1">
      <c r="A4958" s="13" t="s">
        <v>5073</v>
      </c>
    </row>
    <row r="4959" spans="1:1">
      <c r="A4959" s="13" t="s">
        <v>5074</v>
      </c>
    </row>
    <row r="4960" spans="1:1">
      <c r="A4960" s="13" t="s">
        <v>5075</v>
      </c>
    </row>
    <row r="4961" spans="1:1">
      <c r="A4961" s="13" t="s">
        <v>5076</v>
      </c>
    </row>
    <row r="4962" spans="1:1">
      <c r="A4962" s="13" t="s">
        <v>5077</v>
      </c>
    </row>
    <row r="4963" spans="1:1">
      <c r="A4963" s="13" t="s">
        <v>5078</v>
      </c>
    </row>
    <row r="4964" spans="1:1">
      <c r="A4964" s="13" t="s">
        <v>5079</v>
      </c>
    </row>
    <row r="4965" spans="1:1">
      <c r="A4965" s="13" t="s">
        <v>5080</v>
      </c>
    </row>
    <row r="4966" spans="1:1">
      <c r="A4966" s="13" t="s">
        <v>5081</v>
      </c>
    </row>
    <row r="4967" spans="1:1">
      <c r="A4967" s="13" t="s">
        <v>5082</v>
      </c>
    </row>
    <row r="4968" spans="1:1">
      <c r="A4968" s="13" t="s">
        <v>5083</v>
      </c>
    </row>
    <row r="4969" spans="1:1">
      <c r="A4969" s="13" t="s">
        <v>5084</v>
      </c>
    </row>
    <row r="4970" spans="1:1">
      <c r="A4970" s="13" t="s">
        <v>5085</v>
      </c>
    </row>
    <row r="4971" spans="1:1">
      <c r="A4971" s="13" t="s">
        <v>5086</v>
      </c>
    </row>
    <row r="4972" spans="1:1">
      <c r="A4972" s="13" t="s">
        <v>5087</v>
      </c>
    </row>
    <row r="4973" spans="1:1">
      <c r="A4973" s="13" t="s">
        <v>5088</v>
      </c>
    </row>
    <row r="4974" spans="1:1">
      <c r="A4974" s="13" t="s">
        <v>5089</v>
      </c>
    </row>
    <row r="4975" spans="1:1">
      <c r="A4975" s="13" t="s">
        <v>5090</v>
      </c>
    </row>
    <row r="4976" spans="1:1">
      <c r="A4976" s="13" t="s">
        <v>5091</v>
      </c>
    </row>
    <row r="4977" spans="1:1">
      <c r="A4977" s="13" t="s">
        <v>5092</v>
      </c>
    </row>
    <row r="4978" spans="1:1">
      <c r="A4978" s="13" t="s">
        <v>5093</v>
      </c>
    </row>
    <row r="4979" spans="1:1">
      <c r="A4979" s="13" t="s">
        <v>5094</v>
      </c>
    </row>
    <row r="4980" spans="1:1">
      <c r="A4980" s="13" t="s">
        <v>5095</v>
      </c>
    </row>
    <row r="4981" spans="1:1">
      <c r="A4981" s="13" t="s">
        <v>5096</v>
      </c>
    </row>
    <row r="4982" spans="1:1">
      <c r="A4982" s="13" t="s">
        <v>5097</v>
      </c>
    </row>
    <row r="4983" spans="1:1">
      <c r="A4983" s="13" t="s">
        <v>5098</v>
      </c>
    </row>
    <row r="4984" spans="1:1">
      <c r="A4984" s="13" t="s">
        <v>5099</v>
      </c>
    </row>
    <row r="4985" spans="1:1">
      <c r="A4985" s="13" t="s">
        <v>5100</v>
      </c>
    </row>
    <row r="4986" spans="1:1">
      <c r="A4986" s="13" t="s">
        <v>5101</v>
      </c>
    </row>
    <row r="4987" spans="1:1">
      <c r="A4987" s="13" t="s">
        <v>5102</v>
      </c>
    </row>
    <row r="4988" spans="1:1">
      <c r="A4988" s="13" t="s">
        <v>5103</v>
      </c>
    </row>
    <row r="4989" spans="1:1">
      <c r="A4989" s="13" t="s">
        <v>5104</v>
      </c>
    </row>
    <row r="4990" spans="1:1">
      <c r="A4990" s="13" t="s">
        <v>5105</v>
      </c>
    </row>
    <row r="4991" spans="1:1">
      <c r="A4991" s="13" t="s">
        <v>5106</v>
      </c>
    </row>
    <row r="4992" spans="1:1">
      <c r="A4992" s="13" t="s">
        <v>5107</v>
      </c>
    </row>
    <row r="4993" spans="1:1">
      <c r="A4993" s="13" t="s">
        <v>5108</v>
      </c>
    </row>
    <row r="4994" spans="1:1">
      <c r="A4994" s="13" t="s">
        <v>5109</v>
      </c>
    </row>
    <row r="4995" spans="1:1">
      <c r="A4995" s="13" t="s">
        <v>5110</v>
      </c>
    </row>
    <row r="4996" spans="1:1">
      <c r="A4996" s="13" t="s">
        <v>5111</v>
      </c>
    </row>
    <row r="4997" spans="1:1">
      <c r="A4997" s="13" t="s">
        <v>5112</v>
      </c>
    </row>
    <row r="4998" spans="1:1">
      <c r="A4998" s="13" t="s">
        <v>5113</v>
      </c>
    </row>
    <row r="4999" spans="1:1">
      <c r="A4999" s="13" t="s">
        <v>5114</v>
      </c>
    </row>
    <row r="5000" spans="1:1">
      <c r="A5000" s="13" t="s">
        <v>5115</v>
      </c>
    </row>
    <row r="5001" spans="1:1">
      <c r="A5001" s="13" t="s">
        <v>5116</v>
      </c>
    </row>
    <row r="5002" spans="1:1">
      <c r="A5002" s="13" t="s">
        <v>5117</v>
      </c>
    </row>
    <row r="5003" spans="1:1">
      <c r="A5003" s="13" t="s">
        <v>5118</v>
      </c>
    </row>
    <row r="5004" spans="1:1">
      <c r="A5004" s="13" t="s">
        <v>5119</v>
      </c>
    </row>
    <row r="5005" spans="1:1">
      <c r="A5005" s="13" t="s">
        <v>5120</v>
      </c>
    </row>
    <row r="5006" spans="1:1">
      <c r="A5006" s="13" t="s">
        <v>5121</v>
      </c>
    </row>
    <row r="5007" spans="1:1">
      <c r="A5007" s="13" t="s">
        <v>5122</v>
      </c>
    </row>
    <row r="5008" spans="1:1">
      <c r="A5008" s="13" t="s">
        <v>5123</v>
      </c>
    </row>
    <row r="5009" spans="1:1">
      <c r="A5009" s="13" t="s">
        <v>5124</v>
      </c>
    </row>
    <row r="5010" spans="1:1">
      <c r="A5010" s="13" t="s">
        <v>5125</v>
      </c>
    </row>
    <row r="5011" spans="1:1">
      <c r="A5011" s="13" t="s">
        <v>5126</v>
      </c>
    </row>
    <row r="5012" spans="1:1">
      <c r="A5012" s="13" t="s">
        <v>5127</v>
      </c>
    </row>
    <row r="5013" spans="1:1">
      <c r="A5013" s="13" t="s">
        <v>5128</v>
      </c>
    </row>
    <row r="5014" spans="1:1">
      <c r="A5014" s="13" t="s">
        <v>5129</v>
      </c>
    </row>
    <row r="5015" spans="1:1">
      <c r="A5015" s="13" t="s">
        <v>5130</v>
      </c>
    </row>
    <row r="5016" spans="1:1">
      <c r="A5016" s="13" t="s">
        <v>5131</v>
      </c>
    </row>
    <row r="5017" spans="1:1">
      <c r="A5017" s="13" t="s">
        <v>5132</v>
      </c>
    </row>
    <row r="5018" spans="1:1">
      <c r="A5018" s="13" t="s">
        <v>5133</v>
      </c>
    </row>
    <row r="5019" spans="1:1">
      <c r="A5019" s="13" t="s">
        <v>5134</v>
      </c>
    </row>
    <row r="5020" spans="1:1">
      <c r="A5020" s="13" t="s">
        <v>5135</v>
      </c>
    </row>
    <row r="5021" spans="1:1">
      <c r="A5021" s="13" t="s">
        <v>5136</v>
      </c>
    </row>
    <row r="5022" spans="1:1">
      <c r="A5022" s="13" t="s">
        <v>5137</v>
      </c>
    </row>
    <row r="5023" spans="1:1">
      <c r="A5023" s="13" t="s">
        <v>5138</v>
      </c>
    </row>
    <row r="5024" spans="1:1">
      <c r="A5024" s="13" t="s">
        <v>5139</v>
      </c>
    </row>
    <row r="5025" spans="1:1">
      <c r="A5025" s="13" t="s">
        <v>5140</v>
      </c>
    </row>
    <row r="5026" spans="1:1">
      <c r="A5026" s="13" t="s">
        <v>5141</v>
      </c>
    </row>
    <row r="5027" spans="1:1">
      <c r="A5027" s="13" t="s">
        <v>5142</v>
      </c>
    </row>
    <row r="5028" spans="1:1">
      <c r="A5028" s="13" t="s">
        <v>5143</v>
      </c>
    </row>
    <row r="5029" spans="1:1">
      <c r="A5029" s="13" t="s">
        <v>5144</v>
      </c>
    </row>
    <row r="5030" spans="1:1">
      <c r="A5030" s="13" t="s">
        <v>5145</v>
      </c>
    </row>
    <row r="5031" spans="1:1">
      <c r="A5031" s="13" t="s">
        <v>5146</v>
      </c>
    </row>
    <row r="5032" spans="1:1">
      <c r="A5032" s="13" t="s">
        <v>5147</v>
      </c>
    </row>
    <row r="5033" spans="1:1">
      <c r="A5033" s="13" t="s">
        <v>5148</v>
      </c>
    </row>
    <row r="5034" spans="1:1">
      <c r="A5034" s="13" t="s">
        <v>5149</v>
      </c>
    </row>
    <row r="5035" spans="1:1">
      <c r="A5035" s="13" t="s">
        <v>5150</v>
      </c>
    </row>
    <row r="5036" spans="1:1">
      <c r="A5036" s="13" t="s">
        <v>5151</v>
      </c>
    </row>
    <row r="5037" spans="1:1">
      <c r="A5037" s="13" t="s">
        <v>5152</v>
      </c>
    </row>
    <row r="5038" spans="1:1">
      <c r="A5038" s="13" t="s">
        <v>5153</v>
      </c>
    </row>
    <row r="5039" spans="1:1">
      <c r="A5039" s="13" t="s">
        <v>5154</v>
      </c>
    </row>
    <row r="5040" spans="1:1">
      <c r="A5040" s="13" t="s">
        <v>5155</v>
      </c>
    </row>
    <row r="5041" spans="1:1">
      <c r="A5041" s="13" t="s">
        <v>5156</v>
      </c>
    </row>
    <row r="5042" spans="1:1">
      <c r="A5042" s="13" t="s">
        <v>5157</v>
      </c>
    </row>
    <row r="5043" spans="1:1">
      <c r="A5043" s="13" t="s">
        <v>5158</v>
      </c>
    </row>
    <row r="5044" spans="1:1">
      <c r="A5044" s="13" t="s">
        <v>5159</v>
      </c>
    </row>
    <row r="5045" spans="1:1">
      <c r="A5045" s="13" t="s">
        <v>5160</v>
      </c>
    </row>
    <row r="5046" spans="1:1">
      <c r="A5046" s="13" t="s">
        <v>5161</v>
      </c>
    </row>
    <row r="5047" spans="1:1">
      <c r="A5047" s="13" t="s">
        <v>5162</v>
      </c>
    </row>
    <row r="5048" spans="1:1">
      <c r="A5048" s="13" t="s">
        <v>5163</v>
      </c>
    </row>
    <row r="5049" spans="1:1">
      <c r="A5049" s="13" t="s">
        <v>5164</v>
      </c>
    </row>
    <row r="5050" spans="1:1">
      <c r="A5050" s="13" t="s">
        <v>5165</v>
      </c>
    </row>
    <row r="5051" spans="1:1">
      <c r="A5051" s="13" t="s">
        <v>5166</v>
      </c>
    </row>
    <row r="5052" spans="1:1">
      <c r="A5052" s="13" t="s">
        <v>5167</v>
      </c>
    </row>
    <row r="5053" spans="1:1">
      <c r="A5053" s="13" t="s">
        <v>5168</v>
      </c>
    </row>
    <row r="5054" spans="1:1">
      <c r="A5054" s="13" t="s">
        <v>5169</v>
      </c>
    </row>
    <row r="5055" spans="1:1">
      <c r="A5055" s="13" t="s">
        <v>5170</v>
      </c>
    </row>
    <row r="5056" spans="1:1">
      <c r="A5056" s="13" t="s">
        <v>5171</v>
      </c>
    </row>
    <row r="5057" spans="1:1">
      <c r="A5057" s="13" t="s">
        <v>5172</v>
      </c>
    </row>
    <row r="5058" spans="1:1">
      <c r="A5058" s="13" t="s">
        <v>5173</v>
      </c>
    </row>
    <row r="5059" spans="1:1">
      <c r="A5059" s="13" t="s">
        <v>5174</v>
      </c>
    </row>
    <row r="5060" spans="1:1">
      <c r="A5060" s="13" t="s">
        <v>5175</v>
      </c>
    </row>
    <row r="5061" spans="1:1">
      <c r="A5061" s="13" t="s">
        <v>5176</v>
      </c>
    </row>
    <row r="5062" spans="1:1">
      <c r="A5062" s="13" t="s">
        <v>5177</v>
      </c>
    </row>
    <row r="5063" spans="1:1">
      <c r="A5063" s="13" t="s">
        <v>5178</v>
      </c>
    </row>
    <row r="5064" spans="1:1">
      <c r="A5064" s="13" t="s">
        <v>5179</v>
      </c>
    </row>
    <row r="5065" spans="1:1">
      <c r="A5065" s="13" t="s">
        <v>5180</v>
      </c>
    </row>
    <row r="5066" spans="1:1">
      <c r="A5066" s="13" t="s">
        <v>5181</v>
      </c>
    </row>
    <row r="5067" spans="1:1">
      <c r="A5067" s="13" t="s">
        <v>5182</v>
      </c>
    </row>
    <row r="5068" spans="1:1">
      <c r="A5068" s="13" t="s">
        <v>5183</v>
      </c>
    </row>
    <row r="5069" spans="1:1">
      <c r="A5069" s="13" t="s">
        <v>5184</v>
      </c>
    </row>
    <row r="5070" spans="1:1">
      <c r="A5070" s="13" t="s">
        <v>5185</v>
      </c>
    </row>
    <row r="5071" spans="1:1">
      <c r="A5071" s="13" t="s">
        <v>5186</v>
      </c>
    </row>
    <row r="5072" spans="1:1">
      <c r="A5072" s="13" t="s">
        <v>5187</v>
      </c>
    </row>
    <row r="5073" spans="1:1">
      <c r="A5073" s="13" t="s">
        <v>5188</v>
      </c>
    </row>
    <row r="5074" spans="1:1">
      <c r="A5074" s="13" t="s">
        <v>5189</v>
      </c>
    </row>
    <row r="5075" spans="1:1">
      <c r="A5075" s="13" t="s">
        <v>5190</v>
      </c>
    </row>
    <row r="5076" spans="1:1">
      <c r="A5076" s="13" t="s">
        <v>5191</v>
      </c>
    </row>
    <row r="5077" spans="1:1">
      <c r="A5077" s="13" t="s">
        <v>5192</v>
      </c>
    </row>
    <row r="5078" spans="1:1">
      <c r="A5078" s="13" t="s">
        <v>5193</v>
      </c>
    </row>
    <row r="5079" spans="1:1">
      <c r="A5079" s="13" t="s">
        <v>5194</v>
      </c>
    </row>
    <row r="5080" spans="1:1">
      <c r="A5080" s="13" t="s">
        <v>5195</v>
      </c>
    </row>
    <row r="5081" spans="1:1">
      <c r="A5081" s="13" t="s">
        <v>5196</v>
      </c>
    </row>
    <row r="5082" spans="1:1">
      <c r="A5082" s="13" t="s">
        <v>5197</v>
      </c>
    </row>
    <row r="5083" spans="1:1">
      <c r="A5083" s="13" t="s">
        <v>5198</v>
      </c>
    </row>
    <row r="5084" spans="1:1">
      <c r="A5084" s="13" t="s">
        <v>5199</v>
      </c>
    </row>
    <row r="5085" spans="1:1">
      <c r="A5085" s="13" t="s">
        <v>5200</v>
      </c>
    </row>
    <row r="5086" spans="1:1">
      <c r="A5086" s="13" t="s">
        <v>5201</v>
      </c>
    </row>
    <row r="5087" spans="1:1">
      <c r="A5087" s="13" t="s">
        <v>5202</v>
      </c>
    </row>
    <row r="5088" spans="1:1">
      <c r="A5088" s="13" t="s">
        <v>5203</v>
      </c>
    </row>
    <row r="5089" spans="1:1">
      <c r="A5089" s="13" t="s">
        <v>5204</v>
      </c>
    </row>
    <row r="5090" spans="1:1">
      <c r="A5090" s="13" t="s">
        <v>5205</v>
      </c>
    </row>
    <row r="5091" spans="1:1">
      <c r="A5091" s="13" t="s">
        <v>5206</v>
      </c>
    </row>
    <row r="5092" spans="1:1">
      <c r="A5092" s="13" t="s">
        <v>5207</v>
      </c>
    </row>
    <row r="5093" spans="1:1">
      <c r="A5093" s="13" t="s">
        <v>5208</v>
      </c>
    </row>
    <row r="5094" spans="1:1">
      <c r="A5094" s="13" t="s">
        <v>5209</v>
      </c>
    </row>
    <row r="5095" spans="1:1">
      <c r="A5095" s="13" t="s">
        <v>5210</v>
      </c>
    </row>
    <row r="5096" spans="1:1">
      <c r="A5096" s="13" t="s">
        <v>5211</v>
      </c>
    </row>
    <row r="5097" spans="1:1">
      <c r="A5097" s="13" t="s">
        <v>5212</v>
      </c>
    </row>
    <row r="5098" spans="1:1">
      <c r="A5098" s="13" t="s">
        <v>5213</v>
      </c>
    </row>
    <row r="5099" spans="1:1">
      <c r="A5099" s="13" t="s">
        <v>5214</v>
      </c>
    </row>
    <row r="5100" spans="1:1">
      <c r="A5100" s="13" t="s">
        <v>5215</v>
      </c>
    </row>
    <row r="5101" spans="1:1">
      <c r="A5101" s="13" t="s">
        <v>5216</v>
      </c>
    </row>
    <row r="5102" spans="1:1">
      <c r="A5102" s="13" t="s">
        <v>5217</v>
      </c>
    </row>
    <row r="5103" spans="1:1">
      <c r="A5103" s="13" t="s">
        <v>5218</v>
      </c>
    </row>
    <row r="5104" spans="1:1">
      <c r="A5104" s="13" t="s">
        <v>5219</v>
      </c>
    </row>
    <row r="5105" spans="1:1">
      <c r="A5105" s="13" t="s">
        <v>5220</v>
      </c>
    </row>
    <row r="5106" spans="1:1">
      <c r="A5106" s="13" t="s">
        <v>5221</v>
      </c>
    </row>
    <row r="5107" spans="1:1">
      <c r="A5107" s="13" t="s">
        <v>5222</v>
      </c>
    </row>
    <row r="5108" spans="1:1">
      <c r="A5108" s="13" t="s">
        <v>5223</v>
      </c>
    </row>
    <row r="5109" spans="1:1">
      <c r="A5109" s="13" t="s">
        <v>5224</v>
      </c>
    </row>
    <row r="5110" spans="1:1">
      <c r="A5110" s="13" t="s">
        <v>5225</v>
      </c>
    </row>
    <row r="5111" spans="1:1">
      <c r="A5111" s="13" t="s">
        <v>5226</v>
      </c>
    </row>
    <row r="5112" spans="1:1">
      <c r="A5112" s="13" t="s">
        <v>5227</v>
      </c>
    </row>
    <row r="5113" spans="1:1">
      <c r="A5113" s="13" t="s">
        <v>5228</v>
      </c>
    </row>
    <row r="5114" spans="1:1">
      <c r="A5114" s="13" t="s">
        <v>5229</v>
      </c>
    </row>
    <row r="5115" spans="1:1">
      <c r="A5115" s="13" t="s">
        <v>5230</v>
      </c>
    </row>
    <row r="5116" spans="1:1">
      <c r="A5116" s="13" t="s">
        <v>5231</v>
      </c>
    </row>
    <row r="5117" spans="1:1">
      <c r="A5117" s="13" t="s">
        <v>5232</v>
      </c>
    </row>
    <row r="5118" spans="1:1">
      <c r="A5118" s="13" t="s">
        <v>5233</v>
      </c>
    </row>
    <row r="5119" spans="1:1">
      <c r="A5119" s="13" t="s">
        <v>5234</v>
      </c>
    </row>
    <row r="5120" spans="1:1">
      <c r="A5120" s="13" t="s">
        <v>5235</v>
      </c>
    </row>
    <row r="5121" spans="1:1">
      <c r="A5121" s="13" t="s">
        <v>5236</v>
      </c>
    </row>
    <row r="5122" spans="1:1">
      <c r="A5122" s="13" t="s">
        <v>5237</v>
      </c>
    </row>
    <row r="5123" spans="1:1">
      <c r="A5123" s="13" t="s">
        <v>5238</v>
      </c>
    </row>
    <row r="5124" spans="1:1">
      <c r="A5124" s="13" t="s">
        <v>5239</v>
      </c>
    </row>
    <row r="5125" spans="1:1">
      <c r="A5125" s="13" t="s">
        <v>5240</v>
      </c>
    </row>
    <row r="5126" spans="1:1">
      <c r="A5126" s="13" t="s">
        <v>5241</v>
      </c>
    </row>
    <row r="5127" spans="1:1">
      <c r="A5127" s="13" t="s">
        <v>5242</v>
      </c>
    </row>
    <row r="5128" spans="1:1">
      <c r="A5128" s="13" t="s">
        <v>5243</v>
      </c>
    </row>
    <row r="5129" spans="1:1">
      <c r="A5129" s="13" t="s">
        <v>5244</v>
      </c>
    </row>
    <row r="5130" spans="1:1">
      <c r="A5130" s="13" t="s">
        <v>5245</v>
      </c>
    </row>
    <row r="5131" spans="1:1">
      <c r="A5131" s="13" t="s">
        <v>5246</v>
      </c>
    </row>
    <row r="5132" spans="1:1">
      <c r="A5132" s="13" t="s">
        <v>5247</v>
      </c>
    </row>
    <row r="5133" spans="1:1">
      <c r="A5133" s="13" t="s">
        <v>5248</v>
      </c>
    </row>
    <row r="5134" spans="1:1">
      <c r="A5134" s="13" t="s">
        <v>5249</v>
      </c>
    </row>
    <row r="5135" spans="1:1">
      <c r="A5135" s="13" t="s">
        <v>5250</v>
      </c>
    </row>
    <row r="5136" spans="1:1">
      <c r="A5136" s="13" t="s">
        <v>5251</v>
      </c>
    </row>
    <row r="5137" spans="1:1">
      <c r="A5137" s="13" t="s">
        <v>5252</v>
      </c>
    </row>
    <row r="5138" spans="1:1">
      <c r="A5138" s="13" t="s">
        <v>5253</v>
      </c>
    </row>
    <row r="5139" spans="1:1">
      <c r="A5139" s="13" t="s">
        <v>5254</v>
      </c>
    </row>
    <row r="5140" spans="1:1">
      <c r="A5140" s="13" t="s">
        <v>5255</v>
      </c>
    </row>
    <row r="5141" spans="1:1">
      <c r="A5141" s="13" t="s">
        <v>5256</v>
      </c>
    </row>
    <row r="5142" spans="1:1">
      <c r="A5142" s="13" t="s">
        <v>5257</v>
      </c>
    </row>
    <row r="5143" spans="1:1">
      <c r="A5143" s="13" t="s">
        <v>5258</v>
      </c>
    </row>
    <row r="5144" spans="1:1">
      <c r="A5144" s="13" t="s">
        <v>5259</v>
      </c>
    </row>
    <row r="5145" spans="1:1">
      <c r="A5145" s="13" t="s">
        <v>5260</v>
      </c>
    </row>
    <row r="5146" spans="1:1">
      <c r="A5146" s="13" t="s">
        <v>5261</v>
      </c>
    </row>
    <row r="5147" spans="1:1">
      <c r="A5147" s="13" t="s">
        <v>5262</v>
      </c>
    </row>
    <row r="5148" spans="1:1">
      <c r="A5148" s="13" t="s">
        <v>5263</v>
      </c>
    </row>
    <row r="5149" spans="1:1">
      <c r="A5149" s="13" t="s">
        <v>5264</v>
      </c>
    </row>
    <row r="5150" spans="1:1">
      <c r="A5150" s="13" t="s">
        <v>5265</v>
      </c>
    </row>
    <row r="5151" spans="1:1">
      <c r="A5151" s="13" t="s">
        <v>5266</v>
      </c>
    </row>
    <row r="5152" spans="1:1">
      <c r="A5152" s="13" t="s">
        <v>5267</v>
      </c>
    </row>
    <row r="5153" spans="1:1">
      <c r="A5153" s="13" t="s">
        <v>5268</v>
      </c>
    </row>
    <row r="5154" spans="1:1">
      <c r="A5154" s="13" t="s">
        <v>5269</v>
      </c>
    </row>
    <row r="5155" spans="1:1">
      <c r="A5155" s="13" t="s">
        <v>5270</v>
      </c>
    </row>
    <row r="5156" spans="1:1">
      <c r="A5156" s="13" t="s">
        <v>5271</v>
      </c>
    </row>
    <row r="5157" spans="1:1">
      <c r="A5157" s="13" t="s">
        <v>5272</v>
      </c>
    </row>
    <row r="5158" spans="1:1">
      <c r="A5158" s="13" t="s">
        <v>5273</v>
      </c>
    </row>
    <row r="5159" spans="1:1">
      <c r="A5159" s="13" t="s">
        <v>5274</v>
      </c>
    </row>
    <row r="5160" spans="1:1">
      <c r="A5160" s="13" t="s">
        <v>5275</v>
      </c>
    </row>
    <row r="5161" spans="1:1">
      <c r="A5161" s="13" t="s">
        <v>5276</v>
      </c>
    </row>
    <row r="5162" spans="1:1">
      <c r="A5162" s="13" t="s">
        <v>5277</v>
      </c>
    </row>
    <row r="5163" spans="1:1">
      <c r="A5163" s="13" t="s">
        <v>5278</v>
      </c>
    </row>
    <row r="5164" spans="1:1">
      <c r="A5164" s="13" t="s">
        <v>5279</v>
      </c>
    </row>
    <row r="5165" spans="1:1">
      <c r="A5165" s="13" t="s">
        <v>5280</v>
      </c>
    </row>
    <row r="5166" spans="1:1">
      <c r="A5166" s="13" t="s">
        <v>5281</v>
      </c>
    </row>
    <row r="5167" spans="1:1">
      <c r="A5167" s="13" t="s">
        <v>5282</v>
      </c>
    </row>
    <row r="5168" spans="1:1">
      <c r="A5168" s="13" t="s">
        <v>5283</v>
      </c>
    </row>
    <row r="5169" spans="1:1">
      <c r="A5169" s="13" t="s">
        <v>5284</v>
      </c>
    </row>
    <row r="5170" spans="1:1">
      <c r="A5170" s="13" t="s">
        <v>5285</v>
      </c>
    </row>
    <row r="5171" spans="1:1">
      <c r="A5171" s="13" t="s">
        <v>5286</v>
      </c>
    </row>
    <row r="5172" spans="1:1">
      <c r="A5172" s="13" t="s">
        <v>5287</v>
      </c>
    </row>
    <row r="5173" spans="1:1">
      <c r="A5173" s="13" t="s">
        <v>5288</v>
      </c>
    </row>
    <row r="5174" spans="1:1">
      <c r="A5174" s="13" t="s">
        <v>5289</v>
      </c>
    </row>
    <row r="5175" spans="1:1">
      <c r="A5175" s="13" t="s">
        <v>5290</v>
      </c>
    </row>
    <row r="5176" spans="1:1">
      <c r="A5176" s="13" t="s">
        <v>5291</v>
      </c>
    </row>
    <row r="5177" spans="1:1">
      <c r="A5177" s="13" t="s">
        <v>5292</v>
      </c>
    </row>
    <row r="5178" spans="1:1">
      <c r="A5178" s="13" t="s">
        <v>5293</v>
      </c>
    </row>
    <row r="5179" spans="1:1">
      <c r="A5179" s="13" t="s">
        <v>5294</v>
      </c>
    </row>
    <row r="5180" spans="1:1">
      <c r="A5180" s="13" t="s">
        <v>296</v>
      </c>
    </row>
    <row r="5181" spans="1:1">
      <c r="A5181" s="13" t="s">
        <v>5295</v>
      </c>
    </row>
    <row r="5182" spans="1:1">
      <c r="A5182" s="13" t="s">
        <v>5296</v>
      </c>
    </row>
    <row r="5183" spans="1:1">
      <c r="A5183" s="13" t="s">
        <v>5297</v>
      </c>
    </row>
    <row r="5184" spans="1:1">
      <c r="A5184" s="13" t="s">
        <v>5298</v>
      </c>
    </row>
    <row r="5185" spans="1:1">
      <c r="A5185" s="13" t="s">
        <v>5299</v>
      </c>
    </row>
    <row r="5186" spans="1:1">
      <c r="A5186" s="13" t="s">
        <v>5300</v>
      </c>
    </row>
    <row r="5187" spans="1:1">
      <c r="A5187" s="13" t="s">
        <v>5301</v>
      </c>
    </row>
    <row r="5188" spans="1:1">
      <c r="A5188" s="13" t="s">
        <v>5302</v>
      </c>
    </row>
    <row r="5189" spans="1:1">
      <c r="A5189" s="13" t="s">
        <v>5303</v>
      </c>
    </row>
    <row r="5190" spans="1:1">
      <c r="A5190" s="13" t="s">
        <v>5304</v>
      </c>
    </row>
    <row r="5191" spans="1:1">
      <c r="A5191" s="13" t="s">
        <v>5305</v>
      </c>
    </row>
    <row r="5192" spans="1:1">
      <c r="A5192" s="13" t="s">
        <v>5306</v>
      </c>
    </row>
    <row r="5193" spans="1:1">
      <c r="A5193" s="13" t="s">
        <v>5307</v>
      </c>
    </row>
    <row r="5194" spans="1:1">
      <c r="A5194" s="13" t="s">
        <v>5308</v>
      </c>
    </row>
    <row r="5195" spans="1:1">
      <c r="A5195" s="13" t="s">
        <v>5309</v>
      </c>
    </row>
    <row r="5196" spans="1:1">
      <c r="A5196" s="13" t="s">
        <v>5310</v>
      </c>
    </row>
    <row r="5197" spans="1:1">
      <c r="A5197" s="13" t="s">
        <v>5311</v>
      </c>
    </row>
    <row r="5198" spans="1:1">
      <c r="A5198" s="13" t="s">
        <v>5312</v>
      </c>
    </row>
    <row r="5199" spans="1:1">
      <c r="A5199" s="13" t="s">
        <v>5313</v>
      </c>
    </row>
    <row r="5200" spans="1:1">
      <c r="A5200" s="13" t="s">
        <v>5314</v>
      </c>
    </row>
    <row r="5201" spans="1:1">
      <c r="A5201" s="13" t="s">
        <v>5315</v>
      </c>
    </row>
    <row r="5202" spans="1:1">
      <c r="A5202" s="13" t="s">
        <v>5316</v>
      </c>
    </row>
    <row r="5203" spans="1:1">
      <c r="A5203" s="13" t="s">
        <v>5317</v>
      </c>
    </row>
    <row r="5204" spans="1:1">
      <c r="A5204" s="13" t="s">
        <v>5318</v>
      </c>
    </row>
    <row r="5205" spans="1:1">
      <c r="A5205" s="13" t="s">
        <v>5319</v>
      </c>
    </row>
    <row r="5206" spans="1:1">
      <c r="A5206" s="13" t="s">
        <v>5320</v>
      </c>
    </row>
    <row r="5207" spans="1:1">
      <c r="A5207" s="13" t="s">
        <v>5321</v>
      </c>
    </row>
    <row r="5208" spans="1:1">
      <c r="A5208" s="13" t="s">
        <v>5322</v>
      </c>
    </row>
    <row r="5209" spans="1:1">
      <c r="A5209" s="13" t="s">
        <v>5323</v>
      </c>
    </row>
    <row r="5210" spans="1:1">
      <c r="A5210" s="13" t="s">
        <v>5324</v>
      </c>
    </row>
    <row r="5211" spans="1:1">
      <c r="A5211" s="13" t="s">
        <v>5325</v>
      </c>
    </row>
    <row r="5212" spans="1:1">
      <c r="A5212" s="13" t="s">
        <v>5326</v>
      </c>
    </row>
    <row r="5213" spans="1:1">
      <c r="A5213" s="13" t="s">
        <v>5327</v>
      </c>
    </row>
    <row r="5214" spans="1:1">
      <c r="A5214" s="13" t="s">
        <v>5328</v>
      </c>
    </row>
    <row r="5215" spans="1:1">
      <c r="A5215" s="13" t="s">
        <v>5329</v>
      </c>
    </row>
    <row r="5216" spans="1:1">
      <c r="A5216" s="13" t="s">
        <v>5330</v>
      </c>
    </row>
    <row r="5217" spans="1:1">
      <c r="A5217" s="13" t="s">
        <v>5331</v>
      </c>
    </row>
    <row r="5218" spans="1:1">
      <c r="A5218" s="13" t="s">
        <v>5332</v>
      </c>
    </row>
    <row r="5219" spans="1:1">
      <c r="A5219" s="13" t="s">
        <v>5333</v>
      </c>
    </row>
    <row r="5220" spans="1:1">
      <c r="A5220" s="13" t="s">
        <v>5334</v>
      </c>
    </row>
    <row r="5221" spans="1:1">
      <c r="A5221" s="13" t="s">
        <v>5335</v>
      </c>
    </row>
    <row r="5222" spans="1:1">
      <c r="A5222" s="13" t="s">
        <v>5336</v>
      </c>
    </row>
    <row r="5223" spans="1:1">
      <c r="A5223" s="13" t="s">
        <v>5337</v>
      </c>
    </row>
    <row r="5224" spans="1:1">
      <c r="A5224" s="13" t="s">
        <v>5338</v>
      </c>
    </row>
    <row r="5225" spans="1:1">
      <c r="A5225" s="13" t="s">
        <v>5339</v>
      </c>
    </row>
    <row r="5226" spans="1:1">
      <c r="A5226" s="13" t="s">
        <v>5340</v>
      </c>
    </row>
    <row r="5227" spans="1:1">
      <c r="A5227" s="13" t="s">
        <v>5341</v>
      </c>
    </row>
    <row r="5228" spans="1:1">
      <c r="A5228" s="13" t="s">
        <v>5342</v>
      </c>
    </row>
    <row r="5229" spans="1:1">
      <c r="A5229" s="13" t="s">
        <v>5343</v>
      </c>
    </row>
    <row r="5230" spans="1:1">
      <c r="A5230" s="13" t="s">
        <v>5344</v>
      </c>
    </row>
    <row r="5231" spans="1:1">
      <c r="A5231" s="13" t="s">
        <v>5345</v>
      </c>
    </row>
    <row r="5232" spans="1:1">
      <c r="A5232" s="13" t="s">
        <v>5346</v>
      </c>
    </row>
    <row r="5233" spans="1:1">
      <c r="A5233" s="13" t="s">
        <v>5347</v>
      </c>
    </row>
    <row r="5234" spans="1:1">
      <c r="A5234" s="13" t="s">
        <v>5348</v>
      </c>
    </row>
    <row r="5235" spans="1:1">
      <c r="A5235" s="13" t="s">
        <v>5349</v>
      </c>
    </row>
    <row r="5236" spans="1:1">
      <c r="A5236" s="13" t="s">
        <v>5350</v>
      </c>
    </row>
    <row r="5237" spans="1:1">
      <c r="A5237" s="13" t="s">
        <v>5351</v>
      </c>
    </row>
    <row r="5238" spans="1:1">
      <c r="A5238" s="13" t="s">
        <v>5352</v>
      </c>
    </row>
    <row r="5239" spans="1:1">
      <c r="A5239" s="13" t="s">
        <v>5353</v>
      </c>
    </row>
    <row r="5240" spans="1:1">
      <c r="A5240" s="13" t="s">
        <v>5354</v>
      </c>
    </row>
    <row r="5241" spans="1:1">
      <c r="A5241" s="13" t="s">
        <v>5355</v>
      </c>
    </row>
    <row r="5242" spans="1:1">
      <c r="A5242" s="13" t="s">
        <v>5356</v>
      </c>
    </row>
    <row r="5243" spans="1:1">
      <c r="A5243" s="13" t="s">
        <v>5357</v>
      </c>
    </row>
    <row r="5244" spans="1:1">
      <c r="A5244" s="13" t="s">
        <v>5358</v>
      </c>
    </row>
    <row r="5245" spans="1:1">
      <c r="A5245" s="13" t="s">
        <v>278</v>
      </c>
    </row>
    <row r="5246" spans="1:1">
      <c r="A5246" s="13" t="s">
        <v>269</v>
      </c>
    </row>
    <row r="5247" spans="1:1">
      <c r="A5247" s="13" t="s">
        <v>5359</v>
      </c>
    </row>
    <row r="5248" spans="1:1">
      <c r="A5248" s="13" t="s">
        <v>5360</v>
      </c>
    </row>
    <row r="5249" spans="1:1">
      <c r="A5249" s="13" t="s">
        <v>5361</v>
      </c>
    </row>
    <row r="5250" spans="1:1">
      <c r="A5250" s="13" t="s">
        <v>292</v>
      </c>
    </row>
    <row r="5251" spans="1:1">
      <c r="A5251" s="13" t="s">
        <v>5362</v>
      </c>
    </row>
    <row r="5252" spans="1:1">
      <c r="A5252" s="13" t="s">
        <v>5363</v>
      </c>
    </row>
    <row r="5253" spans="1:1">
      <c r="A5253" s="13" t="s">
        <v>5364</v>
      </c>
    </row>
    <row r="5254" spans="1:1">
      <c r="A5254" s="13" t="s">
        <v>5365</v>
      </c>
    </row>
    <row r="5255" spans="1:1">
      <c r="A5255" s="13" t="s">
        <v>5366</v>
      </c>
    </row>
    <row r="5256" spans="1:1">
      <c r="A5256" s="13" t="s">
        <v>5367</v>
      </c>
    </row>
    <row r="5257" spans="1:1">
      <c r="A5257" s="13" t="s">
        <v>5368</v>
      </c>
    </row>
    <row r="5258" spans="1:1">
      <c r="A5258" s="13" t="s">
        <v>5369</v>
      </c>
    </row>
    <row r="5259" spans="1:1">
      <c r="A5259" s="13" t="s">
        <v>5370</v>
      </c>
    </row>
    <row r="5260" spans="1:1">
      <c r="A5260" s="13" t="s">
        <v>5371</v>
      </c>
    </row>
    <row r="5261" spans="1:1">
      <c r="A5261" s="13" t="s">
        <v>5372</v>
      </c>
    </row>
    <row r="5262" spans="1:1">
      <c r="A5262" s="13" t="s">
        <v>5373</v>
      </c>
    </row>
    <row r="5263" spans="1:1">
      <c r="A5263" s="13" t="s">
        <v>5374</v>
      </c>
    </row>
    <row r="5264" spans="1:1">
      <c r="A5264" s="13" t="s">
        <v>5375</v>
      </c>
    </row>
    <row r="5265" spans="1:1">
      <c r="A5265" s="13" t="s">
        <v>5376</v>
      </c>
    </row>
    <row r="5266" spans="1:1">
      <c r="A5266" s="13" t="s">
        <v>309</v>
      </c>
    </row>
    <row r="5267" spans="1:1">
      <c r="A5267" s="13" t="s">
        <v>253</v>
      </c>
    </row>
    <row r="5268" spans="1:1">
      <c r="A5268" s="13" t="s">
        <v>5377</v>
      </c>
    </row>
    <row r="5269" spans="1:1">
      <c r="A5269" s="13" t="s">
        <v>5378</v>
      </c>
    </row>
    <row r="5270" spans="1:1">
      <c r="A5270" s="13" t="s">
        <v>5379</v>
      </c>
    </row>
    <row r="5271" spans="1:1">
      <c r="A5271" s="13" t="s">
        <v>5380</v>
      </c>
    </row>
    <row r="5272" spans="1:1">
      <c r="A5272" s="13" t="s">
        <v>5381</v>
      </c>
    </row>
    <row r="5273" spans="1:1">
      <c r="A5273" s="13" t="s">
        <v>5382</v>
      </c>
    </row>
    <row r="5274" spans="1:1">
      <c r="A5274" s="13" t="s">
        <v>5383</v>
      </c>
    </row>
    <row r="5275" spans="1:1">
      <c r="A5275" s="13" t="s">
        <v>5384</v>
      </c>
    </row>
    <row r="5276" spans="1:1">
      <c r="A5276" s="13" t="s">
        <v>5385</v>
      </c>
    </row>
    <row r="5277" spans="1:1">
      <c r="A5277" s="13" t="s">
        <v>5386</v>
      </c>
    </row>
    <row r="5278" spans="1:1">
      <c r="A5278" s="13" t="s">
        <v>5387</v>
      </c>
    </row>
    <row r="5279" spans="1:1">
      <c r="A5279" s="13" t="s">
        <v>5388</v>
      </c>
    </row>
    <row r="5280" spans="1:1">
      <c r="A5280" s="13" t="s">
        <v>5389</v>
      </c>
    </row>
    <row r="5281" spans="1:1">
      <c r="A5281" s="13" t="s">
        <v>5390</v>
      </c>
    </row>
    <row r="5282" spans="1:1">
      <c r="A5282" s="13" t="s">
        <v>5391</v>
      </c>
    </row>
    <row r="5283" spans="1:1">
      <c r="A5283" s="13" t="s">
        <v>5392</v>
      </c>
    </row>
    <row r="5284" spans="1:1">
      <c r="A5284" s="13" t="s">
        <v>5393</v>
      </c>
    </row>
    <row r="5285" spans="1:1">
      <c r="A5285" s="13" t="s">
        <v>5394</v>
      </c>
    </row>
    <row r="5286" spans="1:1">
      <c r="A5286" s="13" t="s">
        <v>237</v>
      </c>
    </row>
    <row r="5287" spans="1:1">
      <c r="A5287" s="13" t="s">
        <v>5395</v>
      </c>
    </row>
    <row r="5288" spans="1:1">
      <c r="A5288" s="13" t="s">
        <v>5396</v>
      </c>
    </row>
    <row r="5289" spans="1:1">
      <c r="A5289" s="13" t="s">
        <v>5397</v>
      </c>
    </row>
    <row r="5290" spans="1:1">
      <c r="A5290" s="13" t="s">
        <v>5398</v>
      </c>
    </row>
    <row r="5291" spans="1:1">
      <c r="A5291" s="13" t="s">
        <v>5399</v>
      </c>
    </row>
    <row r="5292" spans="1:1">
      <c r="A5292" s="13" t="s">
        <v>5400</v>
      </c>
    </row>
    <row r="5293" spans="1:1">
      <c r="A5293" s="13" t="s">
        <v>5401</v>
      </c>
    </row>
    <row r="5294" spans="1:1">
      <c r="A5294" s="13" t="s">
        <v>5402</v>
      </c>
    </row>
    <row r="5295" spans="1:1">
      <c r="A5295" s="13" t="s">
        <v>5403</v>
      </c>
    </row>
    <row r="5296" spans="1:1">
      <c r="A5296" s="13" t="s">
        <v>5404</v>
      </c>
    </row>
    <row r="5297" spans="1:1">
      <c r="A5297" s="13" t="s">
        <v>5405</v>
      </c>
    </row>
    <row r="5298" spans="1:1">
      <c r="A5298" s="13" t="s">
        <v>5406</v>
      </c>
    </row>
    <row r="5299" spans="1:1">
      <c r="A5299" s="13" t="s">
        <v>5407</v>
      </c>
    </row>
    <row r="5300" spans="1:1">
      <c r="A5300" s="13" t="s">
        <v>5408</v>
      </c>
    </row>
    <row r="5301" spans="1:1">
      <c r="A5301" s="13" t="s">
        <v>5409</v>
      </c>
    </row>
    <row r="5302" spans="1:1">
      <c r="A5302" s="13" t="s">
        <v>5410</v>
      </c>
    </row>
    <row r="5303" spans="1:1">
      <c r="A5303" s="13" t="s">
        <v>5411</v>
      </c>
    </row>
    <row r="5304" spans="1:1">
      <c r="A5304" s="13" t="s">
        <v>5412</v>
      </c>
    </row>
    <row r="5305" spans="1:1">
      <c r="A5305" s="13" t="s">
        <v>5413</v>
      </c>
    </row>
    <row r="5306" spans="1:1">
      <c r="A5306" s="13" t="s">
        <v>5414</v>
      </c>
    </row>
    <row r="5307" spans="1:1">
      <c r="A5307" s="13" t="s">
        <v>5415</v>
      </c>
    </row>
    <row r="5308" spans="1:1">
      <c r="A5308" s="13" t="s">
        <v>5416</v>
      </c>
    </row>
    <row r="5309" spans="1:1">
      <c r="A5309" s="13" t="s">
        <v>5417</v>
      </c>
    </row>
    <row r="5310" spans="1:1">
      <c r="A5310" s="13" t="s">
        <v>5418</v>
      </c>
    </row>
    <row r="5311" spans="1:1">
      <c r="A5311" s="13" t="s">
        <v>5419</v>
      </c>
    </row>
    <row r="5312" spans="1:1">
      <c r="A5312" s="13" t="s">
        <v>5420</v>
      </c>
    </row>
    <row r="5313" spans="1:1">
      <c r="A5313" s="13" t="s">
        <v>5421</v>
      </c>
    </row>
    <row r="5314" spans="1:1">
      <c r="A5314" s="13" t="s">
        <v>5422</v>
      </c>
    </row>
    <row r="5315" spans="1:1">
      <c r="A5315" s="13" t="s">
        <v>5423</v>
      </c>
    </row>
    <row r="5316" spans="1:1">
      <c r="A5316" s="13" t="s">
        <v>5424</v>
      </c>
    </row>
    <row r="5317" spans="1:1">
      <c r="A5317" s="13" t="s">
        <v>5425</v>
      </c>
    </row>
    <row r="5318" spans="1:1">
      <c r="A5318" s="13" t="s">
        <v>5426</v>
      </c>
    </row>
    <row r="5319" spans="1:1">
      <c r="A5319" s="13" t="s">
        <v>5427</v>
      </c>
    </row>
    <row r="5320" spans="1:1">
      <c r="A5320" s="13" t="s">
        <v>5428</v>
      </c>
    </row>
    <row r="5321" spans="1:1">
      <c r="A5321" s="13" t="s">
        <v>5429</v>
      </c>
    </row>
    <row r="5322" spans="1:1">
      <c r="A5322" s="13" t="s">
        <v>5430</v>
      </c>
    </row>
    <row r="5323" spans="1:1">
      <c r="A5323" s="13" t="s">
        <v>5431</v>
      </c>
    </row>
    <row r="5324" spans="1:1">
      <c r="A5324" s="13" t="s">
        <v>5432</v>
      </c>
    </row>
    <row r="5325" spans="1:1">
      <c r="A5325" s="13" t="s">
        <v>5433</v>
      </c>
    </row>
    <row r="5326" spans="1:1">
      <c r="A5326" s="13" t="s">
        <v>5434</v>
      </c>
    </row>
    <row r="5327" spans="1:1">
      <c r="A5327" s="13" t="s">
        <v>5435</v>
      </c>
    </row>
    <row r="5328" spans="1:1">
      <c r="A5328" s="13" t="s">
        <v>5436</v>
      </c>
    </row>
    <row r="5329" spans="1:1">
      <c r="A5329" s="13" t="s">
        <v>5437</v>
      </c>
    </row>
    <row r="5330" spans="1:1">
      <c r="A5330" s="13" t="s">
        <v>5438</v>
      </c>
    </row>
    <row r="5331" spans="1:1">
      <c r="A5331" s="13" t="s">
        <v>5439</v>
      </c>
    </row>
    <row r="5332" spans="1:1">
      <c r="A5332" s="13" t="s">
        <v>5440</v>
      </c>
    </row>
    <row r="5333" spans="1:1">
      <c r="A5333" s="13" t="s">
        <v>5441</v>
      </c>
    </row>
    <row r="5334" spans="1:1">
      <c r="A5334" s="13" t="s">
        <v>265</v>
      </c>
    </row>
    <row r="5335" spans="1:1">
      <c r="A5335" s="13" t="s">
        <v>5442</v>
      </c>
    </row>
    <row r="5336" spans="1:1">
      <c r="A5336" s="13" t="s">
        <v>5443</v>
      </c>
    </row>
    <row r="5337" spans="1:1">
      <c r="A5337" s="13" t="s">
        <v>5444</v>
      </c>
    </row>
    <row r="5338" spans="1:1">
      <c r="A5338" s="13" t="s">
        <v>5445</v>
      </c>
    </row>
    <row r="5339" spans="1:1">
      <c r="A5339" s="13" t="s">
        <v>5446</v>
      </c>
    </row>
    <row r="5340" spans="1:1">
      <c r="A5340" s="13" t="s">
        <v>238</v>
      </c>
    </row>
    <row r="5341" spans="1:1">
      <c r="A5341" s="13" t="s">
        <v>5447</v>
      </c>
    </row>
    <row r="5342" spans="1:1">
      <c r="A5342" s="13" t="s">
        <v>5448</v>
      </c>
    </row>
    <row r="5343" spans="1:1">
      <c r="A5343" s="13" t="s">
        <v>5449</v>
      </c>
    </row>
    <row r="5344" spans="1:1">
      <c r="A5344" s="13" t="s">
        <v>5450</v>
      </c>
    </row>
    <row r="5345" spans="1:1">
      <c r="A5345" s="13" t="s">
        <v>5451</v>
      </c>
    </row>
    <row r="5346" spans="1:1">
      <c r="A5346" s="13" t="s">
        <v>5452</v>
      </c>
    </row>
    <row r="5347" spans="1:1">
      <c r="A5347" s="13" t="s">
        <v>5453</v>
      </c>
    </row>
    <row r="5348" spans="1:1">
      <c r="A5348" s="13" t="s">
        <v>222</v>
      </c>
    </row>
    <row r="5349" spans="1:1">
      <c r="A5349" s="13" t="s">
        <v>5454</v>
      </c>
    </row>
    <row r="5350" spans="1:1">
      <c r="A5350" s="13" t="s">
        <v>5455</v>
      </c>
    </row>
    <row r="5351" spans="1:1">
      <c r="A5351" s="13" t="s">
        <v>5456</v>
      </c>
    </row>
    <row r="5352" spans="1:1">
      <c r="A5352" s="13" t="s">
        <v>5457</v>
      </c>
    </row>
    <row r="5353" spans="1:1">
      <c r="A5353" s="13" t="s">
        <v>5458</v>
      </c>
    </row>
    <row r="5354" spans="1:1">
      <c r="A5354" s="13" t="s">
        <v>5459</v>
      </c>
    </row>
    <row r="5355" spans="1:1">
      <c r="A5355" s="13" t="s">
        <v>5460</v>
      </c>
    </row>
    <row r="5356" spans="1:1">
      <c r="A5356" s="13" t="s">
        <v>5461</v>
      </c>
    </row>
    <row r="5357" spans="1:1">
      <c r="A5357" s="13" t="s">
        <v>5462</v>
      </c>
    </row>
    <row r="5358" spans="1:1">
      <c r="A5358" s="13" t="s">
        <v>5463</v>
      </c>
    </row>
    <row r="5359" spans="1:1">
      <c r="A5359" s="13" t="s">
        <v>5464</v>
      </c>
    </row>
    <row r="5360" spans="1:1">
      <c r="A5360" s="13" t="s">
        <v>5465</v>
      </c>
    </row>
    <row r="5361" spans="1:1">
      <c r="A5361" s="13" t="s">
        <v>5466</v>
      </c>
    </row>
    <row r="5362" spans="1:1">
      <c r="A5362" s="13" t="s">
        <v>5467</v>
      </c>
    </row>
    <row r="5363" spans="1:1">
      <c r="A5363" s="13" t="s">
        <v>5468</v>
      </c>
    </row>
    <row r="5364" spans="1:1">
      <c r="A5364" s="13" t="s">
        <v>5469</v>
      </c>
    </row>
    <row r="5365" spans="1:1">
      <c r="A5365" s="13" t="s">
        <v>5470</v>
      </c>
    </row>
    <row r="5366" spans="1:1">
      <c r="A5366" s="13" t="s">
        <v>5471</v>
      </c>
    </row>
    <row r="5367" spans="1:1">
      <c r="A5367" s="13" t="s">
        <v>5472</v>
      </c>
    </row>
    <row r="5368" spans="1:1">
      <c r="A5368" s="13" t="s">
        <v>5473</v>
      </c>
    </row>
    <row r="5369" spans="1:1">
      <c r="A5369" s="13" t="s">
        <v>5474</v>
      </c>
    </row>
    <row r="5370" spans="1:1">
      <c r="A5370" s="13" t="s">
        <v>5475</v>
      </c>
    </row>
    <row r="5371" spans="1:1">
      <c r="A5371" s="13" t="s">
        <v>5476</v>
      </c>
    </row>
    <row r="5372" spans="1:1">
      <c r="A5372" s="13" t="s">
        <v>5477</v>
      </c>
    </row>
    <row r="5373" spans="1:1">
      <c r="A5373" s="13" t="s">
        <v>5478</v>
      </c>
    </row>
    <row r="5374" spans="1:1">
      <c r="A5374" s="13" t="s">
        <v>5479</v>
      </c>
    </row>
    <row r="5375" spans="1:1">
      <c r="A5375" s="13" t="s">
        <v>5480</v>
      </c>
    </row>
    <row r="5376" spans="1:1">
      <c r="A5376" s="13" t="s">
        <v>5481</v>
      </c>
    </row>
    <row r="5377" spans="1:1">
      <c r="A5377" s="13" t="s">
        <v>5482</v>
      </c>
    </row>
    <row r="5378" spans="1:1">
      <c r="A5378" s="13" t="s">
        <v>5483</v>
      </c>
    </row>
    <row r="5379" spans="1:1">
      <c r="A5379" s="13" t="s">
        <v>5484</v>
      </c>
    </row>
    <row r="5380" spans="1:1">
      <c r="A5380" s="13" t="s">
        <v>5485</v>
      </c>
    </row>
    <row r="5381" spans="1:1">
      <c r="A5381" s="13" t="s">
        <v>5486</v>
      </c>
    </row>
    <row r="5382" spans="1:1">
      <c r="A5382" s="13" t="s">
        <v>5487</v>
      </c>
    </row>
    <row r="5383" spans="1:1">
      <c r="A5383" s="13" t="s">
        <v>5488</v>
      </c>
    </row>
    <row r="5384" spans="1:1">
      <c r="A5384" s="13" t="s">
        <v>5489</v>
      </c>
    </row>
    <row r="5385" spans="1:1">
      <c r="A5385" s="13" t="s">
        <v>5490</v>
      </c>
    </row>
    <row r="5386" spans="1:1">
      <c r="A5386" s="13" t="s">
        <v>5491</v>
      </c>
    </row>
    <row r="5387" spans="1:1">
      <c r="A5387" s="13" t="s">
        <v>5492</v>
      </c>
    </row>
    <row r="5388" spans="1:1">
      <c r="A5388" s="13" t="s">
        <v>5493</v>
      </c>
    </row>
    <row r="5389" spans="1:1">
      <c r="A5389" s="13" t="s">
        <v>5494</v>
      </c>
    </row>
    <row r="5390" spans="1:1">
      <c r="A5390" s="13" t="s">
        <v>5495</v>
      </c>
    </row>
    <row r="5391" spans="1:1">
      <c r="A5391" s="13" t="s">
        <v>5496</v>
      </c>
    </row>
    <row r="5392" spans="1:1">
      <c r="A5392" s="13" t="s">
        <v>5497</v>
      </c>
    </row>
    <row r="5393" spans="1:1">
      <c r="A5393" s="13" t="s">
        <v>5498</v>
      </c>
    </row>
    <row r="5394" spans="1:1">
      <c r="A5394" s="13" t="s">
        <v>5499</v>
      </c>
    </row>
    <row r="5395" spans="1:1">
      <c r="A5395" s="13" t="s">
        <v>5500</v>
      </c>
    </row>
    <row r="5396" spans="1:1">
      <c r="A5396" s="13" t="s">
        <v>289</v>
      </c>
    </row>
    <row r="5397" spans="1:1">
      <c r="A5397" s="13" t="s">
        <v>5501</v>
      </c>
    </row>
    <row r="5398" spans="1:1">
      <c r="A5398" s="13" t="s">
        <v>5502</v>
      </c>
    </row>
    <row r="5399" spans="1:1">
      <c r="A5399" s="13" t="s">
        <v>5503</v>
      </c>
    </row>
    <row r="5400" spans="1:1">
      <c r="A5400" s="13" t="s">
        <v>5504</v>
      </c>
    </row>
    <row r="5401" spans="1:1">
      <c r="A5401" s="13" t="s">
        <v>5505</v>
      </c>
    </row>
    <row r="5402" spans="1:1">
      <c r="A5402" s="13" t="s">
        <v>5506</v>
      </c>
    </row>
    <row r="5403" spans="1:1">
      <c r="A5403" s="13" t="s">
        <v>5507</v>
      </c>
    </row>
    <row r="5404" spans="1:1">
      <c r="A5404" s="13" t="s">
        <v>5508</v>
      </c>
    </row>
    <row r="5405" spans="1:1">
      <c r="A5405" s="13" t="s">
        <v>5509</v>
      </c>
    </row>
    <row r="5406" spans="1:1">
      <c r="A5406" s="13" t="s">
        <v>5510</v>
      </c>
    </row>
    <row r="5407" spans="1:1">
      <c r="A5407" s="13" t="s">
        <v>5511</v>
      </c>
    </row>
    <row r="5408" spans="1:1">
      <c r="A5408" s="13" t="s">
        <v>5512</v>
      </c>
    </row>
    <row r="5409" spans="1:1">
      <c r="A5409" s="13" t="s">
        <v>5513</v>
      </c>
    </row>
    <row r="5410" spans="1:1">
      <c r="A5410" s="13" t="s">
        <v>5514</v>
      </c>
    </row>
    <row r="5411" spans="1:1">
      <c r="A5411" s="13" t="s">
        <v>5515</v>
      </c>
    </row>
    <row r="5412" spans="1:1">
      <c r="A5412" s="13" t="s">
        <v>5516</v>
      </c>
    </row>
    <row r="5413" spans="1:1">
      <c r="A5413" s="13" t="s">
        <v>5517</v>
      </c>
    </row>
    <row r="5414" spans="1:1">
      <c r="A5414" s="13" t="s">
        <v>5518</v>
      </c>
    </row>
    <row r="5415" spans="1:1">
      <c r="A5415" s="13" t="s">
        <v>5519</v>
      </c>
    </row>
    <row r="5416" spans="1:1">
      <c r="A5416" s="13" t="s">
        <v>5520</v>
      </c>
    </row>
    <row r="5417" spans="1:1">
      <c r="A5417" s="13" t="s">
        <v>5521</v>
      </c>
    </row>
    <row r="5418" spans="1:1">
      <c r="A5418" s="13" t="s">
        <v>5522</v>
      </c>
    </row>
    <row r="5419" spans="1:1">
      <c r="A5419" s="13" t="s">
        <v>5523</v>
      </c>
    </row>
    <row r="5420" spans="1:1">
      <c r="A5420" s="13" t="s">
        <v>5524</v>
      </c>
    </row>
    <row r="5421" spans="1:1">
      <c r="A5421" s="13" t="s">
        <v>5525</v>
      </c>
    </row>
    <row r="5422" spans="1:1">
      <c r="A5422" s="13" t="s">
        <v>5526</v>
      </c>
    </row>
    <row r="5423" spans="1:1">
      <c r="A5423" s="13" t="s">
        <v>5527</v>
      </c>
    </row>
    <row r="5424" spans="1:1">
      <c r="A5424" s="13" t="s">
        <v>5528</v>
      </c>
    </row>
    <row r="5425" spans="1:1">
      <c r="A5425" s="13" t="s">
        <v>5529</v>
      </c>
    </row>
    <row r="5426" spans="1:1">
      <c r="A5426" s="13" t="s">
        <v>5530</v>
      </c>
    </row>
    <row r="5427" spans="1:1">
      <c r="A5427" s="13" t="s">
        <v>5531</v>
      </c>
    </row>
    <row r="5428" spans="1:1">
      <c r="A5428" s="13" t="s">
        <v>5532</v>
      </c>
    </row>
    <row r="5429" spans="1:1">
      <c r="A5429" s="13" t="s">
        <v>5533</v>
      </c>
    </row>
    <row r="5430" spans="1:1">
      <c r="A5430" s="13" t="s">
        <v>5534</v>
      </c>
    </row>
    <row r="5431" spans="1:1">
      <c r="A5431" s="13" t="s">
        <v>5535</v>
      </c>
    </row>
    <row r="5432" spans="1:1">
      <c r="A5432" s="13" t="s">
        <v>5536</v>
      </c>
    </row>
    <row r="5433" spans="1:1">
      <c r="A5433" s="13" t="s">
        <v>5537</v>
      </c>
    </row>
    <row r="5434" spans="1:1">
      <c r="A5434" s="13" t="s">
        <v>5538</v>
      </c>
    </row>
    <row r="5435" spans="1:1">
      <c r="A5435" s="13" t="s">
        <v>5539</v>
      </c>
    </row>
    <row r="5436" spans="1:1">
      <c r="A5436" s="13" t="s">
        <v>5540</v>
      </c>
    </row>
    <row r="5437" spans="1:1">
      <c r="A5437" s="13" t="s">
        <v>5541</v>
      </c>
    </row>
    <row r="5438" spans="1:1">
      <c r="A5438" s="13" t="s">
        <v>5542</v>
      </c>
    </row>
    <row r="5439" spans="1:1">
      <c r="A5439" s="13" t="s">
        <v>5543</v>
      </c>
    </row>
    <row r="5440" spans="1:1">
      <c r="A5440" s="13" t="s">
        <v>5544</v>
      </c>
    </row>
    <row r="5441" spans="1:1">
      <c r="A5441" s="13" t="s">
        <v>5545</v>
      </c>
    </row>
    <row r="5442" spans="1:1">
      <c r="A5442" s="13" t="s">
        <v>5546</v>
      </c>
    </row>
    <row r="5443" spans="1:1">
      <c r="A5443" s="13" t="s">
        <v>5547</v>
      </c>
    </row>
    <row r="5444" spans="1:1">
      <c r="A5444" s="13" t="s">
        <v>5548</v>
      </c>
    </row>
    <row r="5445" spans="1:1">
      <c r="A5445" s="13" t="s">
        <v>5549</v>
      </c>
    </row>
    <row r="5446" spans="1:1">
      <c r="A5446" s="13" t="s">
        <v>5550</v>
      </c>
    </row>
    <row r="5447" spans="1:1">
      <c r="A5447" s="13" t="s">
        <v>5551</v>
      </c>
    </row>
    <row r="5448" spans="1:1">
      <c r="A5448" s="13" t="s">
        <v>5552</v>
      </c>
    </row>
    <row r="5449" spans="1:1">
      <c r="A5449" s="13" t="s">
        <v>5553</v>
      </c>
    </row>
    <row r="5450" spans="1:1">
      <c r="A5450" s="13" t="s">
        <v>5554</v>
      </c>
    </row>
    <row r="5451" spans="1:1">
      <c r="A5451" s="13" t="s">
        <v>5555</v>
      </c>
    </row>
    <row r="5452" spans="1:1">
      <c r="A5452" s="13" t="s">
        <v>5556</v>
      </c>
    </row>
    <row r="5453" spans="1:1">
      <c r="A5453" s="13" t="s">
        <v>5557</v>
      </c>
    </row>
    <row r="5454" spans="1:1">
      <c r="A5454" s="13" t="s">
        <v>5558</v>
      </c>
    </row>
    <row r="5455" spans="1:1">
      <c r="A5455" s="13" t="s">
        <v>5559</v>
      </c>
    </row>
    <row r="5456" spans="1:1">
      <c r="A5456" s="13" t="s">
        <v>5560</v>
      </c>
    </row>
    <row r="5457" spans="1:1">
      <c r="A5457" s="13" t="s">
        <v>5561</v>
      </c>
    </row>
    <row r="5458" spans="1:1">
      <c r="A5458" s="13" t="s">
        <v>5562</v>
      </c>
    </row>
    <row r="5459" spans="1:1">
      <c r="A5459" s="13" t="s">
        <v>5563</v>
      </c>
    </row>
    <row r="5460" spans="1:1">
      <c r="A5460" s="13" t="s">
        <v>5564</v>
      </c>
    </row>
    <row r="5461" spans="1:1">
      <c r="A5461" s="13" t="s">
        <v>5565</v>
      </c>
    </row>
    <row r="5462" spans="1:1">
      <c r="A5462" s="13" t="s">
        <v>5566</v>
      </c>
    </row>
    <row r="5463" spans="1:1">
      <c r="A5463" s="13" t="s">
        <v>5567</v>
      </c>
    </row>
    <row r="5464" spans="1:1">
      <c r="A5464" s="13" t="s">
        <v>5568</v>
      </c>
    </row>
    <row r="5465" spans="1:1">
      <c r="A5465" s="13" t="s">
        <v>5569</v>
      </c>
    </row>
    <row r="5466" spans="1:1">
      <c r="A5466" s="13" t="s">
        <v>5570</v>
      </c>
    </row>
    <row r="5467" spans="1:1">
      <c r="A5467" s="13" t="s">
        <v>5571</v>
      </c>
    </row>
    <row r="5468" spans="1:1">
      <c r="A5468" s="13" t="s">
        <v>5572</v>
      </c>
    </row>
    <row r="5469" spans="1:1">
      <c r="A5469" s="13" t="s">
        <v>5573</v>
      </c>
    </row>
    <row r="5470" spans="1:1">
      <c r="A5470" s="13" t="s">
        <v>5574</v>
      </c>
    </row>
    <row r="5471" spans="1:1">
      <c r="A5471" s="13" t="s">
        <v>5575</v>
      </c>
    </row>
    <row r="5472" spans="1:1">
      <c r="A5472" s="13" t="s">
        <v>5576</v>
      </c>
    </row>
    <row r="5473" spans="1:1">
      <c r="A5473" s="13" t="s">
        <v>220</v>
      </c>
    </row>
    <row r="5474" spans="1:1">
      <c r="A5474" s="13" t="s">
        <v>5577</v>
      </c>
    </row>
    <row r="5475" spans="1:1">
      <c r="A5475" s="13" t="s">
        <v>5578</v>
      </c>
    </row>
    <row r="5476" spans="1:1">
      <c r="A5476" s="13" t="s">
        <v>5579</v>
      </c>
    </row>
    <row r="5477" spans="1:1">
      <c r="A5477" s="13" t="s">
        <v>5580</v>
      </c>
    </row>
    <row r="5478" spans="1:1">
      <c r="A5478" s="13" t="s">
        <v>5581</v>
      </c>
    </row>
    <row r="5479" spans="1:1">
      <c r="A5479" s="13" t="s">
        <v>5582</v>
      </c>
    </row>
    <row r="5480" spans="1:1">
      <c r="A5480" s="13" t="s">
        <v>5583</v>
      </c>
    </row>
    <row r="5481" spans="1:1">
      <c r="A5481" s="13" t="s">
        <v>5584</v>
      </c>
    </row>
    <row r="5482" spans="1:1">
      <c r="A5482" s="13" t="s">
        <v>286</v>
      </c>
    </row>
    <row r="5483" spans="1:1">
      <c r="A5483" s="13" t="s">
        <v>5585</v>
      </c>
    </row>
    <row r="5484" spans="1:1">
      <c r="A5484" s="13" t="s">
        <v>291</v>
      </c>
    </row>
    <row r="5485" spans="1:1">
      <c r="A5485" s="13" t="s">
        <v>5586</v>
      </c>
    </row>
    <row r="5486" spans="1:1">
      <c r="A5486" s="13" t="s">
        <v>5587</v>
      </c>
    </row>
    <row r="5487" spans="1:1">
      <c r="A5487" s="13" t="s">
        <v>288</v>
      </c>
    </row>
    <row r="5488" spans="1:1">
      <c r="A5488" s="13" t="s">
        <v>5588</v>
      </c>
    </row>
    <row r="5489" spans="1:1">
      <c r="A5489" s="13" t="s">
        <v>5589</v>
      </c>
    </row>
    <row r="5490" spans="1:1">
      <c r="A5490" s="13" t="s">
        <v>5590</v>
      </c>
    </row>
    <row r="5491" spans="1:1">
      <c r="A5491" s="13" t="s">
        <v>5591</v>
      </c>
    </row>
    <row r="5492" spans="1:1">
      <c r="A5492" s="13" t="s">
        <v>5592</v>
      </c>
    </row>
    <row r="5493" spans="1:1">
      <c r="A5493" s="13" t="s">
        <v>5593</v>
      </c>
    </row>
    <row r="5494" spans="1:1">
      <c r="A5494" s="13" t="s">
        <v>5594</v>
      </c>
    </row>
    <row r="5495" spans="1:1">
      <c r="A5495" s="13" t="s">
        <v>5595</v>
      </c>
    </row>
  </sheetData>
  <autoFilter ref="A1:R5495" xr:uid="{643BB8ED-E048-A04B-BE28-F1D9B8C9CD04}"/>
  <hyperlinks>
    <hyperlink ref="A104" r:id="rId1" display="https://www.medicaldesignandoutsourcing.com/2023-Medical-Design-and-Outsourcing-BIG-100/medtronic-largest-medical-device-companies/" xr:uid="{CC28EE83-0BAB-1342-8BAF-69518F221BBA}"/>
    <hyperlink ref="A105" r:id="rId2" display="https://www.medicaldesignandoutsourcing.com/2023-Medical-Design-and-Outsourcing-BIG-100/johnson-johnson-medtech-largest-medical-device-companies/" xr:uid="{C3007E16-B1D8-9449-8F94-3AABEE34FDB8}"/>
    <hyperlink ref="A106" r:id="rId3" display="https://www.medicaldesignandoutsourcing.com/2023-Medical-Design-and-Outsourcing-BIG-100/siemens-healthineers-largest-medical-device-companies/" xr:uid="{3034238F-6A14-C647-9771-E3E8E8CDAC99}"/>
    <hyperlink ref="A107" r:id="rId4" display="https://www.medicaldesignandoutsourcing.com/2023-Medical-Design-and-Outsourcing-BIG-100/medline-industries-largest-medical-device-companies/" xr:uid="{0D4EF0D5-BDE7-FD47-B24D-CF590B77894C}"/>
    <hyperlink ref="A108" r:id="rId5" display="https://www.medicaldesignandoutsourcing.com/2023-Medical-Design-and-Outsourcing-BIG-100/royal-philips-largest-medical-device-companies/" xr:uid="{0358F730-4A6A-1E4F-88F2-E17C44C15303}"/>
    <hyperlink ref="A109" r:id="rId6" display="https://www.medicaldesignandoutsourcing.com/2023-Medical-Design-and-Outsourcing-BIG-100/stryker-largest-medical-device-companies/" xr:uid="{75CDA34F-EB4D-BE40-835A-E67CA44B9233}"/>
    <hyperlink ref="A110" r:id="rId7" display="https://www.medicaldesignandoutsourcing.com/2023-Medical-Design-and-Outsourcing-BIG-100/ge-healthcare-largest-medical-device-companies/" xr:uid="{E1C3B6F1-FB5B-A447-926D-F544EBF16541}"/>
    <hyperlink ref="A111" r:id="rId8" display="https://www.medicaldesignandoutsourcing.com/2023-Medical-Design-and-Outsourcing-BIG-100/cardinal-health-medical-segment/" xr:uid="{F3C20303-8F09-AE44-8CCF-04CD900D833D}"/>
    <hyperlink ref="A112" r:id="rId9" display="https://www.medicaldesignandoutsourcing.com/2023-Medical-Design-and-Outsourcing-BIG-100/baxter-largest-medical-device-companies/" xr:uid="{3D7DD239-5BAB-514E-A6B3-EB78E8D2F472}"/>
    <hyperlink ref="A113" r:id="rId10" display="https://www.medicaldesignandoutsourcing.com/2023-Medical-Design-and-Outsourcing-BIG-100/abbott-medical-device-segment/" xr:uid="{07AF1764-A1FD-1145-B3F6-3451110037FD}"/>
    <hyperlink ref="A114" r:id="rId11" display="https://www.medicaldesignandoutsourcing.com/2023-Medical-Design-and-Outsourcing-BIG-100/bd-medical-and-interventional-segments/" xr:uid="{783191FD-9BD0-4542-BE89-5FD23740872E}"/>
    <hyperlink ref="A115" r:id="rId12" display="https://www.medicaldesignandoutsourcing.com/2023-Medical-Design-and-Outsourcing-BIG-100/boston-scientific-largest-medical-device-companies/" xr:uid="{9217F2CC-12C6-CF40-9124-90399A8E0960}"/>
    <hyperlink ref="A116" r:id="rId13" display="https://www.medicaldesignandoutsourcing.com/2023-Medical-Design-and-Outsourcing-BIG-100/henry-schein-largest-medical-device-companies/" xr:uid="{7EE88B1D-D090-4742-94EC-3C757DE97C89}"/>
    <hyperlink ref="A117" r:id="rId14" display="https://www.medicaldesignandoutsourcing.com/2023-Medical-Design-and-Outsourcing-BIG-100/owens-minor-largest-medical-device-companies/" xr:uid="{2F5C90FA-D153-8A43-B178-8DB098F96B02}"/>
    <hyperlink ref="A118" r:id="rId15" display="https://www.medicaldesignandoutsourcing.com/2023-Medical-Design-and-Outsourcing-BIG-100/b-braun-largest-medical-device-companies/" xr:uid="{67DF6176-754C-5345-B23A-628C308A6CAA}"/>
    <hyperlink ref="A119" r:id="rId16" display="https://www.medicaldesignandoutsourcing.com/2023-Medical-Design-and-Outsourcing-BIG-100/alcon-largest-medical-device-companies/" xr:uid="{105FC0E8-B326-3C40-8CE2-49C0E45BDF93}"/>
    <hyperlink ref="A120" r:id="rId17" display="https://www.medicaldesignandoutsourcing.com/2023-Medical-Design-and-Outsourcing-BIG-100/3m-healthcare-largest-medical-device-companies/" xr:uid="{27B24016-90F0-6C42-BCE6-118B391FC6F6}"/>
    <hyperlink ref="A121" r:id="rId18" display="https://www.medicaldesignandoutsourcing.com/2023-Medical-Design-and-Outsourcing-BIG-100/fujifilm-holdings-healthcare-largest-medical-device-companies/" xr:uid="{CB40AD21-D589-1040-AE11-3FBB8525F0BA}"/>
    <hyperlink ref="A122" r:id="rId19" display="https://www.medicaldesignandoutsourcing.com/2023-Medical-Design-and-Outsourcing-BIG-100/zimmer-biomet-largest-medical-device-companies/" xr:uid="{0025AE8F-4304-DF4E-8C10-D79ECF0D30EF}"/>
    <hyperlink ref="A123" r:id="rId20" display="https://www.medicaldesignandoutsourcing.com/2023-Medical-Design-and-Outsourcing-BIG-100/olympus-largest-medical-device-companies/" xr:uid="{AFF8BF8D-3FE4-6443-98CA-137B0F2A0906}"/>
    <hyperlink ref="A124" r:id="rId21" display="https://www.medicaldesignandoutsourcing.com/2023-Medical-Design-and-Outsourcing-BIG-100/terumo-largest-medical-device-companies/" xr:uid="{9E6FABDE-F98D-8B40-B85E-7DF87463AFFC}"/>
    <hyperlink ref="A125" r:id="rId22" display="https://www.medicaldesignandoutsourcing.com/2023-Medical-Design-and-Outsourcing-BIG-100/intuitive-surgical-largest-medical-device-companies/" xr:uid="{F4529919-F198-754B-BCC5-ACD2FE6C8414}"/>
    <hyperlink ref="A126" r:id="rId23" display="https://www.medicaldesignandoutsourcing.com/2023-Medical-Design-and-Outsourcing-BIG-100/edwards-lifesciences-largest-medical-device-companies/" xr:uid="{62CEC86C-F89A-C547-85B5-C5EA78529AC3}"/>
    <hyperlink ref="A127" r:id="rId24" display="https://www.medicaldesignandoutsourcing.com/2023-Medical-Design-and-Outsourcing-BIG-100/smith-nephew-largest-medical-device-companies/" xr:uid="{1244CFC3-2388-BA42-B278-CFEDF7235F04}"/>
    <hyperlink ref="A128" r:id="rId25" display="https://www.medicaldesignandoutsourcing.com/2023-Medical-Design-and-Outsourcing-BIG-100/steris-largest-medical-device-companies/" xr:uid="{4AA4E883-D7DF-3347-9DCC-36A37D331CAF}"/>
    <hyperlink ref="A129" r:id="rId26" display="https://www.medicaldesignandoutsourcing.com/2023-Medical-Design-and-Outsourcing-BIG-100/hologic/" xr:uid="{F3222929-0CCA-7845-9095-2744D6D7F0EB}"/>
    <hyperlink ref="A130" r:id="rId27" display="https://www.medicaldesignandoutsourcing.com/2023-Medical-Design-and-Outsourcing-BIG-100/mindray/" xr:uid="{6E088D08-F022-4446-94E2-E82798C7C9F3}"/>
    <hyperlink ref="A131" r:id="rId28" display="https://www.medicaldesignandoutsourcing.com/2023-Medical-Design-and-Outsourcing-BIG-100/fresenius-medical-care-healthcare-products/" xr:uid="{A811F17D-EA6F-0F46-8B07-40437DD4886A}"/>
    <hyperlink ref="A132" r:id="rId29" display="https://www.medicaldesignandoutsourcing.com/2023-Medical-Design-and-Outsourcing-BIG-100/dentsply-sirona/" xr:uid="{C29EDF8E-21F7-0D4C-A6B1-7B500FC28134}"/>
    <hyperlink ref="A133" r:id="rId30" display="https://www.medicaldesignandoutsourcing.com/2023-Medical-Design-and-Outsourcing-BIG-100/sonova/" xr:uid="{42137747-0E55-4B4C-BE4D-DF205F5694DD}"/>
    <hyperlink ref="A134" r:id="rId31" display="https://www.medicaldesignandoutsourcing.com/2023-Medical-Design-and-Outsourcing-BIG-100/canon-medical/" xr:uid="{A7FFB413-C519-0446-9B29-CA9F0D857CD3}"/>
    <hyperlink ref="A135" r:id="rId32" display="https://www.medicaldesignandoutsourcing.com/2023-Medical-Design-and-Outsourcing-BIG-100/align-technology/" xr:uid="{1E021043-7D39-9B48-80DD-BA3F33B29570}"/>
    <hyperlink ref="A136" r:id="rId33" display="https://www.medicaldesignandoutsourcing.com/2023-Medical-Design-and-Outsourcing-BIG-100/hoya-life-care-segment/" xr:uid="{F749B696-9853-1C44-BCE0-FD1A473D57B5}"/>
    <hyperlink ref="A137" r:id="rId34" display="https://www.medicaldesignandoutsourcing.com/2023-Medical-Design-and-Outsourcing-BIG-100/resmed/" xr:uid="{38D2DE34-116B-4549-BC1D-78E7E1697218}"/>
    <hyperlink ref="A138" r:id="rId35" display="https://www.medicaldesignandoutsourcing.com/2023-Medical-Design-and-Outsourcing-BIG-100/cooper-cos/" xr:uid="{9A2ABFBA-B608-E642-8FF9-E9719099666E}"/>
    <hyperlink ref="A139" r:id="rId36" display="https://www.medicaldesignandoutsourcing.com/2023-Medical-Design-and-Outsourcing-BIG-100/nipro-medical-segment/" xr:uid="{F021878C-547B-9948-BC5F-FA42F7C63A3E}"/>
    <hyperlink ref="A140" r:id="rId37" display="https://www.medicaldesignandoutsourcing.com/2023-Medical-Design-and-Outsourcing-BIG-100/coloplast/" xr:uid="{46E7F82C-F1AE-FA4C-875B-BDA6129E7127}"/>
    <hyperlink ref="A141" r:id="rId38" display="https://www.medicaldesignandoutsourcing.com/2023-Medical-Design-and-Outsourcing-BIG-100/dexcom/" xr:uid="{4062DA42-4860-7946-8FCA-E80DFBF639C7}"/>
    <hyperlink ref="A142" r:id="rId39" display="https://www.medicaldesignandoutsourcing.com/2023-Medical-Design-and-Outsourcing-BIG-100/bio-rad/" xr:uid="{11F8DBED-8984-6147-958B-40C1FA23BB2A}"/>
    <hyperlink ref="A143" r:id="rId40" display="https://www.medicaldesignandoutsourcing.com/2023-Medical-Design-and-Outsourcing-BIG-100/getinge/" xr:uid="{AFC6836D-4485-3046-A40F-337AFE65FBEF}"/>
    <hyperlink ref="A144" r:id="rId41" display="https://www.medicaldesignandoutsourcing.com/2023-Medical-Design-and-Outsourcing-BIG-100/teleflex/" xr:uid="{88ACD86C-200E-7F43-80D5-768B8643F56F}"/>
    <hyperlink ref="A145" r:id="rId42" display="https://www.medicaldesignandoutsourcing.com/2023-Medical-Design-and-Outsourcing-BIG-100/demant-hearing-healthcare-segment/" xr:uid="{D3C0040F-8063-464C-8029-459395F8D3D4}"/>
    <hyperlink ref="A146" r:id="rId43" display="https://www.medicaldesignandoutsourcing.com/2023-Medical-Design-and-Outsourcing-BIG-100/envista/" xr:uid="{B93FEE90-CADC-2749-A23B-93214AFE62B7}"/>
    <hyperlink ref="A147" r:id="rId44" display="https://www.medicaldesignandoutsourcing.com/2023-Medical-Design-and-Outsourcing-BIG-100/bruker/" xr:uid="{E8446ADD-B220-8640-8F80-48939054B739}"/>
    <hyperlink ref="A148" r:id="rId45" display="https://www.medicaldesignandoutsourcing.com/2023-Medical-Design-and-Outsourcing-BIG-100/ws-audiology/" xr:uid="{C8FBCEF5-B125-B941-A609-DADFF1B72C9A}"/>
    <hyperlink ref="A149" r:id="rId46" display="https://www.medicaldesignandoutsourcing.com/2023-Medical-Design-and-Outsourcing-BIG-100/paul-hartmann/" xr:uid="{6EAF84AA-3A35-1946-B71F-6B9B905D5555}"/>
    <hyperlink ref="A150" r:id="rId47" display="https://www.medicaldesignandoutsourcing.com/2023-Medical-Design-and-Outsourcing-BIG-100/icu-medical/" xr:uid="{158C6D26-95D9-9249-8C8E-9825F8768CA0}"/>
    <hyperlink ref="A151" r:id="rId48" display="https://www.medicaldesignandoutsourcing.com/2023-Medical-Design-and-Outsourcing-BIG-100/amplifon/" xr:uid="{A7510474-67DA-9A42-BB06-2612FE7E27FF}"/>
    <hyperlink ref="A152" r:id="rId49" display="https://www.medicaldesignandoutsourcing.com/2023-Medical-Design-and-Outsourcing-BIG-100/straumann/" xr:uid="{8882F13B-71E1-9D4C-9BA2-32D1A418BF42}"/>
    <hyperlink ref="A153" r:id="rId50" display="https://www.medicaldesignandoutsourcing.com/2023-Medical-Design-and-Outsourcing-BIG-100/cook-medical/" xr:uid="{6681C0A1-0D34-054E-BF34-EB3030ACD35A}"/>
    <hyperlink ref="A154" r:id="rId51" display="https://www.medicaldesignandoutsourcing.com/2023-Medical-Design-and-Outsourcing-BIG-100/convatec/" xr:uid="{9488E1EB-6224-FD41-A1D8-030E3888E78D}"/>
    <hyperlink ref="A155" r:id="rId52" display="https://www.medicaldesignandoutsourcing.com/2023-Medical-Design-and-Outsourcing-BIG-100/masimo/" xr:uid="{70841959-46CB-6F4C-BF51-24DAE1934C86}"/>
    <hyperlink ref="A156" r:id="rId53" display="https://www.medicaldesignandoutsourcing.com/2023-Medical-Design-and-Outsourcing-BIG-100/carl-zeiss-meditec/" xr:uid="{6CCF7B3F-B8D6-5344-96E0-C55BEC17F670}"/>
    <hyperlink ref="A157" r:id="rId54" display="https://www.medicaldesignandoutsourcing.com/2023-Medical-Design-and-Outsourcing-BIG-100/hu-group/" xr:uid="{D4C645F2-AFB8-9F45-9ECE-A8547B8E1AA6}"/>
    <hyperlink ref="A158" r:id="rId55" display="https://www.medicaldesignandoutsourcing.com/2023-Medical-Design-and-Outsourcing-BIG-100/drager-medical-division/" xr:uid="{821DCA90-B958-8041-A600-392491038E0C}"/>
    <hyperlink ref="A159" r:id="rId56" display="https://www.medicaldesignandoutsourcing.com/2023-Medical-Design-and-Outsourcing-BIG-100/elekta/" xr:uid="{5816841E-75D3-1542-A8DC-38600B5BB187}"/>
    <hyperlink ref="A160" r:id="rId57" display="https://www.medicaldesignandoutsourcing.com/2023-Medical-Design-and-Outsourcing-BIG-100/nihon-kohden/" xr:uid="{C03FF36E-E2EE-7043-A33F-1632B54BFAF5}"/>
    <hyperlink ref="A161" r:id="rId58" display="https://www.medicaldesignandoutsourcing.com/2023-Medical-Design-and-Outsourcing-BIG-100/enovis/" xr:uid="{670960A0-3DE4-804E-8187-EA0E84A67336}"/>
    <hyperlink ref="A162" r:id="rId59" display="https://www.medicaldesignandoutsourcing.com/2023-Medical-Design-and-Outsourcing-BIG-100/integra-lifesciences/" xr:uid="{08CC39BE-090C-2240-B3D9-2FED42BFEE21}"/>
    <hyperlink ref="A163" r:id="rId60" display="https://www.medicaldesignandoutsourcing.com/2023-Medical-Design-and-Outsourcing-BIG-100/integer/" xr:uid="{5F3C0C9F-CFF8-524B-84BA-F30611AEF767}"/>
    <hyperlink ref="A164" r:id="rId61" display="https://www.medicaldesignandoutsourcing.com/2023-Medical-Design-and-Outsourcing-BIG-100/insulet/" xr:uid="{CAE52C2A-4442-9446-BB3F-5CBC625D75BB}"/>
    <hyperlink ref="A165" r:id="rId62" display="https://www.medicaldesignandoutsourcing.com/2023-Medical-Design-and-Outsourcing-BIG-100/nuvasive/" xr:uid="{E4C99734-BC9A-5441-BAA3-FA88ED674568}"/>
    <hyperlink ref="A166" r:id="rId63" display="https://www.medicaldesignandoutsourcing.com/2023-Medical-Design-and-Outsourcing-BIG-100/haemonetics/" xr:uid="{5D0F8A8A-3AEC-F344-8CC7-6408D4E0AA37}"/>
    <hyperlink ref="A167" r:id="rId64" display="https://www.medicaldesignandoutsourcing.com/2023-Medical-Design-and-Outsourcing-BIG-100/merit-medical-systems/" xr:uid="{238AD104-C2FC-F94C-8938-D7AB44D3FC59}"/>
    <hyperlink ref="A168" r:id="rId65" display="https://www.medicaldesignandoutsourcing.com/2023-Medical-Design-and-Outsourcing-BIG-100/cochlear/" xr:uid="{164F97EE-0871-2543-8E89-D7B9DB6EE129}"/>
    <hyperlink ref="A169" r:id="rId66" display="https://www.medicaldesignandoutsourcing.com/2023-Medical-Design-and-Outsourcing-BIG-100/embecta/" xr:uid="{1B17566A-A4E7-0943-90FC-90719E237861}"/>
    <hyperlink ref="A170" r:id="rId67" display="https://www.medicaldesignandoutsourcing.com/2023-Medical-Design-and-Outsourcing-BIG-100/omron-healthcare/" xr:uid="{2C5E573D-0CF5-E249-B5A0-E085C8C53807}"/>
    <hyperlink ref="A171" r:id="rId68" display="https://www.medicaldesignandoutsourcing.com/2023-Medical-Design-and-Outsourcing-BIG-100/konica-minolta-healthcare-segment/" xr:uid="{37FF861A-0597-C143-B1BA-29F90D1EFCF6}"/>
    <hyperlink ref="A172" r:id="rId69" display="https://www.medicaldesignandoutsourcing.com/2023-Medical-Design-and-Outsourcing-BIG-100/conmed/" xr:uid="{C870FF0C-16C1-9845-B913-39938E28B1B5}"/>
    <hyperlink ref="A173" r:id="rId70" display="https://www.medicaldesignandoutsourcing.com/2023-Medical-Design-and-Outsourcing-BIG-100/fukuda-denshi/" xr:uid="{8FD7C8C1-02DA-8F43-8ADF-C7C1C782171B}"/>
    <hyperlink ref="A174" r:id="rId71" display="https://www.medicaldesignandoutsourcing.com/2023-Medical-Design-and-Outsourcing-BIG-100/globus-medical/" xr:uid="{ADF4728F-804C-6D46-B9E1-F21B605FCE20}"/>
    <hyperlink ref="A175" r:id="rId72" display="https://www.medicaldesignandoutsourcing.com/2023-Medical-Design-and-Outsourcing-BIG-100/livanova/" xr:uid="{3455046A-8D3D-FD43-9402-5B9896DE2519}"/>
    <hyperlink ref="A176" r:id="rId73" display="https://www.medicaldesignandoutsourcing.com/2023-Medical-Design-and-Outsourcing-BIG-100/fisher-paykel-healthcare/" xr:uid="{24721BAC-7E64-2D41-AD59-42FA42F81DD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B7AE-DB3A-EB46-A861-267AE8943880}">
  <dimension ref="A1:E21"/>
  <sheetViews>
    <sheetView tabSelected="1" workbookViewId="0">
      <selection activeCell="A15" sqref="A15"/>
    </sheetView>
  </sheetViews>
  <sheetFormatPr defaultColWidth="10.85546875" defaultRowHeight="15"/>
  <cols>
    <col min="1" max="2" width="32.140625" style="83" customWidth="1"/>
    <col min="3" max="3" width="26.42578125" style="83" customWidth="1"/>
    <col min="4" max="4" width="32.7109375" style="83" customWidth="1"/>
    <col min="5" max="5" width="35" style="83" bestFit="1" customWidth="1"/>
    <col min="6" max="16384" width="10.85546875" style="83"/>
  </cols>
  <sheetData>
    <row r="1" spans="1:5" ht="15.95">
      <c r="A1" s="82" t="s">
        <v>5596</v>
      </c>
      <c r="B1" s="82" t="s">
        <v>5597</v>
      </c>
      <c r="C1" s="82" t="s">
        <v>5598</v>
      </c>
      <c r="D1" s="82" t="s">
        <v>5599</v>
      </c>
      <c r="E1" s="82" t="s">
        <v>5600</v>
      </c>
    </row>
    <row r="2" spans="1:5" ht="15.95">
      <c r="A2" s="82" t="s">
        <v>266</v>
      </c>
      <c r="B2" s="82" t="s">
        <v>5601</v>
      </c>
      <c r="C2" s="82" t="s">
        <v>35</v>
      </c>
      <c r="D2" s="82"/>
      <c r="E2" s="82"/>
    </row>
    <row r="3" spans="1:5" ht="15.95">
      <c r="A3" s="82" t="s">
        <v>5602</v>
      </c>
      <c r="B3" s="82" t="s">
        <v>5601</v>
      </c>
      <c r="C3" s="82" t="s">
        <v>35</v>
      </c>
      <c r="D3" s="82"/>
      <c r="E3" s="82"/>
    </row>
    <row r="4" spans="1:5" ht="15.95">
      <c r="A4" s="82" t="s">
        <v>269</v>
      </c>
      <c r="B4" s="82" t="s">
        <v>5601</v>
      </c>
      <c r="C4" s="82" t="s">
        <v>35</v>
      </c>
      <c r="D4" s="82"/>
      <c r="E4" s="82"/>
    </row>
    <row r="5" spans="1:5" ht="15.95">
      <c r="A5" s="82" t="s">
        <v>273</v>
      </c>
      <c r="B5" s="82" t="s">
        <v>5601</v>
      </c>
      <c r="C5" s="82" t="s">
        <v>35</v>
      </c>
      <c r="D5" s="82"/>
      <c r="E5" s="82"/>
    </row>
    <row r="6" spans="1:5" ht="15.95">
      <c r="A6" s="82" t="s">
        <v>321</v>
      </c>
      <c r="B6" s="82" t="s">
        <v>5601</v>
      </c>
      <c r="C6" s="82" t="s">
        <v>24</v>
      </c>
      <c r="D6" s="82"/>
      <c r="E6" s="82"/>
    </row>
    <row r="7" spans="1:5" ht="15.95">
      <c r="A7" s="82" t="s">
        <v>267</v>
      </c>
      <c r="B7" s="82" t="s">
        <v>5601</v>
      </c>
      <c r="C7" s="82" t="s">
        <v>24</v>
      </c>
      <c r="D7" s="82"/>
      <c r="E7" s="82"/>
    </row>
    <row r="8" spans="1:5" ht="15.95">
      <c r="A8" s="82" t="s">
        <v>379</v>
      </c>
      <c r="B8" s="82" t="s">
        <v>5601</v>
      </c>
      <c r="C8" s="82" t="s">
        <v>24</v>
      </c>
      <c r="D8" s="82"/>
      <c r="E8" s="82"/>
    </row>
    <row r="9" spans="1:5" ht="15.95">
      <c r="A9" s="82" t="s">
        <v>320</v>
      </c>
      <c r="B9" s="82" t="s">
        <v>5601</v>
      </c>
      <c r="C9" s="82" t="s">
        <v>24</v>
      </c>
      <c r="D9" s="82"/>
      <c r="E9" s="82"/>
    </row>
    <row r="10" spans="1:5" ht="15.95">
      <c r="A10" s="82" t="s">
        <v>5603</v>
      </c>
      <c r="B10" s="82" t="s">
        <v>5604</v>
      </c>
      <c r="C10" s="82" t="s">
        <v>35</v>
      </c>
      <c r="D10" s="82"/>
      <c r="E10" s="82"/>
    </row>
    <row r="11" spans="1:5" ht="15.95">
      <c r="A11" s="82" t="s">
        <v>274</v>
      </c>
      <c r="B11" s="82" t="s">
        <v>5601</v>
      </c>
      <c r="C11" s="82" t="s">
        <v>24</v>
      </c>
      <c r="D11" s="82"/>
      <c r="E11" s="82"/>
    </row>
    <row r="12" spans="1:5" ht="15.95">
      <c r="A12" s="82" t="s">
        <v>5221</v>
      </c>
      <c r="B12" s="82" t="s">
        <v>5601</v>
      </c>
      <c r="C12" s="82" t="s">
        <v>35</v>
      </c>
      <c r="D12" s="82"/>
      <c r="E12" s="82"/>
    </row>
    <row r="13" spans="1:5" ht="15.95">
      <c r="A13" s="82" t="s">
        <v>287</v>
      </c>
      <c r="B13" s="82" t="s">
        <v>5601</v>
      </c>
      <c r="C13" s="82" t="s">
        <v>35</v>
      </c>
      <c r="D13" s="82"/>
      <c r="E13" s="82"/>
    </row>
    <row r="14" spans="1:5" ht="15.95">
      <c r="A14" s="82" t="s">
        <v>284</v>
      </c>
      <c r="B14" s="82" t="s">
        <v>5601</v>
      </c>
      <c r="C14" s="82" t="s">
        <v>35</v>
      </c>
      <c r="D14" s="82"/>
      <c r="E14" s="82"/>
    </row>
    <row r="15" spans="1:5" ht="15.95">
      <c r="A15" s="82" t="s">
        <v>5605</v>
      </c>
      <c r="B15" s="82" t="s">
        <v>5601</v>
      </c>
      <c r="C15" s="82" t="s">
        <v>24</v>
      </c>
      <c r="D15" s="82"/>
      <c r="E15" s="82"/>
    </row>
    <row r="16" spans="1:5">
      <c r="A16" s="82"/>
      <c r="B16" s="82"/>
      <c r="C16" s="82"/>
      <c r="D16" s="82"/>
      <c r="E16" s="82"/>
    </row>
    <row r="17" spans="1:5">
      <c r="A17" s="82"/>
      <c r="B17" s="82"/>
      <c r="C17" s="82"/>
      <c r="D17" s="82"/>
      <c r="E17" s="82"/>
    </row>
    <row r="18" spans="1:5">
      <c r="A18" s="82"/>
      <c r="B18" s="82"/>
      <c r="C18" s="82"/>
      <c r="D18" s="82"/>
      <c r="E18" s="82"/>
    </row>
    <row r="20" spans="1:5" ht="15.95">
      <c r="A20" s="83" t="s">
        <v>5606</v>
      </c>
    </row>
    <row r="21" spans="1:5" ht="48">
      <c r="A21" s="83" t="s">
        <v>5607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f8aca8-897a-4785-9985-8038fe724b0a">
      <Terms xmlns="http://schemas.microsoft.com/office/infopath/2007/PartnerControls"/>
    </lcf76f155ced4ddcb4097134ff3c332f>
    <TaxCatchAll xmlns="38854951-7bca-4b93-b53b-325dccf2ad6b" xsi:nil="true"/>
    <SharedWithUsers xmlns="38854951-7bca-4b93-b53b-325dccf2ad6b">
      <UserInfo>
        <DisplayName>Dvir Reznik</DisplayName>
        <AccountId>11</AccountId>
        <AccountType/>
      </UserInfo>
      <UserInfo>
        <DisplayName>Roy Fridman</DisplayName>
        <AccountId>18</AccountId>
        <AccountType/>
      </UserInfo>
      <UserInfo>
        <DisplayName>Dror Haiblum</DisplayName>
        <AccountId>24</AccountId>
        <AccountType/>
      </UserInfo>
      <UserInfo>
        <DisplayName>Ohad Rabinovich</DisplayName>
        <AccountId>340</AccountId>
        <AccountType/>
      </UserInfo>
      <UserInfo>
        <DisplayName>Michael Dick</DisplayName>
        <AccountId>15</AccountId>
        <AccountType/>
      </UserInfo>
      <UserInfo>
        <DisplayName>Stephane Khelifi</DisplayName>
        <AccountId>28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03CB875478104095B43D29B51DB9A8" ma:contentTypeVersion="16" ma:contentTypeDescription="Create a new document." ma:contentTypeScope="" ma:versionID="d0b89eb6d9b1b68397d483024a365e13">
  <xsd:schema xmlns:xsd="http://www.w3.org/2001/XMLSchema" xmlns:xs="http://www.w3.org/2001/XMLSchema" xmlns:p="http://schemas.microsoft.com/office/2006/metadata/properties" xmlns:ns2="56f8aca8-897a-4785-9985-8038fe724b0a" xmlns:ns3="38854951-7bca-4b93-b53b-325dccf2ad6b" targetNamespace="http://schemas.microsoft.com/office/2006/metadata/properties" ma:root="true" ma:fieldsID="ba779a19ab3563c7a6abb8bca4b714b4" ns2:_="" ns3:_="">
    <xsd:import namespace="56f8aca8-897a-4785-9985-8038fe724b0a"/>
    <xsd:import namespace="38854951-7bca-4b93-b53b-325dccf2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8aca8-897a-4785-9985-8038fe724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e51a649-2181-4364-9a57-d0e4599c4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54951-7bca-4b93-b53b-325dccf2ad6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3599714-5c75-4c58-be37-8c90bc338b21}" ma:internalName="TaxCatchAll" ma:showField="CatchAllData" ma:web="38854951-7bca-4b93-b53b-325dccf2ad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19CBEA-7655-4E0F-8A10-B323C3E18857}"/>
</file>

<file path=customXml/itemProps2.xml><?xml version="1.0" encoding="utf-8"?>
<ds:datastoreItem xmlns:ds="http://schemas.openxmlformats.org/officeDocument/2006/customXml" ds:itemID="{4B4CCBD5-AE0E-4E0E-A056-A42F03FA1EDD}"/>
</file>

<file path=customXml/itemProps3.xml><?xml version="1.0" encoding="utf-8"?>
<ds:datastoreItem xmlns:ds="http://schemas.openxmlformats.org/officeDocument/2006/customXml" ds:itemID="{31D4FB64-AB91-465D-884F-B029ECE5EF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2024-03-12T11:21:53Z</dcterms:created>
  <dcterms:modified xsi:type="dcterms:W3CDTF">2026-01-02T17:08:20Z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0x0101007E03CB875478104095B43D29B51DB9A8</vt:lpwstr>
  </property>
  <property fmtid="{D5CDD505-2E9C-101B-9397-08002B2CF9AE}" pid="3" name="MediaServiceImageTags">
    <vt:lpwstr/>
  </property>
</Properties>
</file>